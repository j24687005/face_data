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D:\實驗室\真人臉\數據來源\"/>
    </mc:Choice>
  </mc:AlternateContent>
  <xr:revisionPtr revIDLastSave="0" documentId="13_ncr:1_{B7866130-D7FA-4DFB-BE1A-9A6A7B66F74B}" xr6:coauthVersionLast="45" xr6:coauthVersionMax="45" xr10:uidLastSave="{00000000-0000-0000-0000-000000000000}"/>
  <bookViews>
    <workbookView xWindow="-110" yWindow="-110" windowWidth="19420" windowHeight="10420" tabRatio="640" firstSheet="3" activeTab="9" xr2:uid="{00000000-000D-0000-FFFF-FFFF00000000}"/>
  </bookViews>
  <sheets>
    <sheet name="jt1-5" sheetId="40" r:id="rId1"/>
    <sheet name="jt6-10" sheetId="39" r:id="rId2"/>
    <sheet name="jt11-15" sheetId="12" r:id="rId3"/>
    <sheet name="jt16-20" sheetId="14" r:id="rId4"/>
    <sheet name="jt21-25" sheetId="15" r:id="rId5"/>
    <sheet name="jt26-30" sheetId="16" r:id="rId6"/>
    <sheet name="jt31-35" sheetId="17" r:id="rId7"/>
    <sheet name="jt36-40" sheetId="18" r:id="rId8"/>
    <sheet name="jt41-45" sheetId="19" r:id="rId9"/>
    <sheet name="jt46-50" sheetId="20" r:id="rId10"/>
    <sheet name="jt51-55" sheetId="34" r:id="rId11"/>
    <sheet name="jt56-60" sheetId="35" r:id="rId12"/>
    <sheet name="jt61-65" sheetId="36" r:id="rId13"/>
    <sheet name="jt66-70" sheetId="37" r:id="rId14"/>
    <sheet name="jt71-75" sheetId="38" r:id="rId15"/>
    <sheet name="ut1-5" sheetId="21" r:id="rId16"/>
    <sheet name="ut6-10" sheetId="22" r:id="rId17"/>
    <sheet name="ut11-15" sheetId="23" r:id="rId18"/>
    <sheet name="ut16-20" sheetId="24" r:id="rId19"/>
    <sheet name="ut21-25" sheetId="25" r:id="rId20"/>
    <sheet name="ut26-30" sheetId="26" r:id="rId21"/>
    <sheet name="ut31-35" sheetId="27" r:id="rId22"/>
    <sheet name="ut36-40" sheetId="28" r:id="rId23"/>
    <sheet name="ut41-45" sheetId="29" r:id="rId24"/>
    <sheet name="ut46-50" sheetId="41" r:id="rId25"/>
    <sheet name="ut51-55" sheetId="46" r:id="rId26"/>
    <sheet name="ut56-60" sheetId="42" r:id="rId27"/>
    <sheet name="ut61-65" sheetId="43" r:id="rId28"/>
    <sheet name="ut66-70" sheetId="44" r:id="rId29"/>
    <sheet name="ut71-75" sheetId="45" r:id="rId3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S21" i="40" l="1"/>
  <c r="AR21" i="40"/>
  <c r="AP21" i="40"/>
  <c r="AO21" i="40"/>
  <c r="AM21" i="40"/>
  <c r="AL21" i="40"/>
  <c r="AG21" i="40"/>
  <c r="AF21" i="40"/>
  <c r="AS18" i="40"/>
  <c r="AR18" i="40"/>
  <c r="AP18" i="40"/>
  <c r="AO18" i="40"/>
  <c r="AM18" i="40"/>
  <c r="AL18" i="40"/>
  <c r="AJ18" i="40"/>
  <c r="AI18" i="40"/>
  <c r="AG18" i="40"/>
  <c r="AF18" i="40"/>
  <c r="AS16" i="40"/>
  <c r="AR16" i="40"/>
  <c r="AP16" i="40"/>
  <c r="AO16" i="40"/>
  <c r="AM16" i="40"/>
  <c r="AL16" i="40"/>
  <c r="AJ16" i="40"/>
  <c r="AI16" i="40"/>
  <c r="AG16" i="40"/>
  <c r="AF16" i="40"/>
  <c r="AS14" i="40"/>
  <c r="AR14" i="40"/>
  <c r="AP14" i="40"/>
  <c r="AO14" i="40"/>
  <c r="AM14" i="40"/>
  <c r="AL14" i="40"/>
  <c r="AJ14" i="40"/>
  <c r="AI14" i="40"/>
  <c r="AG14" i="40"/>
  <c r="AF14" i="40"/>
  <c r="AS12" i="40"/>
  <c r="AR12" i="40"/>
  <c r="AP12" i="40"/>
  <c r="AO12" i="40"/>
  <c r="AM12" i="40"/>
  <c r="AL12" i="40"/>
  <c r="AJ12" i="40"/>
  <c r="AI12" i="40"/>
  <c r="AG12" i="40"/>
  <c r="AF12" i="40"/>
  <c r="AS8" i="40"/>
  <c r="AR8" i="40"/>
  <c r="AP8" i="40"/>
  <c r="AO8" i="40"/>
  <c r="AM8" i="40"/>
  <c r="AL8" i="40"/>
  <c r="AJ8" i="40"/>
  <c r="AI8" i="40"/>
  <c r="AG8" i="40"/>
  <c r="AF8" i="40"/>
  <c r="AS21" i="16" l="1"/>
  <c r="AR21" i="16"/>
  <c r="AP21" i="16"/>
  <c r="AO21" i="16"/>
  <c r="AM21" i="16"/>
  <c r="AL21" i="16"/>
  <c r="AJ21" i="16"/>
  <c r="AI21" i="16"/>
  <c r="AG21" i="16"/>
  <c r="AF21" i="16"/>
  <c r="AS18" i="16"/>
  <c r="AR18" i="16"/>
  <c r="AP18" i="16"/>
  <c r="AO18" i="16"/>
  <c r="AM18" i="16"/>
  <c r="AL18" i="16"/>
  <c r="AJ18" i="16"/>
  <c r="AI18" i="16"/>
  <c r="AG18" i="16"/>
  <c r="AF18" i="16"/>
  <c r="AS16" i="16"/>
  <c r="AR16" i="16"/>
  <c r="AM16" i="16"/>
  <c r="AL16" i="16"/>
  <c r="AJ16" i="16"/>
  <c r="AI16" i="16"/>
  <c r="AG16" i="16"/>
  <c r="AF16" i="16"/>
  <c r="AS14" i="16"/>
  <c r="AR14" i="16"/>
  <c r="AP14" i="16"/>
  <c r="AO14" i="16"/>
  <c r="AM14" i="16"/>
  <c r="AL14" i="16"/>
  <c r="AJ14" i="16"/>
  <c r="AI14" i="16"/>
  <c r="AG14" i="16"/>
  <c r="AF14" i="16"/>
  <c r="AS12" i="16"/>
  <c r="AR12" i="16"/>
  <c r="AP12" i="16"/>
  <c r="AO12" i="16"/>
  <c r="AM12" i="16"/>
  <c r="AL12" i="16"/>
  <c r="AJ12" i="16"/>
  <c r="AI12" i="16"/>
  <c r="AG12" i="16"/>
  <c r="AF12" i="16"/>
  <c r="AS8" i="16"/>
  <c r="AR8" i="16"/>
  <c r="AP8" i="16"/>
  <c r="AO8" i="16"/>
  <c r="AM8" i="16"/>
  <c r="AL8" i="16"/>
  <c r="AJ8" i="16"/>
  <c r="AI8" i="16"/>
  <c r="AG8" i="16"/>
  <c r="AF8" i="16"/>
  <c r="AS21" i="45" l="1"/>
  <c r="AR21" i="45"/>
  <c r="AP21" i="45"/>
  <c r="AO21" i="45"/>
  <c r="AM21" i="45"/>
  <c r="AL21" i="45"/>
  <c r="AJ21" i="45"/>
  <c r="AI21" i="45"/>
  <c r="AG21" i="45"/>
  <c r="AF21" i="45"/>
  <c r="AS18" i="45"/>
  <c r="AR18" i="45"/>
  <c r="AP18" i="45"/>
  <c r="AO18" i="45"/>
  <c r="AM18" i="45"/>
  <c r="AJ18" i="45"/>
  <c r="AI18" i="45"/>
  <c r="AG18" i="45"/>
  <c r="AF18" i="45"/>
  <c r="AS16" i="45"/>
  <c r="AR16" i="45"/>
  <c r="AP16" i="45"/>
  <c r="AO16" i="45"/>
  <c r="AM16" i="45"/>
  <c r="AL16" i="45"/>
  <c r="AJ16" i="45"/>
  <c r="AI16" i="45"/>
  <c r="AG16" i="45"/>
  <c r="AF16" i="45"/>
  <c r="AS14" i="45"/>
  <c r="AR14" i="45"/>
  <c r="AP14" i="45"/>
  <c r="AO14" i="45"/>
  <c r="AM14" i="45"/>
  <c r="AL14" i="45"/>
  <c r="AJ14" i="45"/>
  <c r="AI14" i="45"/>
  <c r="AG14" i="45"/>
  <c r="AF14" i="45"/>
  <c r="AS12" i="45"/>
  <c r="AR12" i="45"/>
  <c r="AP12" i="45"/>
  <c r="AO12" i="45"/>
  <c r="AM12" i="45"/>
  <c r="AL12" i="45"/>
  <c r="AJ12" i="45"/>
  <c r="AG12" i="45"/>
  <c r="AF12" i="45"/>
  <c r="AS8" i="45"/>
  <c r="AR8" i="45"/>
  <c r="AP8" i="45"/>
  <c r="AO8" i="45"/>
  <c r="AM8" i="45"/>
  <c r="AL8" i="45"/>
  <c r="AJ8" i="45"/>
  <c r="AI8" i="45"/>
  <c r="AG8" i="45"/>
  <c r="AF8" i="45"/>
  <c r="AS21" i="44"/>
  <c r="AR21" i="44"/>
  <c r="AP21" i="44"/>
  <c r="AO21" i="44"/>
  <c r="AM21" i="44"/>
  <c r="AL21" i="44"/>
  <c r="AJ21" i="44"/>
  <c r="AI21" i="44"/>
  <c r="AG21" i="44"/>
  <c r="AF21" i="44"/>
  <c r="AS18" i="44"/>
  <c r="AR18" i="44"/>
  <c r="AP18" i="44"/>
  <c r="AO18" i="44"/>
  <c r="AM18" i="44"/>
  <c r="AL18" i="44"/>
  <c r="AJ18" i="44"/>
  <c r="AI18" i="44"/>
  <c r="AG18" i="44"/>
  <c r="AF18" i="44"/>
  <c r="AS16" i="44"/>
  <c r="AR16" i="44"/>
  <c r="AP16" i="44"/>
  <c r="AO16" i="44"/>
  <c r="AM16" i="44"/>
  <c r="AL16" i="44"/>
  <c r="AJ16" i="44"/>
  <c r="AI16" i="44"/>
  <c r="AF16" i="44"/>
  <c r="AS14" i="44"/>
  <c r="AR14" i="44"/>
  <c r="AP14" i="44"/>
  <c r="AO14" i="44"/>
  <c r="AM14" i="44"/>
  <c r="AL14" i="44"/>
  <c r="AJ14" i="44"/>
  <c r="AI14" i="44"/>
  <c r="AG14" i="44"/>
  <c r="AF14" i="44"/>
  <c r="AS12" i="44"/>
  <c r="AR12" i="44"/>
  <c r="AP12" i="44"/>
  <c r="AO12" i="44"/>
  <c r="AM12" i="44"/>
  <c r="AL12" i="44"/>
  <c r="AJ12" i="44"/>
  <c r="AI12" i="44"/>
  <c r="AG12" i="44"/>
  <c r="AF12" i="44"/>
  <c r="AS8" i="44"/>
  <c r="AR8" i="44"/>
  <c r="AP8" i="44"/>
  <c r="AO8" i="44"/>
  <c r="AM8" i="44"/>
  <c r="AL8" i="44"/>
  <c r="AJ8" i="44"/>
  <c r="AI8" i="44"/>
  <c r="AG8" i="44"/>
  <c r="AF8" i="44"/>
  <c r="AS21" i="43"/>
  <c r="AR21" i="43"/>
  <c r="AP21" i="43"/>
  <c r="AO21" i="43"/>
  <c r="AM21" i="43"/>
  <c r="AL21" i="43"/>
  <c r="AJ21" i="43"/>
  <c r="AI21" i="43"/>
  <c r="AG21" i="43"/>
  <c r="AF21" i="43"/>
  <c r="AS18" i="43"/>
  <c r="AR18" i="43"/>
  <c r="AP18" i="43"/>
  <c r="AO18" i="43"/>
  <c r="AM18" i="43"/>
  <c r="AL18" i="43"/>
  <c r="AJ18" i="43"/>
  <c r="AI18" i="43"/>
  <c r="AG18" i="43"/>
  <c r="AF18" i="43"/>
  <c r="AS16" i="43"/>
  <c r="AR16" i="43"/>
  <c r="AP16" i="43"/>
  <c r="AO16" i="43"/>
  <c r="AM16" i="43"/>
  <c r="AL16" i="43"/>
  <c r="AJ16" i="43"/>
  <c r="AI16" i="43"/>
  <c r="AG16" i="43"/>
  <c r="AF16" i="43"/>
  <c r="AS14" i="43"/>
  <c r="AR14" i="43"/>
  <c r="AP14" i="43"/>
  <c r="AO14" i="43"/>
  <c r="AM14" i="43"/>
  <c r="AL14" i="43"/>
  <c r="AJ14" i="43"/>
  <c r="AI14" i="43"/>
  <c r="AG14" i="43"/>
  <c r="AF14" i="43"/>
  <c r="AS12" i="43"/>
  <c r="AR12" i="43"/>
  <c r="AP12" i="43"/>
  <c r="AO12" i="43"/>
  <c r="AM12" i="43"/>
  <c r="AL12" i="43"/>
  <c r="AJ12" i="43"/>
  <c r="AI12" i="43"/>
  <c r="AG12" i="43"/>
  <c r="AF12" i="43"/>
  <c r="AS8" i="43"/>
  <c r="AR8" i="43"/>
  <c r="AP8" i="43"/>
  <c r="AO8" i="43"/>
  <c r="AM8" i="43"/>
  <c r="AL8" i="43"/>
  <c r="AJ8" i="43"/>
  <c r="AI8" i="43"/>
  <c r="AG8" i="43"/>
  <c r="AF8" i="43"/>
  <c r="AS21" i="42"/>
  <c r="AR21" i="42"/>
  <c r="AP21" i="42"/>
  <c r="AO21" i="42"/>
  <c r="AM21" i="42"/>
  <c r="AL21" i="42"/>
  <c r="AJ21" i="42"/>
  <c r="AI21" i="42"/>
  <c r="AG21" i="42"/>
  <c r="AF21" i="42"/>
  <c r="AS18" i="42"/>
  <c r="AR18" i="42"/>
  <c r="AP18" i="42"/>
  <c r="AO18" i="42"/>
  <c r="AM18" i="42"/>
  <c r="AL18" i="42"/>
  <c r="AJ18" i="42"/>
  <c r="AI18" i="42"/>
  <c r="AG18" i="42"/>
  <c r="AF18" i="42"/>
  <c r="AS16" i="42"/>
  <c r="AR16" i="42"/>
  <c r="AP16" i="42"/>
  <c r="AO16" i="42"/>
  <c r="AM16" i="42"/>
  <c r="AL16" i="42"/>
  <c r="AJ16" i="42"/>
  <c r="AI16" i="42"/>
  <c r="AG16" i="42"/>
  <c r="AF16" i="42"/>
  <c r="AS14" i="42"/>
  <c r="AR14" i="42"/>
  <c r="AP14" i="42"/>
  <c r="AO14" i="42"/>
  <c r="AM14" i="42"/>
  <c r="AL14" i="42"/>
  <c r="AJ14" i="42"/>
  <c r="AI14" i="42"/>
  <c r="AG14" i="42"/>
  <c r="AF14" i="42"/>
  <c r="AS12" i="42"/>
  <c r="AR12" i="42"/>
  <c r="AP12" i="42"/>
  <c r="AO12" i="42"/>
  <c r="AM12" i="42"/>
  <c r="AL12" i="42"/>
  <c r="AJ12" i="42"/>
  <c r="AI12" i="42"/>
  <c r="AG12" i="42"/>
  <c r="AF12" i="42"/>
  <c r="AS8" i="42"/>
  <c r="AR8" i="42"/>
  <c r="AP8" i="42"/>
  <c r="AO8" i="42"/>
  <c r="AM8" i="42"/>
  <c r="AL8" i="42"/>
  <c r="AJ8" i="42"/>
  <c r="AI8" i="42"/>
  <c r="AG8" i="42"/>
  <c r="AF8" i="42"/>
  <c r="AS21" i="46"/>
  <c r="AR21" i="46"/>
  <c r="AP21" i="46"/>
  <c r="AO21" i="46"/>
  <c r="AM21" i="46"/>
  <c r="AL21" i="46"/>
  <c r="AJ21" i="46"/>
  <c r="AI21" i="46"/>
  <c r="AG21" i="46"/>
  <c r="AF21" i="46"/>
  <c r="AS18" i="46"/>
  <c r="AR18" i="46"/>
  <c r="AP18" i="46"/>
  <c r="AO18" i="46"/>
  <c r="AM18" i="46"/>
  <c r="AL18" i="46"/>
  <c r="AJ18" i="46"/>
  <c r="AI18" i="46"/>
  <c r="AG18" i="46"/>
  <c r="AF18" i="46"/>
  <c r="AS16" i="46"/>
  <c r="AR16" i="46"/>
  <c r="AP16" i="46"/>
  <c r="AO16" i="46"/>
  <c r="AM16" i="46"/>
  <c r="AL16" i="46"/>
  <c r="AJ16" i="46"/>
  <c r="AI16" i="46"/>
  <c r="AG16" i="46"/>
  <c r="AF16" i="46"/>
  <c r="AS14" i="46"/>
  <c r="AR14" i="46"/>
  <c r="AP14" i="46"/>
  <c r="AO14" i="46"/>
  <c r="AM14" i="46"/>
  <c r="AL14" i="46"/>
  <c r="AJ14" i="46"/>
  <c r="AI14" i="46"/>
  <c r="AG14" i="46"/>
  <c r="AF14" i="46"/>
  <c r="AS12" i="46"/>
  <c r="AR12" i="46"/>
  <c r="AP12" i="46"/>
  <c r="AO12" i="46"/>
  <c r="AM12" i="46"/>
  <c r="AL12" i="46"/>
  <c r="AJ12" i="46"/>
  <c r="AI12" i="46"/>
  <c r="AG12" i="46"/>
  <c r="AF12" i="46"/>
  <c r="AS8" i="46"/>
  <c r="AR8" i="46"/>
  <c r="AP8" i="46"/>
  <c r="AO8" i="46"/>
  <c r="AM8" i="46"/>
  <c r="AL8" i="46"/>
  <c r="AJ8" i="46"/>
  <c r="AI8" i="46"/>
  <c r="AG8" i="46"/>
  <c r="AF8" i="46"/>
  <c r="AS21" i="41"/>
  <c r="AR21" i="41"/>
  <c r="AP21" i="41"/>
  <c r="AO21" i="41"/>
  <c r="AM21" i="41"/>
  <c r="AL21" i="41"/>
  <c r="AJ21" i="41"/>
  <c r="AI21" i="41"/>
  <c r="AG21" i="41"/>
  <c r="AF21" i="41"/>
  <c r="AS18" i="41"/>
  <c r="AR18" i="41"/>
  <c r="AP18" i="41"/>
  <c r="AO18" i="41"/>
  <c r="AM18" i="41"/>
  <c r="AL18" i="41"/>
  <c r="AJ18" i="41"/>
  <c r="AI18" i="41"/>
  <c r="AG18" i="41"/>
  <c r="AF18" i="41"/>
  <c r="AS16" i="41"/>
  <c r="AR16" i="41"/>
  <c r="AP16" i="41"/>
  <c r="AO16" i="41"/>
  <c r="AM16" i="41"/>
  <c r="AL16" i="41"/>
  <c r="AJ16" i="41"/>
  <c r="AI16" i="41"/>
  <c r="AG16" i="41"/>
  <c r="AF16" i="41"/>
  <c r="AS14" i="41"/>
  <c r="AR14" i="41"/>
  <c r="AP14" i="41"/>
  <c r="AO14" i="41"/>
  <c r="AM14" i="41"/>
  <c r="AL14" i="41"/>
  <c r="AJ14" i="41"/>
  <c r="AI14" i="41"/>
  <c r="AG14" i="41"/>
  <c r="AF14" i="41"/>
  <c r="AS12" i="41"/>
  <c r="AR12" i="41"/>
  <c r="AP12" i="41"/>
  <c r="AO12" i="41"/>
  <c r="AM12" i="41"/>
  <c r="AL12" i="41"/>
  <c r="AJ12" i="41"/>
  <c r="AI12" i="41"/>
  <c r="AG12" i="41"/>
  <c r="AF12" i="41"/>
  <c r="AS8" i="41"/>
  <c r="AR8" i="41"/>
  <c r="AP8" i="41"/>
  <c r="AO8" i="41"/>
  <c r="AM8" i="41"/>
  <c r="AL8" i="41"/>
  <c r="AJ8" i="41"/>
  <c r="AI8" i="41"/>
  <c r="AG8" i="41"/>
  <c r="AF8" i="41"/>
  <c r="AS21" i="29"/>
  <c r="AR21" i="29"/>
  <c r="AP21" i="29"/>
  <c r="AO21" i="29"/>
  <c r="AM21" i="29"/>
  <c r="AL21" i="29"/>
  <c r="AJ21" i="29"/>
  <c r="AI21" i="29"/>
  <c r="AG21" i="29"/>
  <c r="AF21" i="29"/>
  <c r="AS18" i="29"/>
  <c r="AR18" i="29"/>
  <c r="AP18" i="29"/>
  <c r="AO18" i="29"/>
  <c r="AM18" i="29"/>
  <c r="AL18" i="29"/>
  <c r="AJ18" i="29"/>
  <c r="AI18" i="29"/>
  <c r="AG18" i="29"/>
  <c r="AF18" i="29"/>
  <c r="AS16" i="29"/>
  <c r="AR16" i="29"/>
  <c r="AP16" i="29"/>
  <c r="AO16" i="29"/>
  <c r="AM16" i="29"/>
  <c r="AL16" i="29"/>
  <c r="AJ16" i="29"/>
  <c r="AI16" i="29"/>
  <c r="AG16" i="29"/>
  <c r="AF16" i="29"/>
  <c r="AS14" i="29"/>
  <c r="AR14" i="29"/>
  <c r="AP14" i="29"/>
  <c r="AO14" i="29"/>
  <c r="AM14" i="29"/>
  <c r="AL14" i="29"/>
  <c r="AJ14" i="29"/>
  <c r="AI14" i="29"/>
  <c r="AG14" i="29"/>
  <c r="AF14" i="29"/>
  <c r="AS12" i="29"/>
  <c r="AR12" i="29"/>
  <c r="AP12" i="29"/>
  <c r="AO12" i="29"/>
  <c r="AM12" i="29"/>
  <c r="AL12" i="29"/>
  <c r="AJ12" i="29"/>
  <c r="AI12" i="29"/>
  <c r="AG12" i="29"/>
  <c r="AF12" i="29"/>
  <c r="AS8" i="29"/>
  <c r="AR8" i="29"/>
  <c r="AP8" i="29"/>
  <c r="AO8" i="29"/>
  <c r="AM8" i="29"/>
  <c r="AL8" i="29"/>
  <c r="AJ8" i="29"/>
  <c r="AI8" i="29"/>
  <c r="AG8" i="29"/>
  <c r="AF8" i="29"/>
  <c r="AS21" i="28"/>
  <c r="AR21" i="28"/>
  <c r="AP21" i="28"/>
  <c r="AO21" i="28"/>
  <c r="AM21" i="28"/>
  <c r="AL21" i="28"/>
  <c r="AJ21" i="28"/>
  <c r="AI21" i="28"/>
  <c r="AG21" i="28"/>
  <c r="AF21" i="28"/>
  <c r="AS18" i="28"/>
  <c r="AR18" i="28"/>
  <c r="AP18" i="28"/>
  <c r="AO18" i="28"/>
  <c r="AM18" i="28"/>
  <c r="AL18" i="28"/>
  <c r="AJ18" i="28"/>
  <c r="AI18" i="28"/>
  <c r="AG18" i="28"/>
  <c r="AF18" i="28"/>
  <c r="AS16" i="28"/>
  <c r="AR16" i="28"/>
  <c r="AP16" i="28"/>
  <c r="AO16" i="28"/>
  <c r="AM16" i="28"/>
  <c r="AL16" i="28"/>
  <c r="AJ16" i="28"/>
  <c r="AI16" i="28"/>
  <c r="AG16" i="28"/>
  <c r="AF16" i="28"/>
  <c r="AS14" i="28"/>
  <c r="AR14" i="28"/>
  <c r="AP14" i="28"/>
  <c r="AO14" i="28"/>
  <c r="AM14" i="28"/>
  <c r="AL14" i="28"/>
  <c r="AJ14" i="28"/>
  <c r="AI14" i="28"/>
  <c r="AG14" i="28"/>
  <c r="AF14" i="28"/>
  <c r="AS12" i="28"/>
  <c r="AR12" i="28"/>
  <c r="AP12" i="28"/>
  <c r="AO12" i="28"/>
  <c r="AM12" i="28"/>
  <c r="AL12" i="28"/>
  <c r="AJ12" i="28"/>
  <c r="AI12" i="28"/>
  <c r="AG12" i="28"/>
  <c r="AF12" i="28"/>
  <c r="AS8" i="28"/>
  <c r="AR8" i="28"/>
  <c r="AP8" i="28"/>
  <c r="AO8" i="28"/>
  <c r="AM8" i="28"/>
  <c r="AL8" i="28"/>
  <c r="AJ8" i="28"/>
  <c r="AI8" i="28"/>
  <c r="AG8" i="28"/>
  <c r="AF8" i="28"/>
  <c r="AS21" i="27"/>
  <c r="AR21" i="27"/>
  <c r="AP21" i="27"/>
  <c r="AO21" i="27"/>
  <c r="AM21" i="27"/>
  <c r="AL21" i="27"/>
  <c r="AJ21" i="27"/>
  <c r="AI21" i="27"/>
  <c r="AG21" i="27"/>
  <c r="AF21" i="27"/>
  <c r="AS18" i="27"/>
  <c r="AR18" i="27"/>
  <c r="AP18" i="27"/>
  <c r="AO18" i="27"/>
  <c r="AM18" i="27"/>
  <c r="AL18" i="27"/>
  <c r="AJ18" i="27"/>
  <c r="AI18" i="27"/>
  <c r="AG18" i="27"/>
  <c r="AF18" i="27"/>
  <c r="AS16" i="27"/>
  <c r="AR16" i="27"/>
  <c r="AP16" i="27"/>
  <c r="AO16" i="27"/>
  <c r="AM16" i="27"/>
  <c r="AL16" i="27"/>
  <c r="AJ16" i="27"/>
  <c r="AI16" i="27"/>
  <c r="AG16" i="27"/>
  <c r="AF16" i="27"/>
  <c r="AS14" i="27"/>
  <c r="AR14" i="27"/>
  <c r="AP14" i="27"/>
  <c r="AO14" i="27"/>
  <c r="AM14" i="27"/>
  <c r="AL14" i="27"/>
  <c r="AJ14" i="27"/>
  <c r="AI14" i="27"/>
  <c r="AG14" i="27"/>
  <c r="AF14" i="27"/>
  <c r="AS12" i="27"/>
  <c r="AR12" i="27"/>
  <c r="AP12" i="27"/>
  <c r="AO12" i="27"/>
  <c r="AM12" i="27"/>
  <c r="AL12" i="27"/>
  <c r="AJ12" i="27"/>
  <c r="AI12" i="27"/>
  <c r="AG12" i="27"/>
  <c r="AF12" i="27"/>
  <c r="AS8" i="27"/>
  <c r="AR8" i="27"/>
  <c r="AP8" i="27"/>
  <c r="AO8" i="27"/>
  <c r="AM8" i="27"/>
  <c r="AL8" i="27"/>
  <c r="AJ8" i="27"/>
  <c r="AI8" i="27"/>
  <c r="AG8" i="27"/>
  <c r="AF8" i="27"/>
  <c r="AS21" i="26"/>
  <c r="AR21" i="26"/>
  <c r="AP21" i="26"/>
  <c r="AO21" i="26"/>
  <c r="AM21" i="26"/>
  <c r="AL21" i="26"/>
  <c r="AJ21" i="26"/>
  <c r="AI21" i="26"/>
  <c r="AG21" i="26"/>
  <c r="AF21" i="26"/>
  <c r="AS18" i="26"/>
  <c r="AR18" i="26"/>
  <c r="AP18" i="26"/>
  <c r="AO18" i="26"/>
  <c r="AM18" i="26"/>
  <c r="AL18" i="26"/>
  <c r="AJ18" i="26"/>
  <c r="AI18" i="26"/>
  <c r="AG18" i="26"/>
  <c r="AF18" i="26"/>
  <c r="AS16" i="26"/>
  <c r="AR16" i="26"/>
  <c r="AP16" i="26"/>
  <c r="AO16" i="26"/>
  <c r="AM16" i="26"/>
  <c r="AL16" i="26"/>
  <c r="AJ16" i="26"/>
  <c r="AI16" i="26"/>
  <c r="AG16" i="26"/>
  <c r="AF16" i="26"/>
  <c r="AS14" i="26"/>
  <c r="AR14" i="26"/>
  <c r="AP14" i="26"/>
  <c r="AO14" i="26"/>
  <c r="AM14" i="26"/>
  <c r="AL14" i="26"/>
  <c r="AJ14" i="26"/>
  <c r="AI14" i="26"/>
  <c r="AG14" i="26"/>
  <c r="AF14" i="26"/>
  <c r="AS12" i="26"/>
  <c r="AR12" i="26"/>
  <c r="AP12" i="26"/>
  <c r="AO12" i="26"/>
  <c r="AM12" i="26"/>
  <c r="AL12" i="26"/>
  <c r="AJ12" i="26"/>
  <c r="AI12" i="26"/>
  <c r="AG12" i="26"/>
  <c r="AF12" i="26"/>
  <c r="AS8" i="26"/>
  <c r="AR8" i="26"/>
  <c r="AP8" i="26"/>
  <c r="AO8" i="26"/>
  <c r="AM8" i="26"/>
  <c r="AL8" i="26"/>
  <c r="AJ8" i="26"/>
  <c r="AI8" i="26"/>
  <c r="AG8" i="26"/>
  <c r="AF8" i="26"/>
  <c r="AS21" i="25"/>
  <c r="AR21" i="25"/>
  <c r="AP21" i="25"/>
  <c r="AO21" i="25"/>
  <c r="AM21" i="25"/>
  <c r="AL21" i="25"/>
  <c r="AJ21" i="25"/>
  <c r="AI21" i="25"/>
  <c r="AG21" i="25"/>
  <c r="AF21" i="25"/>
  <c r="AS18" i="25"/>
  <c r="AR18" i="25"/>
  <c r="AP18" i="25"/>
  <c r="AO18" i="25"/>
  <c r="AM18" i="25"/>
  <c r="AL18" i="25"/>
  <c r="AJ18" i="25"/>
  <c r="AI18" i="25"/>
  <c r="AG18" i="25"/>
  <c r="AF18" i="25"/>
  <c r="AS16" i="25"/>
  <c r="AP16" i="25"/>
  <c r="AO16" i="25"/>
  <c r="AM16" i="25"/>
  <c r="AL16" i="25"/>
  <c r="AJ16" i="25"/>
  <c r="AI16" i="25"/>
  <c r="AG16" i="25"/>
  <c r="AF16" i="25"/>
  <c r="AS14" i="25"/>
  <c r="AR14" i="25"/>
  <c r="AP14" i="25"/>
  <c r="AO14" i="25"/>
  <c r="AM14" i="25"/>
  <c r="AL14" i="25"/>
  <c r="AJ14" i="25"/>
  <c r="AI14" i="25"/>
  <c r="AG14" i="25"/>
  <c r="AF14" i="25"/>
  <c r="AS12" i="25"/>
  <c r="AR12" i="25"/>
  <c r="AP12" i="25"/>
  <c r="AO12" i="25"/>
  <c r="AM12" i="25"/>
  <c r="AL12" i="25"/>
  <c r="AJ12" i="25"/>
  <c r="AI12" i="25"/>
  <c r="AG12" i="25"/>
  <c r="AF12" i="25"/>
  <c r="AS8" i="25"/>
  <c r="AR8" i="25"/>
  <c r="AP8" i="25"/>
  <c r="AO8" i="25"/>
  <c r="AM8" i="25"/>
  <c r="AL8" i="25"/>
  <c r="AJ8" i="25"/>
  <c r="AI8" i="25"/>
  <c r="AG8" i="25"/>
  <c r="AF8" i="25"/>
  <c r="AS21" i="24"/>
  <c r="AR21" i="24"/>
  <c r="AP21" i="24"/>
  <c r="AO21" i="24"/>
  <c r="AM21" i="24"/>
  <c r="AL21" i="24"/>
  <c r="AJ21" i="24"/>
  <c r="AI21" i="24"/>
  <c r="AG21" i="24"/>
  <c r="AF21" i="24"/>
  <c r="AS18" i="24"/>
  <c r="AR18" i="24"/>
  <c r="AP18" i="24"/>
  <c r="AO18" i="24"/>
  <c r="AM18" i="24"/>
  <c r="AL18" i="24"/>
  <c r="AJ18" i="24"/>
  <c r="AI18" i="24"/>
  <c r="AG18" i="24"/>
  <c r="AP16" i="24"/>
  <c r="AO16" i="24"/>
  <c r="AM16" i="24"/>
  <c r="AL16" i="24"/>
  <c r="AJ16" i="24"/>
  <c r="AI16" i="24"/>
  <c r="AG16" i="24"/>
  <c r="AF16" i="24"/>
  <c r="AS14" i="24"/>
  <c r="AR14" i="24"/>
  <c r="AP14" i="24"/>
  <c r="AO14" i="24"/>
  <c r="AM14" i="24"/>
  <c r="AL14" i="24"/>
  <c r="AJ14" i="24"/>
  <c r="AI14" i="24"/>
  <c r="AG14" i="24"/>
  <c r="AF14" i="24"/>
  <c r="AS12" i="24"/>
  <c r="AR12" i="24"/>
  <c r="AP12" i="24"/>
  <c r="AO12" i="24"/>
  <c r="AM12" i="24"/>
  <c r="AL12" i="24"/>
  <c r="AJ12" i="24"/>
  <c r="AI12" i="24"/>
  <c r="AG12" i="24"/>
  <c r="AF12" i="24"/>
  <c r="AS8" i="24"/>
  <c r="AR8" i="24"/>
  <c r="AP8" i="24"/>
  <c r="AO8" i="24"/>
  <c r="AM8" i="24"/>
  <c r="AL8" i="24"/>
  <c r="AJ8" i="24"/>
  <c r="AI8" i="24"/>
  <c r="AG8" i="24"/>
  <c r="AF8" i="24"/>
  <c r="AS21" i="23"/>
  <c r="AR21" i="23"/>
  <c r="AP21" i="23"/>
  <c r="AO21" i="23"/>
  <c r="AM21" i="23"/>
  <c r="AL21" i="23"/>
  <c r="AJ21" i="23"/>
  <c r="AI21" i="23"/>
  <c r="AG21" i="23"/>
  <c r="AF21" i="23"/>
  <c r="AS18" i="23"/>
  <c r="AR18" i="23"/>
  <c r="AP18" i="23"/>
  <c r="AO18" i="23"/>
  <c r="AM18" i="23"/>
  <c r="AL18" i="23"/>
  <c r="AJ18" i="23"/>
  <c r="AI18" i="23"/>
  <c r="AG18" i="23"/>
  <c r="AF18" i="23"/>
  <c r="AS16" i="23"/>
  <c r="AR16" i="23"/>
  <c r="AP16" i="23"/>
  <c r="AO16" i="23"/>
  <c r="AM16" i="23"/>
  <c r="AL16" i="23"/>
  <c r="AJ16" i="23"/>
  <c r="AI16" i="23"/>
  <c r="AG16" i="23"/>
  <c r="AF16" i="23"/>
  <c r="AS14" i="23"/>
  <c r="AR14" i="23"/>
  <c r="AP14" i="23"/>
  <c r="AO14" i="23"/>
  <c r="AM14" i="23"/>
  <c r="AL14" i="23"/>
  <c r="AJ14" i="23"/>
  <c r="AI14" i="23"/>
  <c r="AG14" i="23"/>
  <c r="AF14" i="23"/>
  <c r="AS12" i="23"/>
  <c r="AR12" i="23"/>
  <c r="AP12" i="23"/>
  <c r="AO12" i="23"/>
  <c r="AM12" i="23"/>
  <c r="AL12" i="23"/>
  <c r="AJ12" i="23"/>
  <c r="AI12" i="23"/>
  <c r="AG12" i="23"/>
  <c r="AF12" i="23"/>
  <c r="AS8" i="23"/>
  <c r="AR8" i="23"/>
  <c r="AP8" i="23"/>
  <c r="AO8" i="23"/>
  <c r="AM8" i="23"/>
  <c r="AL8" i="23"/>
  <c r="AJ8" i="23"/>
  <c r="AI8" i="23"/>
  <c r="AG8" i="23"/>
  <c r="AF8" i="23"/>
  <c r="AS21" i="22"/>
  <c r="AR21" i="22"/>
  <c r="AP21" i="22"/>
  <c r="AO21" i="22"/>
  <c r="AM21" i="22"/>
  <c r="AL21" i="22"/>
  <c r="AJ21" i="22"/>
  <c r="AI21" i="22"/>
  <c r="AG21" i="22"/>
  <c r="AF21" i="22"/>
  <c r="AS18" i="22"/>
  <c r="AR18" i="22"/>
  <c r="AP18" i="22"/>
  <c r="AO18" i="22"/>
  <c r="AM18" i="22"/>
  <c r="AL18" i="22"/>
  <c r="AJ18" i="22"/>
  <c r="AI18" i="22"/>
  <c r="AG18" i="22"/>
  <c r="AF18" i="22"/>
  <c r="AS16" i="22"/>
  <c r="AR16" i="22"/>
  <c r="AP16" i="22"/>
  <c r="AO16" i="22"/>
  <c r="AM16" i="22"/>
  <c r="AL16" i="22"/>
  <c r="AJ16" i="22"/>
  <c r="AI16" i="22"/>
  <c r="AG16" i="22"/>
  <c r="AF16" i="22"/>
  <c r="AS14" i="22"/>
  <c r="AR14" i="22"/>
  <c r="AM14" i="22"/>
  <c r="AL14" i="22"/>
  <c r="AJ14" i="22"/>
  <c r="AI14" i="22"/>
  <c r="AG14" i="22"/>
  <c r="AF14" i="22"/>
  <c r="AS12" i="22"/>
  <c r="AR12" i="22"/>
  <c r="AP12" i="22"/>
  <c r="AO12" i="22"/>
  <c r="AM12" i="22"/>
  <c r="AL12" i="22"/>
  <c r="AJ12" i="22"/>
  <c r="AI12" i="22"/>
  <c r="AG12" i="22"/>
  <c r="AF12" i="22"/>
  <c r="AS8" i="22"/>
  <c r="AR8" i="22"/>
  <c r="AP8" i="22"/>
  <c r="AO8" i="22"/>
  <c r="AM8" i="22"/>
  <c r="AL8" i="22"/>
  <c r="AJ8" i="22"/>
  <c r="AI8" i="22"/>
  <c r="AG8" i="22"/>
  <c r="AF8" i="22"/>
  <c r="AS21" i="21"/>
  <c r="AR21" i="21"/>
  <c r="AP21" i="21"/>
  <c r="AO21" i="21"/>
  <c r="AM21" i="21"/>
  <c r="AL21" i="21"/>
  <c r="AS18" i="21"/>
  <c r="AR18" i="21"/>
  <c r="AP18" i="21"/>
  <c r="AO18" i="21"/>
  <c r="AM18" i="21"/>
  <c r="AL18" i="21"/>
  <c r="AS16" i="21"/>
  <c r="AR16" i="21"/>
  <c r="AP16" i="21"/>
  <c r="AO16" i="21"/>
  <c r="AM16" i="21"/>
  <c r="AL16" i="21"/>
  <c r="AS14" i="21"/>
  <c r="AR14" i="21"/>
  <c r="AP14" i="21"/>
  <c r="AO14" i="21"/>
  <c r="AM14" i="21"/>
  <c r="AL14" i="21"/>
  <c r="AS12" i="21"/>
  <c r="AR12" i="21"/>
  <c r="AP12" i="21"/>
  <c r="AO12" i="21"/>
  <c r="AM12" i="21"/>
  <c r="AL12" i="21"/>
  <c r="AS8" i="21"/>
  <c r="AR8" i="21"/>
  <c r="AP8" i="21"/>
  <c r="AO8" i="21"/>
  <c r="AM8" i="21"/>
  <c r="AL8" i="21"/>
  <c r="AS21" i="38" l="1"/>
  <c r="AR21" i="38"/>
  <c r="AP21" i="38"/>
  <c r="AO21" i="38"/>
  <c r="AM21" i="38"/>
  <c r="AL21" i="38"/>
  <c r="AJ21" i="38"/>
  <c r="AI21" i="38"/>
  <c r="AG21" i="38"/>
  <c r="AF21" i="38"/>
  <c r="AS18" i="38"/>
  <c r="AR18" i="38"/>
  <c r="AP18" i="38"/>
  <c r="AO18" i="38"/>
  <c r="AM18" i="38"/>
  <c r="AL18" i="38"/>
  <c r="AJ18" i="38"/>
  <c r="AI18" i="38"/>
  <c r="AG18" i="38"/>
  <c r="AF18" i="38"/>
  <c r="AS16" i="38"/>
  <c r="AR16" i="38"/>
  <c r="AP16" i="38"/>
  <c r="AO16" i="38"/>
  <c r="AM16" i="38"/>
  <c r="AL16" i="38"/>
  <c r="AJ16" i="38"/>
  <c r="AI16" i="38"/>
  <c r="AG16" i="38"/>
  <c r="AF16" i="38"/>
  <c r="AS14" i="38"/>
  <c r="AR14" i="38"/>
  <c r="AP14" i="38"/>
  <c r="AO14" i="38"/>
  <c r="AM14" i="38"/>
  <c r="AL14" i="38"/>
  <c r="AJ14" i="38"/>
  <c r="AI14" i="38"/>
  <c r="AG14" i="38"/>
  <c r="AF14" i="38"/>
  <c r="AS12" i="38"/>
  <c r="AR12" i="38"/>
  <c r="AP12" i="38"/>
  <c r="AO12" i="38"/>
  <c r="AM12" i="38"/>
  <c r="AL12" i="38"/>
  <c r="AJ12" i="38"/>
  <c r="AI12" i="38"/>
  <c r="AG12" i="38"/>
  <c r="AF12" i="38"/>
  <c r="AS8" i="38"/>
  <c r="AR8" i="38"/>
  <c r="AP8" i="38"/>
  <c r="AO8" i="38"/>
  <c r="AM8" i="38"/>
  <c r="AL8" i="38"/>
  <c r="AJ8" i="38"/>
  <c r="AI8" i="38"/>
  <c r="AG8" i="38"/>
  <c r="AF8" i="38"/>
  <c r="AS21" i="37"/>
  <c r="AR21" i="37"/>
  <c r="AP21" i="37"/>
  <c r="AO21" i="37"/>
  <c r="AM21" i="37"/>
  <c r="AL21" i="37"/>
  <c r="AJ21" i="37"/>
  <c r="AI21" i="37"/>
  <c r="AG21" i="37"/>
  <c r="AF21" i="37"/>
  <c r="AS18" i="37"/>
  <c r="AR18" i="37"/>
  <c r="AP18" i="37"/>
  <c r="AO18" i="37"/>
  <c r="AM18" i="37"/>
  <c r="AL18" i="37"/>
  <c r="AJ18" i="37"/>
  <c r="AI18" i="37"/>
  <c r="AG18" i="37"/>
  <c r="AF18" i="37"/>
  <c r="AS16" i="37"/>
  <c r="AR16" i="37"/>
  <c r="AP16" i="37"/>
  <c r="AO16" i="37"/>
  <c r="AM16" i="37"/>
  <c r="AL16" i="37"/>
  <c r="AJ16" i="37"/>
  <c r="AG16" i="37"/>
  <c r="AF16" i="37"/>
  <c r="AS14" i="37"/>
  <c r="AR14" i="37"/>
  <c r="AP14" i="37"/>
  <c r="AO14" i="37"/>
  <c r="AM14" i="37"/>
  <c r="AL14" i="37"/>
  <c r="AJ14" i="37"/>
  <c r="AG14" i="37"/>
  <c r="AF14" i="37"/>
  <c r="AS12" i="37"/>
  <c r="AR12" i="37"/>
  <c r="AP12" i="37"/>
  <c r="AO12" i="37"/>
  <c r="AM12" i="37"/>
  <c r="AL12" i="37"/>
  <c r="AJ12" i="37"/>
  <c r="AI12" i="37"/>
  <c r="AG12" i="37"/>
  <c r="AF12" i="37"/>
  <c r="AS8" i="37"/>
  <c r="AR8" i="37"/>
  <c r="AP8" i="37"/>
  <c r="AO8" i="37"/>
  <c r="AM8" i="37"/>
  <c r="AL8" i="37"/>
  <c r="AJ8" i="37"/>
  <c r="AI8" i="37"/>
  <c r="AG8" i="37"/>
  <c r="AF8" i="37"/>
  <c r="AS21" i="36"/>
  <c r="AR21" i="36"/>
  <c r="AP21" i="36"/>
  <c r="AO21" i="36"/>
  <c r="AM21" i="36"/>
  <c r="AL21" i="36"/>
  <c r="AJ21" i="36"/>
  <c r="AI21" i="36"/>
  <c r="AG21" i="36"/>
  <c r="AF21" i="36"/>
  <c r="AS18" i="36"/>
  <c r="AR18" i="36"/>
  <c r="AP18" i="36"/>
  <c r="AO18" i="36"/>
  <c r="AM18" i="36"/>
  <c r="AL18" i="36"/>
  <c r="AJ18" i="36"/>
  <c r="AI18" i="36"/>
  <c r="AG18" i="36"/>
  <c r="AF18" i="36"/>
  <c r="AS16" i="36"/>
  <c r="AR16" i="36"/>
  <c r="AP16" i="36"/>
  <c r="AO16" i="36"/>
  <c r="AM16" i="36"/>
  <c r="AL16" i="36"/>
  <c r="AJ16" i="36"/>
  <c r="AI16" i="36"/>
  <c r="AG16" i="36"/>
  <c r="AF16" i="36"/>
  <c r="AS14" i="36"/>
  <c r="AR14" i="36"/>
  <c r="AP14" i="36"/>
  <c r="AO14" i="36"/>
  <c r="AM14" i="36"/>
  <c r="AL14" i="36"/>
  <c r="AJ14" i="36"/>
  <c r="AI14" i="36"/>
  <c r="AG14" i="36"/>
  <c r="AF14" i="36"/>
  <c r="AS12" i="36"/>
  <c r="AR12" i="36"/>
  <c r="AP12" i="36"/>
  <c r="AO12" i="36"/>
  <c r="AM12" i="36"/>
  <c r="AL12" i="36"/>
  <c r="AJ12" i="36"/>
  <c r="AI12" i="36"/>
  <c r="AG12" i="36"/>
  <c r="AF12" i="36"/>
  <c r="AS8" i="36"/>
  <c r="AR8" i="36"/>
  <c r="AP8" i="36"/>
  <c r="AO8" i="36"/>
  <c r="AM8" i="36"/>
  <c r="AL8" i="36"/>
  <c r="AJ8" i="36"/>
  <c r="AI8" i="36"/>
  <c r="AG8" i="36"/>
  <c r="AF8" i="36"/>
  <c r="AS21" i="35"/>
  <c r="AR21" i="35"/>
  <c r="AP21" i="35"/>
  <c r="AO21" i="35"/>
  <c r="AM21" i="35"/>
  <c r="AL21" i="35"/>
  <c r="AJ21" i="35"/>
  <c r="AI21" i="35"/>
  <c r="AG21" i="35"/>
  <c r="AF21" i="35"/>
  <c r="AS18" i="35"/>
  <c r="AR18" i="35"/>
  <c r="AP18" i="35"/>
  <c r="AO18" i="35"/>
  <c r="AM18" i="35"/>
  <c r="AL18" i="35"/>
  <c r="AJ18" i="35"/>
  <c r="AI18" i="35"/>
  <c r="AG18" i="35"/>
  <c r="AF18" i="35"/>
  <c r="AS16" i="35"/>
  <c r="AR16" i="35"/>
  <c r="AP16" i="35"/>
  <c r="AO16" i="35"/>
  <c r="AM16" i="35"/>
  <c r="AL16" i="35"/>
  <c r="AJ16" i="35"/>
  <c r="AI16" i="35"/>
  <c r="AG16" i="35"/>
  <c r="AF16" i="35"/>
  <c r="AS14" i="35"/>
  <c r="AR14" i="35"/>
  <c r="AP14" i="35"/>
  <c r="AO14" i="35"/>
  <c r="AM14" i="35"/>
  <c r="AL14" i="35"/>
  <c r="AJ14" i="35"/>
  <c r="AI14" i="35"/>
  <c r="AG14" i="35"/>
  <c r="AF14" i="35"/>
  <c r="AS12" i="35"/>
  <c r="AR12" i="35"/>
  <c r="AP12" i="35"/>
  <c r="AO12" i="35"/>
  <c r="AM12" i="35"/>
  <c r="AL12" i="35"/>
  <c r="AJ12" i="35"/>
  <c r="AI12" i="35"/>
  <c r="AG12" i="35"/>
  <c r="AF12" i="35"/>
  <c r="AS8" i="35"/>
  <c r="AR8" i="35"/>
  <c r="AP8" i="35"/>
  <c r="AO8" i="35"/>
  <c r="AM8" i="35"/>
  <c r="AL8" i="35"/>
  <c r="AJ8" i="35"/>
  <c r="AI8" i="35"/>
  <c r="AG8" i="35"/>
  <c r="AF8" i="35"/>
  <c r="AS21" i="34"/>
  <c r="AR21" i="34"/>
  <c r="AP21" i="34"/>
  <c r="AO21" i="34"/>
  <c r="AM21" i="34"/>
  <c r="AL21" i="34"/>
  <c r="AJ21" i="34"/>
  <c r="AI21" i="34"/>
  <c r="AG21" i="34"/>
  <c r="AF21" i="34"/>
  <c r="AS18" i="34"/>
  <c r="AR18" i="34"/>
  <c r="AP18" i="34"/>
  <c r="AO18" i="34"/>
  <c r="AM18" i="34"/>
  <c r="AL18" i="34"/>
  <c r="AJ18" i="34"/>
  <c r="AI18" i="34"/>
  <c r="AG18" i="34"/>
  <c r="AF18" i="34"/>
  <c r="AS16" i="34"/>
  <c r="AR16" i="34"/>
  <c r="AP16" i="34"/>
  <c r="AO16" i="34"/>
  <c r="AM16" i="34"/>
  <c r="AL16" i="34"/>
  <c r="AJ16" i="34"/>
  <c r="AI16" i="34"/>
  <c r="AG16" i="34"/>
  <c r="AF16" i="34"/>
  <c r="AS14" i="34"/>
  <c r="AR14" i="34"/>
  <c r="AP14" i="34"/>
  <c r="AO14" i="34"/>
  <c r="AM14" i="34"/>
  <c r="AL14" i="34"/>
  <c r="AJ14" i="34"/>
  <c r="AI14" i="34"/>
  <c r="AG14" i="34"/>
  <c r="AF14" i="34"/>
  <c r="AS12" i="34"/>
  <c r="AR12" i="34"/>
  <c r="AP12" i="34"/>
  <c r="AO12" i="34"/>
  <c r="AM12" i="34"/>
  <c r="AL12" i="34"/>
  <c r="AJ12" i="34"/>
  <c r="AI12" i="34"/>
  <c r="AG12" i="34"/>
  <c r="AF12" i="34"/>
  <c r="AS8" i="34"/>
  <c r="AR8" i="34"/>
  <c r="AP8" i="34"/>
  <c r="AO8" i="34"/>
  <c r="AM8" i="34"/>
  <c r="AL8" i="34"/>
  <c r="AJ8" i="34"/>
  <c r="AI8" i="34"/>
  <c r="AG8" i="34"/>
  <c r="AF8" i="34"/>
  <c r="AS21" i="20"/>
  <c r="AR21" i="20"/>
  <c r="AP21" i="20"/>
  <c r="AO21" i="20"/>
  <c r="AM21" i="20"/>
  <c r="AL21" i="20"/>
  <c r="AJ21" i="20"/>
  <c r="AI21" i="20"/>
  <c r="AG21" i="20"/>
  <c r="AF21" i="20"/>
  <c r="AS18" i="20"/>
  <c r="AR18" i="20"/>
  <c r="AP18" i="20"/>
  <c r="AO18" i="20"/>
  <c r="AM18" i="20"/>
  <c r="AL18" i="20"/>
  <c r="AJ18" i="20"/>
  <c r="AI18" i="20"/>
  <c r="AG18" i="20"/>
  <c r="AF18" i="20"/>
  <c r="AM16" i="20"/>
  <c r="AL16" i="20"/>
  <c r="AJ16" i="20"/>
  <c r="AI16" i="20"/>
  <c r="AG16" i="20"/>
  <c r="AF16" i="20"/>
  <c r="AS14" i="20"/>
  <c r="AP14" i="20"/>
  <c r="AO14" i="20"/>
  <c r="AM14" i="20"/>
  <c r="AL14" i="20"/>
  <c r="AJ14" i="20"/>
  <c r="AI14" i="20"/>
  <c r="AG14" i="20"/>
  <c r="AF14" i="20"/>
  <c r="AS12" i="20"/>
  <c r="AR12" i="20"/>
  <c r="AP12" i="20"/>
  <c r="AO12" i="20"/>
  <c r="AM12" i="20"/>
  <c r="AL12" i="20"/>
  <c r="AJ12" i="20"/>
  <c r="AI12" i="20"/>
  <c r="AG12" i="20"/>
  <c r="AF12" i="20"/>
  <c r="AS8" i="20"/>
  <c r="AR8" i="20"/>
  <c r="AP8" i="20"/>
  <c r="AO8" i="20"/>
  <c r="AM8" i="20"/>
  <c r="AL8" i="20"/>
  <c r="AJ8" i="20"/>
  <c r="AI8" i="20"/>
  <c r="AG8" i="20"/>
  <c r="AF8" i="20"/>
  <c r="AS21" i="19"/>
  <c r="AR21" i="19"/>
  <c r="AP21" i="19"/>
  <c r="AO21" i="19"/>
  <c r="AM21" i="19"/>
  <c r="AL21" i="19"/>
  <c r="AJ21" i="19"/>
  <c r="AI21" i="19"/>
  <c r="AG21" i="19"/>
  <c r="AF21" i="19"/>
  <c r="AS18" i="19"/>
  <c r="AR18" i="19"/>
  <c r="AP18" i="19"/>
  <c r="AO18" i="19"/>
  <c r="AM18" i="19"/>
  <c r="AL18" i="19"/>
  <c r="AJ18" i="19"/>
  <c r="AI18" i="19"/>
  <c r="AG18" i="19"/>
  <c r="AF18" i="19"/>
  <c r="AS16" i="19"/>
  <c r="AR16" i="19"/>
  <c r="AP16" i="19"/>
  <c r="AO16" i="19"/>
  <c r="AL16" i="19"/>
  <c r="AJ16" i="19"/>
  <c r="AI16" i="19"/>
  <c r="AG16" i="19"/>
  <c r="AF16" i="19"/>
  <c r="AS14" i="19"/>
  <c r="AR14" i="19"/>
  <c r="AP14" i="19"/>
  <c r="AO14" i="19"/>
  <c r="AM14" i="19"/>
  <c r="AL14" i="19"/>
  <c r="AJ14" i="19"/>
  <c r="AI14" i="19"/>
  <c r="AG14" i="19"/>
  <c r="AF14" i="19"/>
  <c r="AS12" i="19"/>
  <c r="AR12" i="19"/>
  <c r="AP12" i="19"/>
  <c r="AO12" i="19"/>
  <c r="AM12" i="19"/>
  <c r="AL12" i="19"/>
  <c r="AJ12" i="19"/>
  <c r="AI12" i="19"/>
  <c r="AG12" i="19"/>
  <c r="AF12" i="19"/>
  <c r="AS8" i="19"/>
  <c r="AR8" i="19"/>
  <c r="AP8" i="19"/>
  <c r="AO8" i="19"/>
  <c r="AM8" i="19"/>
  <c r="AL8" i="19"/>
  <c r="AJ8" i="19"/>
  <c r="AI8" i="19"/>
  <c r="AG8" i="19"/>
  <c r="AF8" i="19"/>
  <c r="AS21" i="18"/>
  <c r="AR21" i="18"/>
  <c r="AP21" i="18"/>
  <c r="AO21" i="18"/>
  <c r="AM21" i="18"/>
  <c r="AL21" i="18"/>
  <c r="AJ21" i="18"/>
  <c r="AI21" i="18"/>
  <c r="AG21" i="18"/>
  <c r="AF21" i="18"/>
  <c r="AS18" i="18"/>
  <c r="AR18" i="18"/>
  <c r="AP18" i="18"/>
  <c r="AO18" i="18"/>
  <c r="AM18" i="18"/>
  <c r="AL18" i="18"/>
  <c r="AJ18" i="18"/>
  <c r="AI18" i="18"/>
  <c r="AG18" i="18"/>
  <c r="AF18" i="18"/>
  <c r="AS16" i="18"/>
  <c r="AR16" i="18"/>
  <c r="AP16" i="18"/>
  <c r="AO16" i="18"/>
  <c r="AM16" i="18"/>
  <c r="AL16" i="18"/>
  <c r="AJ16" i="18"/>
  <c r="AI16" i="18"/>
  <c r="AG16" i="18"/>
  <c r="AF16" i="18"/>
  <c r="AS14" i="18"/>
  <c r="AR14" i="18"/>
  <c r="AP14" i="18"/>
  <c r="AO14" i="18"/>
  <c r="AM14" i="18"/>
  <c r="AL14" i="18"/>
  <c r="AJ14" i="18"/>
  <c r="AI14" i="18"/>
  <c r="AG14" i="18"/>
  <c r="AF14" i="18"/>
  <c r="AS12" i="18"/>
  <c r="AR12" i="18"/>
  <c r="AP12" i="18"/>
  <c r="AO12" i="18"/>
  <c r="AM12" i="18"/>
  <c r="AL12" i="18"/>
  <c r="AJ12" i="18"/>
  <c r="AI12" i="18"/>
  <c r="AG12" i="18"/>
  <c r="AF12" i="18"/>
  <c r="AS8" i="18"/>
  <c r="AR8" i="18"/>
  <c r="AP8" i="18"/>
  <c r="AO8" i="18"/>
  <c r="AM8" i="18"/>
  <c r="AL8" i="18"/>
  <c r="AJ8" i="18"/>
  <c r="AI8" i="18"/>
  <c r="AG8" i="18"/>
  <c r="AF8" i="18"/>
  <c r="AS21" i="17"/>
  <c r="AR21" i="17"/>
  <c r="AP21" i="17"/>
  <c r="AO21" i="17"/>
  <c r="AM21" i="17"/>
  <c r="AL21" i="17"/>
  <c r="AJ21" i="17"/>
  <c r="AI21" i="17"/>
  <c r="AG21" i="17"/>
  <c r="AF21" i="17"/>
  <c r="AS18" i="17"/>
  <c r="AR18" i="17"/>
  <c r="AP18" i="17"/>
  <c r="AO18" i="17"/>
  <c r="AM18" i="17"/>
  <c r="AL18" i="17"/>
  <c r="AJ18" i="17"/>
  <c r="AI18" i="17"/>
  <c r="AG18" i="17"/>
  <c r="AF18" i="17"/>
  <c r="AS16" i="17"/>
  <c r="AR16" i="17"/>
  <c r="AP16" i="17"/>
  <c r="AO16" i="17"/>
  <c r="AM16" i="17"/>
  <c r="AL16" i="17"/>
  <c r="AJ16" i="17"/>
  <c r="AI16" i="17"/>
  <c r="AG16" i="17"/>
  <c r="AF16" i="17"/>
  <c r="AS14" i="17"/>
  <c r="AR14" i="17"/>
  <c r="AP14" i="17"/>
  <c r="AO14" i="17"/>
  <c r="AM14" i="17"/>
  <c r="AL14" i="17"/>
  <c r="AJ14" i="17"/>
  <c r="AI14" i="17"/>
  <c r="AG14" i="17"/>
  <c r="AF14" i="17"/>
  <c r="AS12" i="17"/>
  <c r="AR12" i="17"/>
  <c r="AP12" i="17"/>
  <c r="AO12" i="17"/>
  <c r="AM12" i="17"/>
  <c r="AL12" i="17"/>
  <c r="AJ12" i="17"/>
  <c r="AI12" i="17"/>
  <c r="AG12" i="17"/>
  <c r="AF12" i="17"/>
  <c r="AS8" i="17"/>
  <c r="AR8" i="17"/>
  <c r="AP8" i="17"/>
  <c r="AO8" i="17"/>
  <c r="AM8" i="17"/>
  <c r="AL8" i="17"/>
  <c r="AJ8" i="17"/>
  <c r="AI8" i="17"/>
  <c r="AG8" i="17"/>
  <c r="AF8" i="17"/>
  <c r="AS21" i="15"/>
  <c r="AR21" i="15"/>
  <c r="AP21" i="15"/>
  <c r="AO21" i="15"/>
  <c r="AM21" i="15"/>
  <c r="AL21" i="15"/>
  <c r="AJ21" i="15"/>
  <c r="AI21" i="15"/>
  <c r="AG21" i="15"/>
  <c r="AF21" i="15"/>
  <c r="AS18" i="15"/>
  <c r="AR18" i="15"/>
  <c r="AP18" i="15"/>
  <c r="AO18" i="15"/>
  <c r="AM18" i="15"/>
  <c r="AL18" i="15"/>
  <c r="AJ18" i="15"/>
  <c r="AI18" i="15"/>
  <c r="AG18" i="15"/>
  <c r="AF18" i="15"/>
  <c r="AS16" i="15"/>
  <c r="AR16" i="15"/>
  <c r="AP16" i="15"/>
  <c r="AO16" i="15"/>
  <c r="AM16" i="15"/>
  <c r="AL16" i="15"/>
  <c r="AJ16" i="15"/>
  <c r="AI16" i="15"/>
  <c r="AG16" i="15"/>
  <c r="AF16" i="15"/>
  <c r="AS14" i="15"/>
  <c r="AR14" i="15"/>
  <c r="AP14" i="15"/>
  <c r="AO14" i="15"/>
  <c r="AM14" i="15"/>
  <c r="AL14" i="15"/>
  <c r="AJ14" i="15"/>
  <c r="AI14" i="15"/>
  <c r="AG14" i="15"/>
  <c r="AF14" i="15"/>
  <c r="AS12" i="15"/>
  <c r="AR12" i="15"/>
  <c r="AP12" i="15"/>
  <c r="AO12" i="15"/>
  <c r="AM12" i="15"/>
  <c r="AL12" i="15"/>
  <c r="AJ12" i="15"/>
  <c r="AI12" i="15"/>
  <c r="AG12" i="15"/>
  <c r="AF12" i="15"/>
  <c r="AS8" i="15"/>
  <c r="AR8" i="15"/>
  <c r="AP8" i="15"/>
  <c r="AO8" i="15"/>
  <c r="AM8" i="15"/>
  <c r="AL8" i="15"/>
  <c r="AJ8" i="15"/>
  <c r="AI8" i="15"/>
  <c r="AG8" i="15"/>
  <c r="AF8" i="15"/>
  <c r="AS21" i="14"/>
  <c r="AR21" i="14"/>
  <c r="AP21" i="14"/>
  <c r="AO21" i="14"/>
  <c r="AM21" i="14"/>
  <c r="AL21" i="14"/>
  <c r="AJ21" i="14"/>
  <c r="AI21" i="14"/>
  <c r="AG21" i="14"/>
  <c r="AF21" i="14"/>
  <c r="AS18" i="14"/>
  <c r="AR18" i="14"/>
  <c r="AP18" i="14"/>
  <c r="AO18" i="14"/>
  <c r="AM18" i="14"/>
  <c r="AL18" i="14"/>
  <c r="AJ18" i="14"/>
  <c r="AI18" i="14"/>
  <c r="AG18" i="14"/>
  <c r="AF18" i="14"/>
  <c r="AS16" i="14"/>
  <c r="AR16" i="14"/>
  <c r="AP16" i="14"/>
  <c r="AO16" i="14"/>
  <c r="AM16" i="14"/>
  <c r="AL16" i="14"/>
  <c r="AJ16" i="14"/>
  <c r="AI16" i="14"/>
  <c r="AG16" i="14"/>
  <c r="AF16" i="14"/>
  <c r="AS14" i="14"/>
  <c r="AR14" i="14"/>
  <c r="AP14" i="14"/>
  <c r="AO14" i="14"/>
  <c r="AM14" i="14"/>
  <c r="AL14" i="14"/>
  <c r="AJ14" i="14"/>
  <c r="AI14" i="14"/>
  <c r="AG14" i="14"/>
  <c r="AF14" i="14"/>
  <c r="AS12" i="14"/>
  <c r="AR12" i="14"/>
  <c r="AP12" i="14"/>
  <c r="AO12" i="14"/>
  <c r="AM12" i="14"/>
  <c r="AL12" i="14"/>
  <c r="AJ12" i="14"/>
  <c r="AI12" i="14"/>
  <c r="AG12" i="14"/>
  <c r="AF12" i="14"/>
  <c r="AS8" i="14"/>
  <c r="AR8" i="14"/>
  <c r="AP8" i="14"/>
  <c r="AO8" i="14"/>
  <c r="AM8" i="14"/>
  <c r="AL8" i="14"/>
  <c r="AJ8" i="14"/>
  <c r="AI8" i="14"/>
  <c r="AG8" i="14"/>
  <c r="AF8" i="14"/>
  <c r="AS21" i="12"/>
  <c r="AR21" i="12"/>
  <c r="AP21" i="12"/>
  <c r="AO21" i="12"/>
  <c r="AM21" i="12"/>
  <c r="AL21" i="12"/>
  <c r="AJ21" i="12"/>
  <c r="AI21" i="12"/>
  <c r="AG21" i="12"/>
  <c r="AF21" i="12"/>
  <c r="AS18" i="12"/>
  <c r="AR18" i="12"/>
  <c r="AP18" i="12"/>
  <c r="AO18" i="12"/>
  <c r="AM18" i="12"/>
  <c r="AL18" i="12"/>
  <c r="AJ18" i="12"/>
  <c r="AI18" i="12"/>
  <c r="AG18" i="12"/>
  <c r="AF18" i="12"/>
  <c r="AS16" i="12"/>
  <c r="AR16" i="12"/>
  <c r="AP16" i="12"/>
  <c r="AO16" i="12"/>
  <c r="AM16" i="12"/>
  <c r="AL16" i="12"/>
  <c r="AJ16" i="12"/>
  <c r="AI16" i="12"/>
  <c r="AG16" i="12"/>
  <c r="AF16" i="12"/>
  <c r="AS14" i="12"/>
  <c r="AR14" i="12"/>
  <c r="AP14" i="12"/>
  <c r="AO14" i="12"/>
  <c r="AM14" i="12"/>
  <c r="AL14" i="12"/>
  <c r="AJ14" i="12"/>
  <c r="AI14" i="12"/>
  <c r="AG14" i="12"/>
  <c r="AF14" i="12"/>
  <c r="AS12" i="12"/>
  <c r="AR12" i="12"/>
  <c r="AP12" i="12"/>
  <c r="AO12" i="12"/>
  <c r="AM12" i="12"/>
  <c r="AL12" i="12"/>
  <c r="AJ12" i="12"/>
  <c r="AI12" i="12"/>
  <c r="AG12" i="12"/>
  <c r="AF12" i="12"/>
  <c r="AS8" i="12"/>
  <c r="AR8" i="12"/>
  <c r="AP8" i="12"/>
  <c r="AO8" i="12"/>
  <c r="AM8" i="12"/>
  <c r="AL8" i="12"/>
  <c r="AJ8" i="12"/>
  <c r="AI8" i="12"/>
  <c r="AG8" i="12"/>
  <c r="AF8" i="12"/>
  <c r="AS21" i="39"/>
  <c r="AR21" i="39"/>
  <c r="AP21" i="39"/>
  <c r="AO21" i="39"/>
  <c r="AM21" i="39"/>
  <c r="AL21" i="39"/>
  <c r="AJ21" i="39"/>
  <c r="AI21" i="39"/>
  <c r="AG21" i="39"/>
  <c r="AF21" i="39"/>
  <c r="AS18" i="39"/>
  <c r="AR18" i="39"/>
  <c r="AP18" i="39"/>
  <c r="AO18" i="39"/>
  <c r="AM18" i="39"/>
  <c r="AL18" i="39"/>
  <c r="AJ18" i="39"/>
  <c r="AI18" i="39"/>
  <c r="AG18" i="39"/>
  <c r="AF18" i="39"/>
  <c r="AS16" i="39"/>
  <c r="AR16" i="39"/>
  <c r="AP16" i="39"/>
  <c r="AO16" i="39"/>
  <c r="AM16" i="39"/>
  <c r="AL16" i="39"/>
  <c r="AJ16" i="39"/>
  <c r="AI16" i="39"/>
  <c r="AG16" i="39"/>
  <c r="AF16" i="39"/>
  <c r="AS14" i="39"/>
  <c r="AR14" i="39"/>
  <c r="AP14" i="39"/>
  <c r="AO14" i="39"/>
  <c r="AM14" i="39"/>
  <c r="AL14" i="39"/>
  <c r="AJ14" i="39"/>
  <c r="AI14" i="39"/>
  <c r="AG14" i="39"/>
  <c r="AF14" i="39"/>
  <c r="AS12" i="39"/>
  <c r="AR12" i="39"/>
  <c r="AP12" i="39"/>
  <c r="AO12" i="39"/>
  <c r="AM12" i="39"/>
  <c r="AL12" i="39"/>
  <c r="AJ12" i="39"/>
  <c r="AI12" i="39"/>
  <c r="AG12" i="39"/>
  <c r="AF12" i="39"/>
  <c r="AP8" i="39"/>
  <c r="AO8" i="39"/>
  <c r="AM8" i="39"/>
  <c r="AL8" i="39"/>
  <c r="AJ8" i="39"/>
  <c r="AI8" i="39"/>
  <c r="AG8" i="39"/>
  <c r="AF8" i="39"/>
</calcChain>
</file>

<file path=xl/sharedStrings.xml><?xml version="1.0" encoding="utf-8"?>
<sst xmlns="http://schemas.openxmlformats.org/spreadsheetml/2006/main" count="9150" uniqueCount="181">
  <si>
    <t>x</t>
  </si>
  <si>
    <t>y</t>
  </si>
  <si>
    <t xml:space="preserve"> 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</si>
  <si>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</si>
  <si>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</si>
  <si>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</si>
  <si>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</si>
  <si>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</si>
  <si>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</si>
  <si>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</si>
  <si>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</si>
  <si>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</si>
  <si>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</si>
  <si>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</si>
  <si>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</si>
  <si>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</si>
  <si>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</si>
  <si>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</si>
  <si>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</si>
  <si>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</si>
  <si>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</si>
  <si>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</si>
  <si>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</si>
  <si>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</si>
  <si>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z</t>
  </si>
  <si>
    <t>p1</t>
    <phoneticPr fontId="1" type="noConversion"/>
  </si>
  <si>
    <t>p2</t>
    <phoneticPr fontId="1" type="noConversion"/>
  </si>
  <si>
    <t>p3</t>
  </si>
  <si>
    <t>p4</t>
  </si>
  <si>
    <t>p5</t>
    <phoneticPr fontId="1" type="noConversion"/>
  </si>
  <si>
    <t>a</t>
    <phoneticPr fontId="1" type="noConversion"/>
  </si>
  <si>
    <t>a</t>
    <phoneticPr fontId="1" type="noConversion"/>
  </si>
  <si>
    <t>c</t>
    <phoneticPr fontId="1" type="noConversion"/>
  </si>
  <si>
    <t>e</t>
    <phoneticPr fontId="1" type="noConversion"/>
  </si>
  <si>
    <t>g</t>
    <phoneticPr fontId="1" type="noConversion"/>
  </si>
  <si>
    <t>b</t>
    <phoneticPr fontId="1" type="noConversion"/>
  </si>
  <si>
    <t>c</t>
    <phoneticPr fontId="1" type="noConversion"/>
  </si>
  <si>
    <t>c</t>
    <phoneticPr fontId="1" type="noConversion"/>
  </si>
  <si>
    <t>d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</si>
  <si>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</si>
  <si>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</si>
  <si>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</si>
  <si>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</si>
  <si>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</si>
  <si>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</si>
  <si>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</si>
  <si>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o</t>
    <phoneticPr fontId="1" type="noConversion"/>
  </si>
  <si>
    <t>q</t>
    <phoneticPr fontId="1" type="noConversion"/>
  </si>
  <si>
    <t>p</t>
    <phoneticPr fontId="1" type="noConversion"/>
  </si>
  <si>
    <t>p</t>
    <phoneticPr fontId="1" type="noConversion"/>
  </si>
  <si>
    <t>u</t>
    <phoneticPr fontId="1" type="noConversion"/>
  </si>
  <si>
    <t>s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</si>
  <si>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</si>
  <si>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</si>
  <si>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</si>
  <si>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關鍵點(2)</t>
    <phoneticPr fontId="1" type="noConversion"/>
  </si>
  <si>
    <t>關鍵點(3)</t>
    <phoneticPr fontId="1" type="noConversion"/>
  </si>
  <si>
    <t>關鍵點(4)</t>
    <phoneticPr fontId="1" type="noConversion"/>
  </si>
  <si>
    <t>長度</t>
    <phoneticPr fontId="1" type="noConversion"/>
  </si>
  <si>
    <t>面積</t>
    <phoneticPr fontId="1" type="noConversion"/>
  </si>
  <si>
    <t>角度(°)</t>
    <phoneticPr fontId="1" type="noConversion"/>
  </si>
  <si>
    <t>h</t>
    <phoneticPr fontId="1" type="noConversion"/>
  </si>
  <si>
    <t>z</t>
    <phoneticPr fontId="1" type="noConversion"/>
  </si>
  <si>
    <t>可繼續新增關鍵點座標↑↑↑注意格式不能改變</t>
    <phoneticPr fontId="1" type="noConversion"/>
  </si>
  <si>
    <t>↑↑↑可繼續新增欲計算的項目於左方關鍵點欄位
注意格式不能改變</t>
    <phoneticPr fontId="1" type="noConversion"/>
  </si>
  <si>
    <t>e</t>
    <phoneticPr fontId="7" type="noConversion"/>
  </si>
  <si>
    <t>g</t>
    <phoneticPr fontId="7" type="noConversion"/>
  </si>
  <si>
    <t>top</t>
    <phoneticPr fontId="11" type="noConversion"/>
  </si>
  <si>
    <t>v</t>
    <phoneticPr fontId="11" type="noConversion"/>
  </si>
  <si>
    <t>w</t>
    <phoneticPr fontId="11" type="noConversion"/>
  </si>
  <si>
    <t>x</t>
    <phoneticPr fontId="11" type="noConversion"/>
  </si>
  <si>
    <t>y</t>
    <phoneticPr fontId="11" type="noConversion"/>
  </si>
  <si>
    <t>e2</t>
    <phoneticPr fontId="11" type="noConversion"/>
  </si>
  <si>
    <t>w</t>
    <phoneticPr fontId="7" type="noConversion"/>
  </si>
  <si>
    <t>x</t>
    <phoneticPr fontId="7" type="noConversion"/>
  </si>
  <si>
    <t>y</t>
    <phoneticPr fontId="7" type="noConversion"/>
  </si>
  <si>
    <t>v</t>
    <phoneticPr fontId="7" type="noConversion"/>
  </si>
  <si>
    <t>e</t>
    <phoneticPr fontId="11" type="noConversion"/>
  </si>
  <si>
    <t>w</t>
    <phoneticPr fontId="1" type="noConversion"/>
  </si>
  <si>
    <t>y</t>
    <phoneticPr fontId="1" type="noConversion"/>
  </si>
  <si>
    <t>v</t>
    <phoneticPr fontId="1" type="noConversion"/>
  </si>
  <si>
    <t>x</t>
    <phoneticPr fontId="1" type="noConversion"/>
  </si>
  <si>
    <t xml:space="preserve">p1 </t>
    <phoneticPr fontId="11" type="noConversion"/>
  </si>
  <si>
    <t xml:space="preserve">p2 </t>
    <phoneticPr fontId="11" type="noConversion"/>
  </si>
  <si>
    <t xml:space="preserve">p3 </t>
    <phoneticPr fontId="11" type="noConversion"/>
  </si>
  <si>
    <t xml:space="preserve">p4 </t>
    <phoneticPr fontId="11" type="noConversion"/>
  </si>
  <si>
    <t xml:space="preserve">p5 </t>
    <phoneticPr fontId="11" type="noConversion"/>
  </si>
  <si>
    <t>q</t>
    <phoneticPr fontId="11" type="noConversion"/>
  </si>
  <si>
    <t xml:space="preserve">p11 </t>
    <phoneticPr fontId="11" type="noConversion"/>
  </si>
  <si>
    <t xml:space="preserve">p12 </t>
    <phoneticPr fontId="11" type="noConversion"/>
  </si>
  <si>
    <t xml:space="preserve">p13 </t>
    <phoneticPr fontId="11" type="noConversion"/>
  </si>
  <si>
    <t xml:space="preserve">p14 </t>
    <phoneticPr fontId="11" type="noConversion"/>
  </si>
  <si>
    <t xml:space="preserve">p15 </t>
    <phoneticPr fontId="11" type="noConversion"/>
  </si>
  <si>
    <t>p6</t>
    <phoneticPr fontId="11" type="noConversion"/>
  </si>
  <si>
    <t>p7</t>
    <phoneticPr fontId="11" type="noConversion"/>
  </si>
  <si>
    <t>p8</t>
    <phoneticPr fontId="11" type="noConversion"/>
  </si>
  <si>
    <t>p9</t>
    <phoneticPr fontId="11" type="noConversion"/>
  </si>
  <si>
    <t xml:space="preserve">p10 </t>
    <phoneticPr fontId="11" type="noConversion"/>
  </si>
  <si>
    <t>a</t>
    <phoneticPr fontId="11" type="noConversion"/>
  </si>
  <si>
    <t>p16</t>
    <phoneticPr fontId="11" type="noConversion"/>
  </si>
  <si>
    <t>p17</t>
    <phoneticPr fontId="11" type="noConversion"/>
  </si>
  <si>
    <t>p18</t>
    <phoneticPr fontId="11" type="noConversion"/>
  </si>
  <si>
    <t>p19</t>
    <phoneticPr fontId="11" type="noConversion"/>
  </si>
  <si>
    <t xml:space="preserve">p20 </t>
    <phoneticPr fontId="11" type="noConversion"/>
  </si>
  <si>
    <t xml:space="preserve">p21 </t>
    <phoneticPr fontId="11" type="noConversion"/>
  </si>
  <si>
    <t xml:space="preserve">p22 </t>
    <phoneticPr fontId="11" type="noConversion"/>
  </si>
  <si>
    <t xml:space="preserve">p23 </t>
    <phoneticPr fontId="11" type="noConversion"/>
  </si>
  <si>
    <t xml:space="preserve">p24 </t>
    <phoneticPr fontId="11" type="noConversion"/>
  </si>
  <si>
    <t xml:space="preserve">p25 </t>
    <phoneticPr fontId="11" type="noConversion"/>
  </si>
  <si>
    <t>s</t>
    <phoneticPr fontId="11" type="noConversion"/>
  </si>
  <si>
    <t>p26</t>
    <phoneticPr fontId="11" type="noConversion"/>
  </si>
  <si>
    <t>p27</t>
    <phoneticPr fontId="11" type="noConversion"/>
  </si>
  <si>
    <t>p28</t>
    <phoneticPr fontId="11" type="noConversion"/>
  </si>
  <si>
    <t>p29</t>
    <phoneticPr fontId="11" type="noConversion"/>
  </si>
  <si>
    <t xml:space="preserve">p30 </t>
    <phoneticPr fontId="11" type="noConversion"/>
  </si>
  <si>
    <t xml:space="preserve">p31 </t>
    <phoneticPr fontId="11" type="noConversion"/>
  </si>
  <si>
    <t xml:space="preserve">p32 </t>
    <phoneticPr fontId="11" type="noConversion"/>
  </si>
  <si>
    <t xml:space="preserve">p33 </t>
    <phoneticPr fontId="11" type="noConversion"/>
  </si>
  <si>
    <t xml:space="preserve">p34 </t>
    <phoneticPr fontId="11" type="noConversion"/>
  </si>
  <si>
    <t xml:space="preserve">p35 </t>
    <phoneticPr fontId="11" type="noConversion"/>
  </si>
  <si>
    <t>p36</t>
    <phoneticPr fontId="11" type="noConversion"/>
  </si>
  <si>
    <t>p37</t>
    <phoneticPr fontId="11" type="noConversion"/>
  </si>
  <si>
    <t>p38</t>
    <phoneticPr fontId="11" type="noConversion"/>
  </si>
  <si>
    <t>p39</t>
    <phoneticPr fontId="11" type="noConversion"/>
  </si>
  <si>
    <t xml:space="preserve">p40 </t>
    <phoneticPr fontId="11" type="noConversion"/>
  </si>
  <si>
    <t xml:space="preserve">p41 </t>
    <phoneticPr fontId="11" type="noConversion"/>
  </si>
  <si>
    <t xml:space="preserve">p42 </t>
    <phoneticPr fontId="11" type="noConversion"/>
  </si>
  <si>
    <t xml:space="preserve">p43 </t>
    <phoneticPr fontId="11" type="noConversion"/>
  </si>
  <si>
    <t xml:space="preserve">p44 </t>
    <phoneticPr fontId="11" type="noConversion"/>
  </si>
  <si>
    <t xml:space="preserve">p45 </t>
    <phoneticPr fontId="11" type="noConversion"/>
  </si>
  <si>
    <t>p46</t>
    <phoneticPr fontId="11" type="noConversion"/>
  </si>
  <si>
    <t>p47</t>
    <phoneticPr fontId="11" type="noConversion"/>
  </si>
  <si>
    <t>p48</t>
    <phoneticPr fontId="11" type="noConversion"/>
  </si>
  <si>
    <t>p49</t>
    <phoneticPr fontId="11" type="noConversion"/>
  </si>
  <si>
    <t xml:space="preserve">p50 </t>
    <phoneticPr fontId="11" type="noConversion"/>
  </si>
  <si>
    <t xml:space="preserve">p51 </t>
    <phoneticPr fontId="11" type="noConversion"/>
  </si>
  <si>
    <t xml:space="preserve">p52 </t>
    <phoneticPr fontId="11" type="noConversion"/>
  </si>
  <si>
    <t xml:space="preserve">p53 </t>
    <phoneticPr fontId="11" type="noConversion"/>
  </si>
  <si>
    <t xml:space="preserve">p54 </t>
    <phoneticPr fontId="11" type="noConversion"/>
  </si>
  <si>
    <t xml:space="preserve">p55 </t>
    <phoneticPr fontId="11" type="noConversion"/>
  </si>
  <si>
    <t>p56</t>
    <phoneticPr fontId="11" type="noConversion"/>
  </si>
  <si>
    <t>p57</t>
    <phoneticPr fontId="11" type="noConversion"/>
  </si>
  <si>
    <t>p58</t>
    <phoneticPr fontId="11" type="noConversion"/>
  </si>
  <si>
    <t>p59</t>
    <phoneticPr fontId="11" type="noConversion"/>
  </si>
  <si>
    <t xml:space="preserve">p60 </t>
    <phoneticPr fontId="11" type="noConversion"/>
  </si>
  <si>
    <t xml:space="preserve">p61 </t>
    <phoneticPr fontId="11" type="noConversion"/>
  </si>
  <si>
    <t xml:space="preserve">p62 </t>
    <phoneticPr fontId="11" type="noConversion"/>
  </si>
  <si>
    <t xml:space="preserve">p63 </t>
    <phoneticPr fontId="11" type="noConversion"/>
  </si>
  <si>
    <t xml:space="preserve">p64 </t>
    <phoneticPr fontId="11" type="noConversion"/>
  </si>
  <si>
    <t xml:space="preserve">p65 </t>
    <phoneticPr fontId="11" type="noConversion"/>
  </si>
  <si>
    <t>p66</t>
    <phoneticPr fontId="11" type="noConversion"/>
  </si>
  <si>
    <t>p67</t>
    <phoneticPr fontId="11" type="noConversion"/>
  </si>
  <si>
    <t>p68</t>
    <phoneticPr fontId="11" type="noConversion"/>
  </si>
  <si>
    <t>p69</t>
    <phoneticPr fontId="11" type="noConversion"/>
  </si>
  <si>
    <t xml:space="preserve">p70 </t>
    <phoneticPr fontId="11" type="noConversion"/>
  </si>
  <si>
    <t xml:space="preserve">p71 </t>
    <phoneticPr fontId="11" type="noConversion"/>
  </si>
  <si>
    <t xml:space="preserve">p72 </t>
    <phoneticPr fontId="11" type="noConversion"/>
  </si>
  <si>
    <t xml:space="preserve">p73 </t>
    <phoneticPr fontId="11" type="noConversion"/>
  </si>
  <si>
    <t xml:space="preserve">p74 </t>
    <phoneticPr fontId="11" type="noConversion"/>
  </si>
  <si>
    <t xml:space="preserve">p75 </t>
    <phoneticPr fontId="11" type="noConversion"/>
  </si>
  <si>
    <t>p10</t>
    <phoneticPr fontId="11" type="noConversion"/>
  </si>
  <si>
    <t>p11</t>
    <phoneticPr fontId="11" type="noConversion"/>
  </si>
  <si>
    <t xml:space="preserve">p18 </t>
    <phoneticPr fontId="11" type="noConversion"/>
  </si>
  <si>
    <t xml:space="preserve">p19 </t>
    <phoneticPr fontId="11" type="noConversion"/>
  </si>
  <si>
    <t>p20</t>
    <phoneticPr fontId="11" type="noConversion"/>
  </si>
  <si>
    <t>p30</t>
    <phoneticPr fontId="11" type="noConversion"/>
  </si>
  <si>
    <t>p40</t>
    <phoneticPr fontId="11" type="noConversion"/>
  </si>
  <si>
    <t>i</t>
    <phoneticPr fontId="11" type="noConversion"/>
  </si>
  <si>
    <t>p50</t>
    <phoneticPr fontId="11" type="noConversion"/>
  </si>
  <si>
    <t>p60</t>
    <phoneticPr fontId="11" type="noConversion"/>
  </si>
  <si>
    <t>p70</t>
    <phoneticPr fontId="11" type="noConversion"/>
  </si>
  <si>
    <t xml:space="preserve">jt1 </t>
  </si>
  <si>
    <t xml:space="preserve">jt2 </t>
  </si>
  <si>
    <t xml:space="preserve">jt3 </t>
  </si>
  <si>
    <t xml:space="preserve">jt4 </t>
  </si>
  <si>
    <t xml:space="preserve">jt5 </t>
  </si>
  <si>
    <t>point</t>
  </si>
  <si>
    <t>coordinate</t>
  </si>
  <si>
    <t>point</t>
    <phoneticPr fontId="7" type="noConversion"/>
  </si>
  <si>
    <t>Japan True Face</t>
    <phoneticPr fontId="11" type="noConversion"/>
  </si>
  <si>
    <t>USA True Face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</si>
</sst>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2"/>
      <name val="宋体"/>
      <charset val="134"/>
    </font>
    <font>
      <sz val="9"/>
      <name val="細明體"/>
      <family val="3"/>
      <charset val="136"/>
    </font>
    <font>
      <sz val="12"/>
      <name val="微軟正黑體"/>
      <family val="2"/>
      <charset val="136"/>
    </font>
    <font>
      <sz val="18"/>
      <name val="微軟正黑體"/>
      <family val="2"/>
      <charset val="136"/>
    </font>
    <font>
      <sz val="14"/>
      <name val="微軟正黑體"/>
      <family val="2"/>
      <charset val="136"/>
    </font>
    <font>
      <b/>
      <sz val="16"/>
      <color rgb="FFFF0000"/>
      <name val="微軟正黑體"/>
      <family val="2"/>
      <charset val="136"/>
    </font>
    <font>
      <sz val="10"/>
      <name val="微軟正黑體"/>
      <family val="2"/>
      <charset val="136"/>
    </font>
    <font>
      <sz val="9"/>
      <name val="宋体"/>
      <family val="3"/>
      <charset val="134"/>
    </font>
    <font>
      <sz val="18"/>
      <name val="微軟正黑體"/>
      <family val="2"/>
    </font>
    <font>
      <sz val="14"/>
      <name val="微軟正黑體"/>
      <family val="2"/>
    </font>
    <font>
      <sz val="12"/>
      <name val="微軟正黑體"/>
      <family val="2"/>
    </font>
    <font>
      <sz val="9"/>
      <name val="新細明體"/>
      <family val="2"/>
      <charset val="136"/>
      <scheme val="minor"/>
    </font>
    <font>
      <sz val="12"/>
      <name val="Microsoft JhengHei UI"/>
      <family val="2"/>
      <charset val="136"/>
    </font>
  </fonts>
  <fills count="8">
    <fill>
      <patternFill patternType="none"/>
    </fill>
    <fill>
      <patternFill patternType="gray125"/>
    </fill>
    <fill>
      <patternFill patternType="solid">
        <fgColor theme="6" tint="0.799920651875362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85961485641044"/>
        <bgColor indexed="64"/>
      </patternFill>
    </fill>
    <fill>
      <patternFill patternType="solid">
        <fgColor theme="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101">
    <xf numFmtId="0" fontId="0" fillId="0" borderId="0" xfId="0">
      <alignment vertical="center"/>
    </xf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right" vertical="center"/>
    </xf>
    <xf numFmtId="0" fontId="2" fillId="0" borderId="1" xfId="0" applyFont="1" applyBorder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2" fillId="0" borderId="1" xfId="0" applyFont="1" applyFill="1" applyBorder="1" applyAlignment="1">
      <alignment horizontal="right" vertical="center"/>
    </xf>
    <xf numFmtId="0" fontId="2" fillId="0" borderId="5" xfId="0" applyFont="1" applyBorder="1" applyAlignment="1">
      <alignment horizontal="right" vertical="center"/>
    </xf>
    <xf numFmtId="0" fontId="2" fillId="0" borderId="0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2" xfId="0" applyFont="1" applyFill="1" applyBorder="1" applyAlignment="1">
      <alignment horizontal="right" vertical="center"/>
    </xf>
    <xf numFmtId="0" fontId="2" fillId="0" borderId="11" xfId="0" applyFont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4" borderId="3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6" fillId="5" borderId="3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0" borderId="0" xfId="0" applyFont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10" fillId="6" borderId="1" xfId="0" applyFont="1" applyFill="1" applyBorder="1">
      <alignment vertical="center"/>
    </xf>
    <xf numFmtId="0" fontId="10" fillId="0" borderId="1" xfId="0" applyFont="1" applyBorder="1">
      <alignment vertical="center"/>
    </xf>
    <xf numFmtId="0" fontId="10" fillId="7" borderId="1" xfId="0" applyFont="1" applyFill="1" applyBorder="1">
      <alignment vertical="center"/>
    </xf>
    <xf numFmtId="0" fontId="10" fillId="7" borderId="1" xfId="0" applyFont="1" applyFill="1" applyBorder="1" applyAlignment="1">
      <alignment horizontal="center" vertical="center"/>
    </xf>
    <xf numFmtId="0" fontId="10" fillId="6" borderId="13" xfId="0" applyFont="1" applyFill="1" applyBorder="1">
      <alignment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>
      <alignment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2" fillId="6" borderId="1" xfId="0" applyFont="1" applyFill="1" applyBorder="1">
      <alignment vertical="center"/>
    </xf>
    <xf numFmtId="0" fontId="4" fillId="0" borderId="0" xfId="0" applyFont="1">
      <alignment vertical="center"/>
    </xf>
    <xf numFmtId="0" fontId="10" fillId="6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6" borderId="3" xfId="0" applyFont="1" applyFill="1" applyBorder="1" applyAlignment="1">
      <alignment horizontal="center" vertical="center"/>
    </xf>
    <xf numFmtId="0" fontId="10" fillId="6" borderId="2" xfId="0" applyFont="1" applyFill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</cellXfs>
  <cellStyles count="1">
    <cellStyle name="一般" xfId="0" builtinId="0"/>
  </cellStyles>
  <dxfs count="30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66CCFF"/>
      <color rgb="FF66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25537B16-B2A8-4816-96D9-A205CB7582A1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E94F40B5-FE75-48E1-9248-CE42652BE301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twoCellAnchor editAs="oneCell">
    <xdr:from>
      <xdr:col>3</xdr:col>
      <xdr:colOff>123269</xdr:colOff>
      <xdr:row>1</xdr:row>
      <xdr:rowOff>56021</xdr:rowOff>
    </xdr:from>
    <xdr:to>
      <xdr:col>5</xdr:col>
      <xdr:colOff>669622</xdr:colOff>
      <xdr:row>3</xdr:row>
      <xdr:rowOff>150442</xdr:rowOff>
    </xdr:to>
    <xdr:sp macro="[0]!auto_length" textlink="">
      <xdr:nvSpPr>
        <xdr:cNvPr id="4" name="矩形 3">
          <a:extLst>
            <a:ext uri="{FF2B5EF4-FFF2-40B4-BE49-F238E27FC236}">
              <a16:creationId xmlns:a16="http://schemas.microsoft.com/office/drawing/2014/main" id="{8D3A46EC-459B-46B0-BB96-651B76617775}"/>
            </a:ext>
          </a:extLst>
        </xdr:cNvPr>
        <xdr:cNvSpPr>
          <a:spLocks noChangeAspect="1"/>
        </xdr:cNvSpPr>
      </xdr:nvSpPr>
      <xdr:spPr>
        <a:xfrm>
          <a:off x="946229" y="360821"/>
          <a:ext cx="2161793" cy="544001"/>
        </a:xfrm>
        <a:prstGeom prst="rect">
          <a:avLst/>
        </a:prstGeom>
        <a:solidFill>
          <a:schemeClr val="bg1"/>
        </a:solidFill>
        <a:ln w="38100">
          <a:solidFill>
            <a:schemeClr val="accent2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2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計算長度</a:t>
          </a:r>
        </a:p>
      </xdr:txBody>
    </xdr:sp>
    <xdr:clientData/>
  </xdr:twoCellAnchor>
  <xdr:oneCellAnchor>
    <xdr:from>
      <xdr:col>13</xdr:col>
      <xdr:colOff>134475</xdr:colOff>
      <xdr:row>1</xdr:row>
      <xdr:rowOff>56021</xdr:rowOff>
    </xdr:from>
    <xdr:ext cx="2160000" cy="360000"/>
    <xdr:sp macro="[0]!auto_angle" textlink="">
      <xdr:nvSpPr>
        <xdr:cNvPr id="5" name="矩形 4">
          <a:extLst>
            <a:ext uri="{FF2B5EF4-FFF2-40B4-BE49-F238E27FC236}">
              <a16:creationId xmlns:a16="http://schemas.microsoft.com/office/drawing/2014/main" id="{E452B32E-6EDA-42FB-BF3D-F473E5885350}"/>
            </a:ext>
          </a:extLst>
        </xdr:cNvPr>
        <xdr:cNvSpPr>
          <a:spLocks noChangeAspect="1"/>
        </xdr:cNvSpPr>
      </xdr:nvSpPr>
      <xdr:spPr>
        <a:xfrm>
          <a:off x="6215235" y="360821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4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計算角度</a:t>
          </a:r>
          <a:r>
            <a:rPr lang="en-US" altLang="zh-TW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(°)</a:t>
          </a:r>
          <a:endParaRPr lang="zh-TW" altLang="en-US" sz="1600" b="1">
            <a:solidFill>
              <a:schemeClr val="accent4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oneCellAnchor>
  <xdr:oneCellAnchor>
    <xdr:from>
      <xdr:col>24</xdr:col>
      <xdr:colOff>134475</xdr:colOff>
      <xdr:row>1</xdr:row>
      <xdr:rowOff>56022</xdr:rowOff>
    </xdr:from>
    <xdr:ext cx="2160000" cy="360000"/>
    <xdr:sp macro="[0]!auto_area" textlink="">
      <xdr:nvSpPr>
        <xdr:cNvPr id="6" name="矩形 5">
          <a:extLst>
            <a:ext uri="{FF2B5EF4-FFF2-40B4-BE49-F238E27FC236}">
              <a16:creationId xmlns:a16="http://schemas.microsoft.com/office/drawing/2014/main" id="{B7A2BEA3-7851-4E4A-9135-07453DE63CC1}"/>
            </a:ext>
          </a:extLst>
        </xdr:cNvPr>
        <xdr:cNvSpPr>
          <a:spLocks noChangeAspect="1"/>
        </xdr:cNvSpPr>
      </xdr:nvSpPr>
      <xdr:spPr>
        <a:xfrm>
          <a:off x="11747355" y="360822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6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計算面積</a:t>
          </a:r>
        </a:p>
      </xdr:txBody>
    </xdr:sp>
    <xdr:clientData/>
  </xdr:oneCellAnchor>
  <xdr:twoCellAnchor editAs="oneCell">
    <xdr:from>
      <xdr:col>6</xdr:col>
      <xdr:colOff>85169</xdr:colOff>
      <xdr:row>1</xdr:row>
      <xdr:rowOff>51539</xdr:rowOff>
    </xdr:from>
    <xdr:to>
      <xdr:col>7</xdr:col>
      <xdr:colOff>718346</xdr:colOff>
      <xdr:row>3</xdr:row>
      <xdr:rowOff>145960</xdr:rowOff>
    </xdr:to>
    <xdr:sp macro="[0]!clear_length" textlink="">
      <xdr:nvSpPr>
        <xdr:cNvPr id="7" name="矩形 6">
          <a:extLst>
            <a:ext uri="{FF2B5EF4-FFF2-40B4-BE49-F238E27FC236}">
              <a16:creationId xmlns:a16="http://schemas.microsoft.com/office/drawing/2014/main" id="{83CE1767-4F8C-425F-95D9-D8B32AFBA8E2}"/>
            </a:ext>
          </a:extLst>
        </xdr:cNvPr>
        <xdr:cNvSpPr>
          <a:spLocks/>
        </xdr:cNvSpPr>
      </xdr:nvSpPr>
      <xdr:spPr>
        <a:xfrm>
          <a:off x="3331289" y="356339"/>
          <a:ext cx="1440897" cy="544001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twoCellAnchor>
  <xdr:oneCellAnchor>
    <xdr:from>
      <xdr:col>16</xdr:col>
      <xdr:colOff>85169</xdr:colOff>
      <xdr:row>1</xdr:row>
      <xdr:rowOff>51539</xdr:rowOff>
    </xdr:from>
    <xdr:ext cx="1440000" cy="360000"/>
    <xdr:sp macro="[0]!clear_angle" textlink="">
      <xdr:nvSpPr>
        <xdr:cNvPr id="8" name="矩形 7">
          <a:extLst>
            <a:ext uri="{FF2B5EF4-FFF2-40B4-BE49-F238E27FC236}">
              <a16:creationId xmlns:a16="http://schemas.microsoft.com/office/drawing/2014/main" id="{4ADF6D28-5A3C-454F-94D2-1C4F865BBDE9}"/>
            </a:ext>
          </a:extLst>
        </xdr:cNvPr>
        <xdr:cNvSpPr>
          <a:spLocks/>
        </xdr:cNvSpPr>
      </xdr:nvSpPr>
      <xdr:spPr>
        <a:xfrm>
          <a:off x="8589089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27</xdr:col>
      <xdr:colOff>85169</xdr:colOff>
      <xdr:row>1</xdr:row>
      <xdr:rowOff>51539</xdr:rowOff>
    </xdr:from>
    <xdr:ext cx="1440000" cy="360000"/>
    <xdr:sp macro="[0]!clear_area" textlink="">
      <xdr:nvSpPr>
        <xdr:cNvPr id="9" name="矩形 8">
          <a:extLst>
            <a:ext uri="{FF2B5EF4-FFF2-40B4-BE49-F238E27FC236}">
              <a16:creationId xmlns:a16="http://schemas.microsoft.com/office/drawing/2014/main" id="{8F247272-EBA5-4416-A61F-7C938F761D53}"/>
            </a:ext>
          </a:extLst>
        </xdr:cNvPr>
        <xdr:cNvSpPr>
          <a:spLocks/>
        </xdr:cNvSpPr>
      </xdr:nvSpPr>
      <xdr:spPr>
        <a:xfrm>
          <a:off x="14121209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EE49F21B-4792-43A4-9295-FA03DE9B5D7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A419B9D2-ACC7-4D68-AA39-C48B0D848A0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2" name="文字方塊 8">
          <a:extLst>
            <a:ext uri="{FF2B5EF4-FFF2-40B4-BE49-F238E27FC236}">
              <a16:creationId xmlns:a16="http://schemas.microsoft.com/office/drawing/2014/main" id="{D3D14148-B59B-4791-874F-4205FC7C1E6A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3" name="文字方塊 9">
          <a:extLst>
            <a:ext uri="{FF2B5EF4-FFF2-40B4-BE49-F238E27FC236}">
              <a16:creationId xmlns:a16="http://schemas.microsoft.com/office/drawing/2014/main" id="{8E9ED5FE-2C08-4C30-BB23-CE2490F85D4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5620CC2B-8F7C-4BBC-A04A-D03B0A2ED2B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095710AA-646B-4176-BF74-FBB15F1A57C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" name="文字方塊 15">
          <a:extLst>
            <a:ext uri="{FF2B5EF4-FFF2-40B4-BE49-F238E27FC236}">
              <a16:creationId xmlns:a16="http://schemas.microsoft.com/office/drawing/2014/main" id="{43E6861C-39B9-4AF0-977C-B33AEEEC950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7" name="文字方塊 16">
          <a:extLst>
            <a:ext uri="{FF2B5EF4-FFF2-40B4-BE49-F238E27FC236}">
              <a16:creationId xmlns:a16="http://schemas.microsoft.com/office/drawing/2014/main" id="{DC9B6A17-5882-45B9-A01C-5703624AFDE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A3FC30E1-19AB-4179-BDBE-49FA1C31F12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F70C2EA6-E884-4014-A767-263608E6600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0" name="文字方塊 8">
          <a:extLst>
            <a:ext uri="{FF2B5EF4-FFF2-40B4-BE49-F238E27FC236}">
              <a16:creationId xmlns:a16="http://schemas.microsoft.com/office/drawing/2014/main" id="{51970FBF-4EC2-45D6-87EA-B8A70CCE33FD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1" name="文字方塊 9">
          <a:extLst>
            <a:ext uri="{FF2B5EF4-FFF2-40B4-BE49-F238E27FC236}">
              <a16:creationId xmlns:a16="http://schemas.microsoft.com/office/drawing/2014/main" id="{F5F9FEF9-B7D2-4E66-A945-179D3BE6396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63528C32-94D9-4DC2-A62A-1C6E8623FF8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20478A51-D83D-46CA-B906-1F560F5831F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4" name="文字方塊 23">
          <a:extLst>
            <a:ext uri="{FF2B5EF4-FFF2-40B4-BE49-F238E27FC236}">
              <a16:creationId xmlns:a16="http://schemas.microsoft.com/office/drawing/2014/main" id="{C728E2B8-1CC7-419B-8F9B-F48F9CC4D89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5" name="文字方塊 24">
          <a:extLst>
            <a:ext uri="{FF2B5EF4-FFF2-40B4-BE49-F238E27FC236}">
              <a16:creationId xmlns:a16="http://schemas.microsoft.com/office/drawing/2014/main" id="{5B9E241F-6E5A-4D3D-B625-87BBA14A348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2835D95B-5890-47B1-A42C-76C924AA940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41455CFE-CE83-4C5A-BDF1-D0CFA82D585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8" name="文字方塊 8">
          <a:extLst>
            <a:ext uri="{FF2B5EF4-FFF2-40B4-BE49-F238E27FC236}">
              <a16:creationId xmlns:a16="http://schemas.microsoft.com/office/drawing/2014/main" id="{BD24D318-247F-4FA1-8126-B6054C70EE9A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9" name="文字方塊 9">
          <a:extLst>
            <a:ext uri="{FF2B5EF4-FFF2-40B4-BE49-F238E27FC236}">
              <a16:creationId xmlns:a16="http://schemas.microsoft.com/office/drawing/2014/main" id="{A4930E8C-07D2-4202-82C7-CCEDEBEE649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067D3FDC-1FCC-49A5-A961-E2AA4C7D23C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D1EE74AE-A69F-4EEF-B910-9588A4E59D3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2" name="文字方塊 31">
          <a:extLst>
            <a:ext uri="{FF2B5EF4-FFF2-40B4-BE49-F238E27FC236}">
              <a16:creationId xmlns:a16="http://schemas.microsoft.com/office/drawing/2014/main" id="{9E58A062-943E-4617-A3BF-33053F9F469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3" name="文字方塊 32">
          <a:extLst>
            <a:ext uri="{FF2B5EF4-FFF2-40B4-BE49-F238E27FC236}">
              <a16:creationId xmlns:a16="http://schemas.microsoft.com/office/drawing/2014/main" id="{5DE8A60D-0C34-4070-A3E3-4A62F495FD6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B77FA3D0-D02A-4210-9124-690B65BD01C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D2C96CB3-9445-4EA3-A562-7BBEA7DD6E2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36" name="文字方塊 8">
          <a:extLst>
            <a:ext uri="{FF2B5EF4-FFF2-40B4-BE49-F238E27FC236}">
              <a16:creationId xmlns:a16="http://schemas.microsoft.com/office/drawing/2014/main" id="{CCDF0FC8-6FA2-4D14-9869-49934CD04287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37" name="文字方塊 9">
          <a:extLst>
            <a:ext uri="{FF2B5EF4-FFF2-40B4-BE49-F238E27FC236}">
              <a16:creationId xmlns:a16="http://schemas.microsoft.com/office/drawing/2014/main" id="{BB01940F-8B11-49F3-9633-F8960F35033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21B15949-28DC-42F4-A0BD-B1E0997F9D5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609554C6-61AF-4C87-AF2A-9D1A99B084F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0" name="文字方塊 39">
          <a:extLst>
            <a:ext uri="{FF2B5EF4-FFF2-40B4-BE49-F238E27FC236}">
              <a16:creationId xmlns:a16="http://schemas.microsoft.com/office/drawing/2014/main" id="{5879524F-9FE8-4357-920E-25A0705F814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1" name="文字方塊 40">
          <a:extLst>
            <a:ext uri="{FF2B5EF4-FFF2-40B4-BE49-F238E27FC236}">
              <a16:creationId xmlns:a16="http://schemas.microsoft.com/office/drawing/2014/main" id="{F19243AB-7D87-405C-9900-FF7181C50D7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6E15ECFC-8815-4979-88FC-F1A25E97B70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4C3B5714-C9CB-4273-8A65-7A31CD13011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4" name="文字方塊 8">
          <a:extLst>
            <a:ext uri="{FF2B5EF4-FFF2-40B4-BE49-F238E27FC236}">
              <a16:creationId xmlns:a16="http://schemas.microsoft.com/office/drawing/2014/main" id="{8D025999-EDB9-4260-9F47-268378C0D552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5" name="文字方塊 9">
          <a:extLst>
            <a:ext uri="{FF2B5EF4-FFF2-40B4-BE49-F238E27FC236}">
              <a16:creationId xmlns:a16="http://schemas.microsoft.com/office/drawing/2014/main" id="{32C44DDB-27FB-4024-B84D-58CDDCD048A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48C43A71-3490-45C5-A1DE-DF290C63690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70E50462-74A0-4388-968B-BB68479BCB1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8" name="文字方塊 47">
          <a:extLst>
            <a:ext uri="{FF2B5EF4-FFF2-40B4-BE49-F238E27FC236}">
              <a16:creationId xmlns:a16="http://schemas.microsoft.com/office/drawing/2014/main" id="{EB82566A-DD45-428F-B3FC-D76C4B3F341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9" name="文字方塊 48">
          <a:extLst>
            <a:ext uri="{FF2B5EF4-FFF2-40B4-BE49-F238E27FC236}">
              <a16:creationId xmlns:a16="http://schemas.microsoft.com/office/drawing/2014/main" id="{34FE657F-9589-429B-8D9D-543515BF101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26FA7904-6D90-476B-9CE6-E02E7EDCA7D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1" name="文字方塊 8">
          <a:extLst>
            <a:ext uri="{FF2B5EF4-FFF2-40B4-BE49-F238E27FC236}">
              <a16:creationId xmlns:a16="http://schemas.microsoft.com/office/drawing/2014/main" id="{EA9939EA-8893-45CD-AC06-DAF52570EE3C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2" name="文字方塊 51">
          <a:extLst>
            <a:ext uri="{FF2B5EF4-FFF2-40B4-BE49-F238E27FC236}">
              <a16:creationId xmlns:a16="http://schemas.microsoft.com/office/drawing/2014/main" id="{4751605E-7ACA-47BB-BC9E-2E9AC23A07D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3" name="文字方塊 52">
          <a:extLst>
            <a:ext uri="{FF2B5EF4-FFF2-40B4-BE49-F238E27FC236}">
              <a16:creationId xmlns:a16="http://schemas.microsoft.com/office/drawing/2014/main" id="{662B7D09-83B1-43BB-9AB0-454DAD3FB80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E5E77257-D30F-4F08-8EC1-15190E6FDB1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5" name="文字方塊 8">
          <a:extLst>
            <a:ext uri="{FF2B5EF4-FFF2-40B4-BE49-F238E27FC236}">
              <a16:creationId xmlns:a16="http://schemas.microsoft.com/office/drawing/2014/main" id="{5698E26A-DEC4-4C40-9228-4CB65F3BB723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6" name="文字方塊 55">
          <a:extLst>
            <a:ext uri="{FF2B5EF4-FFF2-40B4-BE49-F238E27FC236}">
              <a16:creationId xmlns:a16="http://schemas.microsoft.com/office/drawing/2014/main" id="{1281BD70-91C5-41DA-ABF3-3FDC8663972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7" name="文字方塊 56">
          <a:extLst>
            <a:ext uri="{FF2B5EF4-FFF2-40B4-BE49-F238E27FC236}">
              <a16:creationId xmlns:a16="http://schemas.microsoft.com/office/drawing/2014/main" id="{99AED55F-4FBC-4FB4-88DD-A7AB32F009D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DD56F112-575F-4E57-A290-DC71A46264D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9" name="文字方塊 8">
          <a:extLst>
            <a:ext uri="{FF2B5EF4-FFF2-40B4-BE49-F238E27FC236}">
              <a16:creationId xmlns:a16="http://schemas.microsoft.com/office/drawing/2014/main" id="{DB6ED10E-0E31-4BE9-85BF-D1FCE9D16E52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0" name="文字方塊 59">
          <a:extLst>
            <a:ext uri="{FF2B5EF4-FFF2-40B4-BE49-F238E27FC236}">
              <a16:creationId xmlns:a16="http://schemas.microsoft.com/office/drawing/2014/main" id="{391B9497-46BC-4283-8807-BA548C39DB8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B35DA876-F30E-49C0-8416-4D1AD4DC298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6D9D2D06-E416-4FC2-93AE-61B42DC3FB2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3" name="文字方塊 8">
          <a:extLst>
            <a:ext uri="{FF2B5EF4-FFF2-40B4-BE49-F238E27FC236}">
              <a16:creationId xmlns:a16="http://schemas.microsoft.com/office/drawing/2014/main" id="{0168A6A5-10B6-4610-AF91-635E4F6FE708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4" name="文字方塊 63">
          <a:extLst>
            <a:ext uri="{FF2B5EF4-FFF2-40B4-BE49-F238E27FC236}">
              <a16:creationId xmlns:a16="http://schemas.microsoft.com/office/drawing/2014/main" id="{279F69D7-4402-4F78-9D03-26DAFEB12D4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5" name="文字方塊 64">
          <a:extLst>
            <a:ext uri="{FF2B5EF4-FFF2-40B4-BE49-F238E27FC236}">
              <a16:creationId xmlns:a16="http://schemas.microsoft.com/office/drawing/2014/main" id="{E0B9E52B-2581-478B-82EC-9B2E207DCF3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9FD4B856-2C25-4A16-BF30-A66B0D6C452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7" name="文字方塊 8">
          <a:extLst>
            <a:ext uri="{FF2B5EF4-FFF2-40B4-BE49-F238E27FC236}">
              <a16:creationId xmlns:a16="http://schemas.microsoft.com/office/drawing/2014/main" id="{B1FDFA16-CC44-4B7C-B2E3-1CE4BAB6F01B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8" name="文字方塊 67">
          <a:extLst>
            <a:ext uri="{FF2B5EF4-FFF2-40B4-BE49-F238E27FC236}">
              <a16:creationId xmlns:a16="http://schemas.microsoft.com/office/drawing/2014/main" id="{CBDFFA80-1960-4400-8312-44F3F5CECD8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731C630C-E8A1-4573-9239-9EA05014E16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4E45937C-135D-41F3-A076-57728FF1CF8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1" name="文字方塊 8">
          <a:extLst>
            <a:ext uri="{FF2B5EF4-FFF2-40B4-BE49-F238E27FC236}">
              <a16:creationId xmlns:a16="http://schemas.microsoft.com/office/drawing/2014/main" id="{BF8103C0-8A2C-4CD6-A1FE-B5CCBDA819B3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2" name="文字方塊 71">
          <a:extLst>
            <a:ext uri="{FF2B5EF4-FFF2-40B4-BE49-F238E27FC236}">
              <a16:creationId xmlns:a16="http://schemas.microsoft.com/office/drawing/2014/main" id="{46F49359-0292-4798-8227-C588845E103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3" name="文字方塊 72">
          <a:extLst>
            <a:ext uri="{FF2B5EF4-FFF2-40B4-BE49-F238E27FC236}">
              <a16:creationId xmlns:a16="http://schemas.microsoft.com/office/drawing/2014/main" id="{CE29B0B8-3100-4C67-AC73-2BE458FCF96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4" name="文字方塊 73">
          <a:extLst>
            <a:ext uri="{FF2B5EF4-FFF2-40B4-BE49-F238E27FC236}">
              <a16:creationId xmlns:a16="http://schemas.microsoft.com/office/drawing/2014/main" id="{FDE98CE1-0409-42FE-AFC4-4863D9DE375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5" name="文字方塊 74">
          <a:extLst>
            <a:ext uri="{FF2B5EF4-FFF2-40B4-BE49-F238E27FC236}">
              <a16:creationId xmlns:a16="http://schemas.microsoft.com/office/drawing/2014/main" id="{2671D536-D6A9-4243-A6F9-31B16ECC582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6" name="文字方塊 8">
          <a:extLst>
            <a:ext uri="{FF2B5EF4-FFF2-40B4-BE49-F238E27FC236}">
              <a16:creationId xmlns:a16="http://schemas.microsoft.com/office/drawing/2014/main" id="{66C8178E-B274-4CF2-AF14-CF81333BDE5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E595A853-C4A0-4FF0-8734-661EB812624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8" name="文字方塊 77">
          <a:extLst>
            <a:ext uri="{FF2B5EF4-FFF2-40B4-BE49-F238E27FC236}">
              <a16:creationId xmlns:a16="http://schemas.microsoft.com/office/drawing/2014/main" id="{EBE44E80-36A5-49B4-B6A4-3148A3872D6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9" name="文字方塊 78">
          <a:extLst>
            <a:ext uri="{FF2B5EF4-FFF2-40B4-BE49-F238E27FC236}">
              <a16:creationId xmlns:a16="http://schemas.microsoft.com/office/drawing/2014/main" id="{B9131BF3-0945-4BFB-A8A1-8422B7464BA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0" name="文字方塊 8">
          <a:extLst>
            <a:ext uri="{FF2B5EF4-FFF2-40B4-BE49-F238E27FC236}">
              <a16:creationId xmlns:a16="http://schemas.microsoft.com/office/drawing/2014/main" id="{D6687AA0-3AC0-486C-8643-650FDB0996CA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1" name="文字方塊 80">
          <a:extLst>
            <a:ext uri="{FF2B5EF4-FFF2-40B4-BE49-F238E27FC236}">
              <a16:creationId xmlns:a16="http://schemas.microsoft.com/office/drawing/2014/main" id="{06843F28-C460-42C2-8BFA-B76B6D4E5E0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2" name="文字方塊 81">
          <a:extLst>
            <a:ext uri="{FF2B5EF4-FFF2-40B4-BE49-F238E27FC236}">
              <a16:creationId xmlns:a16="http://schemas.microsoft.com/office/drawing/2014/main" id="{7D00F825-9D76-4B94-B973-6D50D154841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3" name="文字方塊 82">
          <a:extLst>
            <a:ext uri="{FF2B5EF4-FFF2-40B4-BE49-F238E27FC236}">
              <a16:creationId xmlns:a16="http://schemas.microsoft.com/office/drawing/2014/main" id="{5531577B-610D-41DA-98D1-B294FAE61E0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4" name="文字方塊 8">
          <a:extLst>
            <a:ext uri="{FF2B5EF4-FFF2-40B4-BE49-F238E27FC236}">
              <a16:creationId xmlns:a16="http://schemas.microsoft.com/office/drawing/2014/main" id="{EC31CC61-5CF5-4823-AA1D-61D6D58BDBF5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5" name="文字方塊 84">
          <a:extLst>
            <a:ext uri="{FF2B5EF4-FFF2-40B4-BE49-F238E27FC236}">
              <a16:creationId xmlns:a16="http://schemas.microsoft.com/office/drawing/2014/main" id="{A50F35A4-9907-4009-830D-670AE70DA81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6" name="文字方塊 85">
          <a:extLst>
            <a:ext uri="{FF2B5EF4-FFF2-40B4-BE49-F238E27FC236}">
              <a16:creationId xmlns:a16="http://schemas.microsoft.com/office/drawing/2014/main" id="{D4D506C8-729A-4C66-934D-6B46C6076DC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7" name="文字方塊 86">
          <a:extLst>
            <a:ext uri="{FF2B5EF4-FFF2-40B4-BE49-F238E27FC236}">
              <a16:creationId xmlns:a16="http://schemas.microsoft.com/office/drawing/2014/main" id="{0AF11EA1-969B-421C-B2C1-A53FD6565D4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8" name="文字方塊 8">
          <a:extLst>
            <a:ext uri="{FF2B5EF4-FFF2-40B4-BE49-F238E27FC236}">
              <a16:creationId xmlns:a16="http://schemas.microsoft.com/office/drawing/2014/main" id="{EFD782E0-AA48-4D2C-8251-03B1DD420A1A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9" name="文字方塊 88">
          <a:extLst>
            <a:ext uri="{FF2B5EF4-FFF2-40B4-BE49-F238E27FC236}">
              <a16:creationId xmlns:a16="http://schemas.microsoft.com/office/drawing/2014/main" id="{BCF80416-A9AF-4F68-B361-1F71792AE61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0" name="文字方塊 89">
          <a:extLst>
            <a:ext uri="{FF2B5EF4-FFF2-40B4-BE49-F238E27FC236}">
              <a16:creationId xmlns:a16="http://schemas.microsoft.com/office/drawing/2014/main" id="{7EAB102E-2947-42AE-8862-0CA0A372644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1" name="文字方塊 90">
          <a:extLst>
            <a:ext uri="{FF2B5EF4-FFF2-40B4-BE49-F238E27FC236}">
              <a16:creationId xmlns:a16="http://schemas.microsoft.com/office/drawing/2014/main" id="{AFE057CD-1B99-42D4-8FAD-9057D05C65F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92" name="文字方塊 8">
          <a:extLst>
            <a:ext uri="{FF2B5EF4-FFF2-40B4-BE49-F238E27FC236}">
              <a16:creationId xmlns:a16="http://schemas.microsoft.com/office/drawing/2014/main" id="{3989179E-B746-44E8-953C-29C1005F4F88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3" name="文字方塊 92">
          <a:extLst>
            <a:ext uri="{FF2B5EF4-FFF2-40B4-BE49-F238E27FC236}">
              <a16:creationId xmlns:a16="http://schemas.microsoft.com/office/drawing/2014/main" id="{4D0218D8-58D0-4714-B202-315E47F644B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4" name="文字方塊 93">
          <a:extLst>
            <a:ext uri="{FF2B5EF4-FFF2-40B4-BE49-F238E27FC236}">
              <a16:creationId xmlns:a16="http://schemas.microsoft.com/office/drawing/2014/main" id="{C0A042FA-FA6C-4C00-86DB-B8393079A86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5" name="文字方塊 94">
          <a:extLst>
            <a:ext uri="{FF2B5EF4-FFF2-40B4-BE49-F238E27FC236}">
              <a16:creationId xmlns:a16="http://schemas.microsoft.com/office/drawing/2014/main" id="{A75CBC33-4A0C-46D3-926F-12C7EC007E2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96" name="文字方塊 8">
          <a:extLst>
            <a:ext uri="{FF2B5EF4-FFF2-40B4-BE49-F238E27FC236}">
              <a16:creationId xmlns:a16="http://schemas.microsoft.com/office/drawing/2014/main" id="{606134F5-CF1D-4353-8945-A7F7C67525A0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7" name="文字方塊 96">
          <a:extLst>
            <a:ext uri="{FF2B5EF4-FFF2-40B4-BE49-F238E27FC236}">
              <a16:creationId xmlns:a16="http://schemas.microsoft.com/office/drawing/2014/main" id="{8D213E21-859F-4872-A725-FDC4A66270F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8" name="文字方塊 97">
          <a:extLst>
            <a:ext uri="{FF2B5EF4-FFF2-40B4-BE49-F238E27FC236}">
              <a16:creationId xmlns:a16="http://schemas.microsoft.com/office/drawing/2014/main" id="{AA1B5CFD-7320-4FC3-A165-B57AB0CFEE0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9" name="文字方塊 98">
          <a:extLst>
            <a:ext uri="{FF2B5EF4-FFF2-40B4-BE49-F238E27FC236}">
              <a16:creationId xmlns:a16="http://schemas.microsoft.com/office/drawing/2014/main" id="{62198768-2E2C-4C42-8442-FB634C0C998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0" name="文字方塊 8">
          <a:extLst>
            <a:ext uri="{FF2B5EF4-FFF2-40B4-BE49-F238E27FC236}">
              <a16:creationId xmlns:a16="http://schemas.microsoft.com/office/drawing/2014/main" id="{32171423-07C1-431F-A351-F4CCDEDC7BD3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1" name="文字方塊 100">
          <a:extLst>
            <a:ext uri="{FF2B5EF4-FFF2-40B4-BE49-F238E27FC236}">
              <a16:creationId xmlns:a16="http://schemas.microsoft.com/office/drawing/2014/main" id="{858E5C10-B100-4A42-875B-3B33530CD94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2" name="文字方塊 101">
          <a:extLst>
            <a:ext uri="{FF2B5EF4-FFF2-40B4-BE49-F238E27FC236}">
              <a16:creationId xmlns:a16="http://schemas.microsoft.com/office/drawing/2014/main" id="{AE81B507-91E3-41F4-8762-E885CFB9CDE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96" name="文字方塊 195">
          <a:extLst>
            <a:ext uri="{FF2B5EF4-FFF2-40B4-BE49-F238E27FC236}">
              <a16:creationId xmlns:a16="http://schemas.microsoft.com/office/drawing/2014/main" id="{FFC518FE-13DC-4FF0-8540-1D58DAA825F2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97" name="文字方塊 196">
          <a:extLst>
            <a:ext uri="{FF2B5EF4-FFF2-40B4-BE49-F238E27FC236}">
              <a16:creationId xmlns:a16="http://schemas.microsoft.com/office/drawing/2014/main" id="{6F9CECD5-DEDB-4CFF-94A8-1E9A00D07A52}"/>
            </a:ext>
          </a:extLst>
        </xdr:cNvPr>
        <xdr:cNvSpPr txBox="1">
          <a:spLocks noChangeAspect="1"/>
        </xdr:cNvSpPr>
      </xdr:nvSpPr>
      <xdr:spPr>
        <a:xfrm>
          <a:off x="7315200" y="7684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98" name="文字方塊 8">
          <a:extLst>
            <a:ext uri="{FF2B5EF4-FFF2-40B4-BE49-F238E27FC236}">
              <a16:creationId xmlns:a16="http://schemas.microsoft.com/office/drawing/2014/main" id="{BFA23D75-06BB-4AF5-8F2E-ED89E063FA2E}"/>
            </a:ext>
          </a:extLst>
        </xdr:cNvPr>
        <xdr:cNvSpPr txBox="1"/>
      </xdr:nvSpPr>
      <xdr:spPr>
        <a:xfrm>
          <a:off x="7315200" y="13887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99" name="文字方塊 9">
          <a:extLst>
            <a:ext uri="{FF2B5EF4-FFF2-40B4-BE49-F238E27FC236}">
              <a16:creationId xmlns:a16="http://schemas.microsoft.com/office/drawing/2014/main" id="{39FFEAAF-B0C1-40C2-906D-70D8D2D4346A}"/>
            </a:ext>
          </a:extLst>
        </xdr:cNvPr>
        <xdr:cNvSpPr txBox="1">
          <a:spLocks noChangeAspect="1"/>
        </xdr:cNvSpPr>
      </xdr:nvSpPr>
      <xdr:spPr>
        <a:xfrm>
          <a:off x="7315200" y="7684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0" name="文字方塊 199">
          <a:extLst>
            <a:ext uri="{FF2B5EF4-FFF2-40B4-BE49-F238E27FC236}">
              <a16:creationId xmlns:a16="http://schemas.microsoft.com/office/drawing/2014/main" id="{11B1543A-0BD6-4A22-BF41-20D35F2ED0F1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01" name="文字方塊 200">
          <a:extLst>
            <a:ext uri="{FF2B5EF4-FFF2-40B4-BE49-F238E27FC236}">
              <a16:creationId xmlns:a16="http://schemas.microsoft.com/office/drawing/2014/main" id="{4E369CEE-3B6D-410E-96FF-FE79B155901A}"/>
            </a:ext>
          </a:extLst>
        </xdr:cNvPr>
        <xdr:cNvSpPr txBox="1">
          <a:spLocks noChangeAspect="1"/>
        </xdr:cNvSpPr>
      </xdr:nvSpPr>
      <xdr:spPr>
        <a:xfrm>
          <a:off x="7315200" y="7684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2" name="文字方塊 201">
          <a:extLst>
            <a:ext uri="{FF2B5EF4-FFF2-40B4-BE49-F238E27FC236}">
              <a16:creationId xmlns:a16="http://schemas.microsoft.com/office/drawing/2014/main" id="{9CDA519D-8008-4D9B-9FC6-D1B89677387E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03" name="文字方塊 202">
          <a:extLst>
            <a:ext uri="{FF2B5EF4-FFF2-40B4-BE49-F238E27FC236}">
              <a16:creationId xmlns:a16="http://schemas.microsoft.com/office/drawing/2014/main" id="{A055CEC0-1A80-483F-8B50-69C1AD4B12A9}"/>
            </a:ext>
          </a:extLst>
        </xdr:cNvPr>
        <xdr:cNvSpPr txBox="1">
          <a:spLocks noChangeAspect="1"/>
        </xdr:cNvSpPr>
      </xdr:nvSpPr>
      <xdr:spPr>
        <a:xfrm>
          <a:off x="7315200" y="7684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4" name="文字方塊 203">
          <a:extLst>
            <a:ext uri="{FF2B5EF4-FFF2-40B4-BE49-F238E27FC236}">
              <a16:creationId xmlns:a16="http://schemas.microsoft.com/office/drawing/2014/main" id="{B9C54AC9-151C-49FF-AEB3-E198FFE3679A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05" name="文字方塊 204">
          <a:extLst>
            <a:ext uri="{FF2B5EF4-FFF2-40B4-BE49-F238E27FC236}">
              <a16:creationId xmlns:a16="http://schemas.microsoft.com/office/drawing/2014/main" id="{25269904-15EB-4518-A0F0-FB6F4F474D14}"/>
            </a:ext>
          </a:extLst>
        </xdr:cNvPr>
        <xdr:cNvSpPr txBox="1">
          <a:spLocks noChangeAspect="1"/>
        </xdr:cNvSpPr>
      </xdr:nvSpPr>
      <xdr:spPr>
        <a:xfrm>
          <a:off x="7315200" y="7684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06" name="文字方塊 8">
          <a:extLst>
            <a:ext uri="{FF2B5EF4-FFF2-40B4-BE49-F238E27FC236}">
              <a16:creationId xmlns:a16="http://schemas.microsoft.com/office/drawing/2014/main" id="{AC1E6E54-7210-40CA-8F6C-1AC2C7B61D41}"/>
            </a:ext>
          </a:extLst>
        </xdr:cNvPr>
        <xdr:cNvSpPr txBox="1"/>
      </xdr:nvSpPr>
      <xdr:spPr>
        <a:xfrm>
          <a:off x="7315200" y="13887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07" name="文字方塊 9">
          <a:extLst>
            <a:ext uri="{FF2B5EF4-FFF2-40B4-BE49-F238E27FC236}">
              <a16:creationId xmlns:a16="http://schemas.microsoft.com/office/drawing/2014/main" id="{BEF900A4-5A3F-4D65-B996-6C8535225892}"/>
            </a:ext>
          </a:extLst>
        </xdr:cNvPr>
        <xdr:cNvSpPr txBox="1">
          <a:spLocks noChangeAspect="1"/>
        </xdr:cNvSpPr>
      </xdr:nvSpPr>
      <xdr:spPr>
        <a:xfrm>
          <a:off x="7315200" y="7684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8" name="文字方塊 207">
          <a:extLst>
            <a:ext uri="{FF2B5EF4-FFF2-40B4-BE49-F238E27FC236}">
              <a16:creationId xmlns:a16="http://schemas.microsoft.com/office/drawing/2014/main" id="{CB8B8FBB-4946-4BD6-A289-EAA48EFF0DB6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09" name="文字方塊 208">
          <a:extLst>
            <a:ext uri="{FF2B5EF4-FFF2-40B4-BE49-F238E27FC236}">
              <a16:creationId xmlns:a16="http://schemas.microsoft.com/office/drawing/2014/main" id="{0EFC8046-1337-44F0-A628-8E5DE67116D3}"/>
            </a:ext>
          </a:extLst>
        </xdr:cNvPr>
        <xdr:cNvSpPr txBox="1">
          <a:spLocks noChangeAspect="1"/>
        </xdr:cNvSpPr>
      </xdr:nvSpPr>
      <xdr:spPr>
        <a:xfrm>
          <a:off x="7315200" y="7684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10" name="文字方塊 209">
          <a:extLst>
            <a:ext uri="{FF2B5EF4-FFF2-40B4-BE49-F238E27FC236}">
              <a16:creationId xmlns:a16="http://schemas.microsoft.com/office/drawing/2014/main" id="{C46B4301-3C15-475C-A57B-19C7BB4005EB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11" name="文字方塊 210">
          <a:extLst>
            <a:ext uri="{FF2B5EF4-FFF2-40B4-BE49-F238E27FC236}">
              <a16:creationId xmlns:a16="http://schemas.microsoft.com/office/drawing/2014/main" id="{BA524F9F-CD0C-4215-A38A-23259058577B}"/>
            </a:ext>
          </a:extLst>
        </xdr:cNvPr>
        <xdr:cNvSpPr txBox="1">
          <a:spLocks noChangeAspect="1"/>
        </xdr:cNvSpPr>
      </xdr:nvSpPr>
      <xdr:spPr>
        <a:xfrm>
          <a:off x="7315200" y="7684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12" name="文字方塊 211">
          <a:extLst>
            <a:ext uri="{FF2B5EF4-FFF2-40B4-BE49-F238E27FC236}">
              <a16:creationId xmlns:a16="http://schemas.microsoft.com/office/drawing/2014/main" id="{A9C7D9CF-0851-41BC-B00F-E4A1C8F96F52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13" name="文字方塊 212">
          <a:extLst>
            <a:ext uri="{FF2B5EF4-FFF2-40B4-BE49-F238E27FC236}">
              <a16:creationId xmlns:a16="http://schemas.microsoft.com/office/drawing/2014/main" id="{0272C379-DDDA-4FFB-965E-C84FE7212BBE}"/>
            </a:ext>
          </a:extLst>
        </xdr:cNvPr>
        <xdr:cNvSpPr txBox="1">
          <a:spLocks noChangeAspect="1"/>
        </xdr:cNvSpPr>
      </xdr:nvSpPr>
      <xdr:spPr>
        <a:xfrm>
          <a:off x="7315200" y="7684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14" name="文字方塊 8">
          <a:extLst>
            <a:ext uri="{FF2B5EF4-FFF2-40B4-BE49-F238E27FC236}">
              <a16:creationId xmlns:a16="http://schemas.microsoft.com/office/drawing/2014/main" id="{5695DC31-7FB9-4AFB-AB57-86102C4140F8}"/>
            </a:ext>
          </a:extLst>
        </xdr:cNvPr>
        <xdr:cNvSpPr txBox="1"/>
      </xdr:nvSpPr>
      <xdr:spPr>
        <a:xfrm>
          <a:off x="7315200" y="13887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15" name="文字方塊 9">
          <a:extLst>
            <a:ext uri="{FF2B5EF4-FFF2-40B4-BE49-F238E27FC236}">
              <a16:creationId xmlns:a16="http://schemas.microsoft.com/office/drawing/2014/main" id="{C748FC66-2388-415A-8C69-24A69F6E80E4}"/>
            </a:ext>
          </a:extLst>
        </xdr:cNvPr>
        <xdr:cNvSpPr txBox="1">
          <a:spLocks noChangeAspect="1"/>
        </xdr:cNvSpPr>
      </xdr:nvSpPr>
      <xdr:spPr>
        <a:xfrm>
          <a:off x="7315200" y="7684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16" name="文字方塊 215">
          <a:extLst>
            <a:ext uri="{FF2B5EF4-FFF2-40B4-BE49-F238E27FC236}">
              <a16:creationId xmlns:a16="http://schemas.microsoft.com/office/drawing/2014/main" id="{AEC88DBF-EBBB-41B8-9ECF-7220D20D043D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17" name="文字方塊 216">
          <a:extLst>
            <a:ext uri="{FF2B5EF4-FFF2-40B4-BE49-F238E27FC236}">
              <a16:creationId xmlns:a16="http://schemas.microsoft.com/office/drawing/2014/main" id="{B935E11A-FBA5-4445-B741-62ECDA67D73C}"/>
            </a:ext>
          </a:extLst>
        </xdr:cNvPr>
        <xdr:cNvSpPr txBox="1">
          <a:spLocks noChangeAspect="1"/>
        </xdr:cNvSpPr>
      </xdr:nvSpPr>
      <xdr:spPr>
        <a:xfrm>
          <a:off x="7315200" y="7684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18" name="文字方塊 217">
          <a:extLst>
            <a:ext uri="{FF2B5EF4-FFF2-40B4-BE49-F238E27FC236}">
              <a16:creationId xmlns:a16="http://schemas.microsoft.com/office/drawing/2014/main" id="{DF7C667E-15E6-474B-807F-54B16A60B0E5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19" name="文字方塊 218">
          <a:extLst>
            <a:ext uri="{FF2B5EF4-FFF2-40B4-BE49-F238E27FC236}">
              <a16:creationId xmlns:a16="http://schemas.microsoft.com/office/drawing/2014/main" id="{DE1C0CF7-DE04-44A2-9FF0-6C19692BE60D}"/>
            </a:ext>
          </a:extLst>
        </xdr:cNvPr>
        <xdr:cNvSpPr txBox="1">
          <a:spLocks noChangeAspect="1"/>
        </xdr:cNvSpPr>
      </xdr:nvSpPr>
      <xdr:spPr>
        <a:xfrm>
          <a:off x="7315200" y="7684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0" name="文字方塊 219">
          <a:extLst>
            <a:ext uri="{FF2B5EF4-FFF2-40B4-BE49-F238E27FC236}">
              <a16:creationId xmlns:a16="http://schemas.microsoft.com/office/drawing/2014/main" id="{8DF4EFA4-6C77-4AA8-8A7E-6F23E0932C4A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21" name="文字方塊 220">
          <a:extLst>
            <a:ext uri="{FF2B5EF4-FFF2-40B4-BE49-F238E27FC236}">
              <a16:creationId xmlns:a16="http://schemas.microsoft.com/office/drawing/2014/main" id="{92EB185D-5708-448A-8911-72E573A1C2E6}"/>
            </a:ext>
          </a:extLst>
        </xdr:cNvPr>
        <xdr:cNvSpPr txBox="1">
          <a:spLocks noChangeAspect="1"/>
        </xdr:cNvSpPr>
      </xdr:nvSpPr>
      <xdr:spPr>
        <a:xfrm>
          <a:off x="7315200" y="7684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22" name="文字方塊 8">
          <a:extLst>
            <a:ext uri="{FF2B5EF4-FFF2-40B4-BE49-F238E27FC236}">
              <a16:creationId xmlns:a16="http://schemas.microsoft.com/office/drawing/2014/main" id="{D05451A9-9A3C-431D-BDBC-60CCBEDE33B6}"/>
            </a:ext>
          </a:extLst>
        </xdr:cNvPr>
        <xdr:cNvSpPr txBox="1"/>
      </xdr:nvSpPr>
      <xdr:spPr>
        <a:xfrm>
          <a:off x="7315200" y="13887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23" name="文字方塊 9">
          <a:extLst>
            <a:ext uri="{FF2B5EF4-FFF2-40B4-BE49-F238E27FC236}">
              <a16:creationId xmlns:a16="http://schemas.microsoft.com/office/drawing/2014/main" id="{4487AC92-AC0F-4C7B-8DBC-6E6EC4F5DBBC}"/>
            </a:ext>
          </a:extLst>
        </xdr:cNvPr>
        <xdr:cNvSpPr txBox="1">
          <a:spLocks noChangeAspect="1"/>
        </xdr:cNvSpPr>
      </xdr:nvSpPr>
      <xdr:spPr>
        <a:xfrm>
          <a:off x="7315200" y="7684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4" name="文字方塊 223">
          <a:extLst>
            <a:ext uri="{FF2B5EF4-FFF2-40B4-BE49-F238E27FC236}">
              <a16:creationId xmlns:a16="http://schemas.microsoft.com/office/drawing/2014/main" id="{24ADD4BD-8B78-4AB2-8AA2-138438AC3493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25" name="文字方塊 224">
          <a:extLst>
            <a:ext uri="{FF2B5EF4-FFF2-40B4-BE49-F238E27FC236}">
              <a16:creationId xmlns:a16="http://schemas.microsoft.com/office/drawing/2014/main" id="{6AAC932B-61EF-4B2F-B162-31F8DEEB4DE5}"/>
            </a:ext>
          </a:extLst>
        </xdr:cNvPr>
        <xdr:cNvSpPr txBox="1">
          <a:spLocks noChangeAspect="1"/>
        </xdr:cNvSpPr>
      </xdr:nvSpPr>
      <xdr:spPr>
        <a:xfrm>
          <a:off x="7315200" y="7684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6" name="文字方塊 225">
          <a:extLst>
            <a:ext uri="{FF2B5EF4-FFF2-40B4-BE49-F238E27FC236}">
              <a16:creationId xmlns:a16="http://schemas.microsoft.com/office/drawing/2014/main" id="{8A24010F-0C8B-44BB-91CF-4BD3C325A400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27" name="文字方塊 226">
          <a:extLst>
            <a:ext uri="{FF2B5EF4-FFF2-40B4-BE49-F238E27FC236}">
              <a16:creationId xmlns:a16="http://schemas.microsoft.com/office/drawing/2014/main" id="{31A1105E-DD4E-4E6E-BDBB-F4FC26A40C38}"/>
            </a:ext>
          </a:extLst>
        </xdr:cNvPr>
        <xdr:cNvSpPr txBox="1">
          <a:spLocks noChangeAspect="1"/>
        </xdr:cNvSpPr>
      </xdr:nvSpPr>
      <xdr:spPr>
        <a:xfrm>
          <a:off x="7315200" y="7684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8" name="文字方塊 227">
          <a:extLst>
            <a:ext uri="{FF2B5EF4-FFF2-40B4-BE49-F238E27FC236}">
              <a16:creationId xmlns:a16="http://schemas.microsoft.com/office/drawing/2014/main" id="{F3EC215F-A692-48F9-B5CC-EA020082A5B4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29" name="文字方塊 228">
          <a:extLst>
            <a:ext uri="{FF2B5EF4-FFF2-40B4-BE49-F238E27FC236}">
              <a16:creationId xmlns:a16="http://schemas.microsoft.com/office/drawing/2014/main" id="{6FF13014-EF20-49F3-BB52-61F912066370}"/>
            </a:ext>
          </a:extLst>
        </xdr:cNvPr>
        <xdr:cNvSpPr txBox="1">
          <a:spLocks noChangeAspect="1"/>
        </xdr:cNvSpPr>
      </xdr:nvSpPr>
      <xdr:spPr>
        <a:xfrm>
          <a:off x="7315200" y="7684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30" name="文字方塊 8">
          <a:extLst>
            <a:ext uri="{FF2B5EF4-FFF2-40B4-BE49-F238E27FC236}">
              <a16:creationId xmlns:a16="http://schemas.microsoft.com/office/drawing/2014/main" id="{944F2133-08C9-43D8-AADA-A352170D2B85}"/>
            </a:ext>
          </a:extLst>
        </xdr:cNvPr>
        <xdr:cNvSpPr txBox="1"/>
      </xdr:nvSpPr>
      <xdr:spPr>
        <a:xfrm>
          <a:off x="7315200" y="13887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31" name="文字方塊 9">
          <a:extLst>
            <a:ext uri="{FF2B5EF4-FFF2-40B4-BE49-F238E27FC236}">
              <a16:creationId xmlns:a16="http://schemas.microsoft.com/office/drawing/2014/main" id="{5EDF2CE8-D12C-4B94-964B-D16D2A9FD804}"/>
            </a:ext>
          </a:extLst>
        </xdr:cNvPr>
        <xdr:cNvSpPr txBox="1">
          <a:spLocks noChangeAspect="1"/>
        </xdr:cNvSpPr>
      </xdr:nvSpPr>
      <xdr:spPr>
        <a:xfrm>
          <a:off x="7315200" y="7684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32" name="文字方塊 231">
          <a:extLst>
            <a:ext uri="{FF2B5EF4-FFF2-40B4-BE49-F238E27FC236}">
              <a16:creationId xmlns:a16="http://schemas.microsoft.com/office/drawing/2014/main" id="{0ABA729E-DEB9-4B5B-9586-D175F03E310A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33" name="文字方塊 232">
          <a:extLst>
            <a:ext uri="{FF2B5EF4-FFF2-40B4-BE49-F238E27FC236}">
              <a16:creationId xmlns:a16="http://schemas.microsoft.com/office/drawing/2014/main" id="{0992F0C4-6EB9-4DD4-A255-5223D1B1404C}"/>
            </a:ext>
          </a:extLst>
        </xdr:cNvPr>
        <xdr:cNvSpPr txBox="1">
          <a:spLocks noChangeAspect="1"/>
        </xdr:cNvSpPr>
      </xdr:nvSpPr>
      <xdr:spPr>
        <a:xfrm>
          <a:off x="7315200" y="7684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34" name="文字方塊 233">
          <a:extLst>
            <a:ext uri="{FF2B5EF4-FFF2-40B4-BE49-F238E27FC236}">
              <a16:creationId xmlns:a16="http://schemas.microsoft.com/office/drawing/2014/main" id="{D87C34B7-4EF2-43D5-BACB-DE58CE2B97A2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35" name="文字方塊 234">
          <a:extLst>
            <a:ext uri="{FF2B5EF4-FFF2-40B4-BE49-F238E27FC236}">
              <a16:creationId xmlns:a16="http://schemas.microsoft.com/office/drawing/2014/main" id="{0BEF312F-328B-476D-B621-13A7705B492D}"/>
            </a:ext>
          </a:extLst>
        </xdr:cNvPr>
        <xdr:cNvSpPr txBox="1">
          <a:spLocks noChangeAspect="1"/>
        </xdr:cNvSpPr>
      </xdr:nvSpPr>
      <xdr:spPr>
        <a:xfrm>
          <a:off x="7315200" y="7684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36" name="文字方塊 235">
          <a:extLst>
            <a:ext uri="{FF2B5EF4-FFF2-40B4-BE49-F238E27FC236}">
              <a16:creationId xmlns:a16="http://schemas.microsoft.com/office/drawing/2014/main" id="{5C420A35-1574-4E2D-9C05-2BDE4EF8815E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37" name="文字方塊 8">
          <a:extLst>
            <a:ext uri="{FF2B5EF4-FFF2-40B4-BE49-F238E27FC236}">
              <a16:creationId xmlns:a16="http://schemas.microsoft.com/office/drawing/2014/main" id="{B3AEB6D3-B6B3-4DC4-84B2-922AE0E04BF3}"/>
            </a:ext>
          </a:extLst>
        </xdr:cNvPr>
        <xdr:cNvSpPr txBox="1"/>
      </xdr:nvSpPr>
      <xdr:spPr>
        <a:xfrm>
          <a:off x="7315200" y="13887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38" name="文字方塊 237">
          <a:extLst>
            <a:ext uri="{FF2B5EF4-FFF2-40B4-BE49-F238E27FC236}">
              <a16:creationId xmlns:a16="http://schemas.microsoft.com/office/drawing/2014/main" id="{895F5969-AC2F-47E1-8DFC-68E3A6E210DF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39" name="文字方塊 238">
          <a:extLst>
            <a:ext uri="{FF2B5EF4-FFF2-40B4-BE49-F238E27FC236}">
              <a16:creationId xmlns:a16="http://schemas.microsoft.com/office/drawing/2014/main" id="{F009AE37-7768-423C-9491-671338C85927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40" name="文字方塊 239">
          <a:extLst>
            <a:ext uri="{FF2B5EF4-FFF2-40B4-BE49-F238E27FC236}">
              <a16:creationId xmlns:a16="http://schemas.microsoft.com/office/drawing/2014/main" id="{D9022B3F-8680-42D5-9969-10DEFA83C50E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41" name="文字方塊 8">
          <a:extLst>
            <a:ext uri="{FF2B5EF4-FFF2-40B4-BE49-F238E27FC236}">
              <a16:creationId xmlns:a16="http://schemas.microsoft.com/office/drawing/2014/main" id="{CA3D213C-7006-4BCF-B17C-6FFC22C49277}"/>
            </a:ext>
          </a:extLst>
        </xdr:cNvPr>
        <xdr:cNvSpPr txBox="1"/>
      </xdr:nvSpPr>
      <xdr:spPr>
        <a:xfrm>
          <a:off x="7315200" y="13887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42" name="文字方塊 241">
          <a:extLst>
            <a:ext uri="{FF2B5EF4-FFF2-40B4-BE49-F238E27FC236}">
              <a16:creationId xmlns:a16="http://schemas.microsoft.com/office/drawing/2014/main" id="{27277C91-7994-4932-BEE4-94E2E27B15B4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43" name="文字方塊 242">
          <a:extLst>
            <a:ext uri="{FF2B5EF4-FFF2-40B4-BE49-F238E27FC236}">
              <a16:creationId xmlns:a16="http://schemas.microsoft.com/office/drawing/2014/main" id="{F8E4EE21-D304-4AE3-8D03-01340211E72E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44" name="文字方塊 243">
          <a:extLst>
            <a:ext uri="{FF2B5EF4-FFF2-40B4-BE49-F238E27FC236}">
              <a16:creationId xmlns:a16="http://schemas.microsoft.com/office/drawing/2014/main" id="{FEC7AE81-6F32-422E-85DB-FAC2D03192BF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45" name="文字方塊 8">
          <a:extLst>
            <a:ext uri="{FF2B5EF4-FFF2-40B4-BE49-F238E27FC236}">
              <a16:creationId xmlns:a16="http://schemas.microsoft.com/office/drawing/2014/main" id="{970E2D92-D211-47ED-9A44-C28B45F527EB}"/>
            </a:ext>
          </a:extLst>
        </xdr:cNvPr>
        <xdr:cNvSpPr txBox="1"/>
      </xdr:nvSpPr>
      <xdr:spPr>
        <a:xfrm>
          <a:off x="7315200" y="13887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46" name="文字方塊 245">
          <a:extLst>
            <a:ext uri="{FF2B5EF4-FFF2-40B4-BE49-F238E27FC236}">
              <a16:creationId xmlns:a16="http://schemas.microsoft.com/office/drawing/2014/main" id="{E53CC370-C868-46EC-820B-DC7028E85111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47" name="文字方塊 246">
          <a:extLst>
            <a:ext uri="{FF2B5EF4-FFF2-40B4-BE49-F238E27FC236}">
              <a16:creationId xmlns:a16="http://schemas.microsoft.com/office/drawing/2014/main" id="{2A10C92B-2598-4E36-9F05-FA303F0D9BFE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48" name="文字方塊 247">
          <a:extLst>
            <a:ext uri="{FF2B5EF4-FFF2-40B4-BE49-F238E27FC236}">
              <a16:creationId xmlns:a16="http://schemas.microsoft.com/office/drawing/2014/main" id="{D63D4394-89AD-458D-B4DA-C7892503DAC5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49" name="文字方塊 8">
          <a:extLst>
            <a:ext uri="{FF2B5EF4-FFF2-40B4-BE49-F238E27FC236}">
              <a16:creationId xmlns:a16="http://schemas.microsoft.com/office/drawing/2014/main" id="{62A99A93-0024-423D-B791-1680D417C902}"/>
            </a:ext>
          </a:extLst>
        </xdr:cNvPr>
        <xdr:cNvSpPr txBox="1"/>
      </xdr:nvSpPr>
      <xdr:spPr>
        <a:xfrm>
          <a:off x="7315200" y="13887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50" name="文字方塊 249">
          <a:extLst>
            <a:ext uri="{FF2B5EF4-FFF2-40B4-BE49-F238E27FC236}">
              <a16:creationId xmlns:a16="http://schemas.microsoft.com/office/drawing/2014/main" id="{433CF482-3891-4884-96A4-9B6B8435CBB2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51" name="文字方塊 250">
          <a:extLst>
            <a:ext uri="{FF2B5EF4-FFF2-40B4-BE49-F238E27FC236}">
              <a16:creationId xmlns:a16="http://schemas.microsoft.com/office/drawing/2014/main" id="{7D381571-1D61-4CAA-8105-EEE3D1D365D0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52" name="文字方塊 251">
          <a:extLst>
            <a:ext uri="{FF2B5EF4-FFF2-40B4-BE49-F238E27FC236}">
              <a16:creationId xmlns:a16="http://schemas.microsoft.com/office/drawing/2014/main" id="{F8358FDA-BF92-4165-AFE8-0D6B9F054AA2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53" name="文字方塊 8">
          <a:extLst>
            <a:ext uri="{FF2B5EF4-FFF2-40B4-BE49-F238E27FC236}">
              <a16:creationId xmlns:a16="http://schemas.microsoft.com/office/drawing/2014/main" id="{EB000C72-F3BC-4CF8-B964-2B4C7BA4F153}"/>
            </a:ext>
          </a:extLst>
        </xdr:cNvPr>
        <xdr:cNvSpPr txBox="1"/>
      </xdr:nvSpPr>
      <xdr:spPr>
        <a:xfrm>
          <a:off x="7315200" y="13887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54" name="文字方塊 253">
          <a:extLst>
            <a:ext uri="{FF2B5EF4-FFF2-40B4-BE49-F238E27FC236}">
              <a16:creationId xmlns:a16="http://schemas.microsoft.com/office/drawing/2014/main" id="{C7C11685-2A85-4A57-AF52-4AFD0579D302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55" name="文字方塊 254">
          <a:extLst>
            <a:ext uri="{FF2B5EF4-FFF2-40B4-BE49-F238E27FC236}">
              <a16:creationId xmlns:a16="http://schemas.microsoft.com/office/drawing/2014/main" id="{3B120C84-ADB1-43FB-97FD-257857587531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56" name="文字方塊 255">
          <a:extLst>
            <a:ext uri="{FF2B5EF4-FFF2-40B4-BE49-F238E27FC236}">
              <a16:creationId xmlns:a16="http://schemas.microsoft.com/office/drawing/2014/main" id="{8DFCCC29-F699-4DB0-BBF4-2DE5B3299FDF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57" name="文字方塊 8">
          <a:extLst>
            <a:ext uri="{FF2B5EF4-FFF2-40B4-BE49-F238E27FC236}">
              <a16:creationId xmlns:a16="http://schemas.microsoft.com/office/drawing/2014/main" id="{83499F65-D65A-45B4-B4A4-CF633D40E9D5}"/>
            </a:ext>
          </a:extLst>
        </xdr:cNvPr>
        <xdr:cNvSpPr txBox="1"/>
      </xdr:nvSpPr>
      <xdr:spPr>
        <a:xfrm>
          <a:off x="7315200" y="13887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58" name="文字方塊 257">
          <a:extLst>
            <a:ext uri="{FF2B5EF4-FFF2-40B4-BE49-F238E27FC236}">
              <a16:creationId xmlns:a16="http://schemas.microsoft.com/office/drawing/2014/main" id="{3ED2C7B3-8E1B-41D4-AB41-2E18C2E74051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59" name="文字方塊 258">
          <a:extLst>
            <a:ext uri="{FF2B5EF4-FFF2-40B4-BE49-F238E27FC236}">
              <a16:creationId xmlns:a16="http://schemas.microsoft.com/office/drawing/2014/main" id="{FFB9B9D7-F28D-4DE0-AD84-283462AC16E0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0" name="文字方塊 259">
          <a:extLst>
            <a:ext uri="{FF2B5EF4-FFF2-40B4-BE49-F238E27FC236}">
              <a16:creationId xmlns:a16="http://schemas.microsoft.com/office/drawing/2014/main" id="{F1B22F27-9069-4F03-AD80-179523326857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1" name="文字方塊 260">
          <a:extLst>
            <a:ext uri="{FF2B5EF4-FFF2-40B4-BE49-F238E27FC236}">
              <a16:creationId xmlns:a16="http://schemas.microsoft.com/office/drawing/2014/main" id="{A4DD29FD-84F1-40D7-9F50-F4319AE24461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62" name="文字方塊 8">
          <a:extLst>
            <a:ext uri="{FF2B5EF4-FFF2-40B4-BE49-F238E27FC236}">
              <a16:creationId xmlns:a16="http://schemas.microsoft.com/office/drawing/2014/main" id="{C10FF6A7-5FF0-4258-8BF0-B3148248D873}"/>
            </a:ext>
          </a:extLst>
        </xdr:cNvPr>
        <xdr:cNvSpPr txBox="1"/>
      </xdr:nvSpPr>
      <xdr:spPr>
        <a:xfrm>
          <a:off x="7315200" y="13887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3" name="文字方塊 262">
          <a:extLst>
            <a:ext uri="{FF2B5EF4-FFF2-40B4-BE49-F238E27FC236}">
              <a16:creationId xmlns:a16="http://schemas.microsoft.com/office/drawing/2014/main" id="{8BE47585-A9F7-42BB-B87A-2F335B671651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4" name="文字方塊 263">
          <a:extLst>
            <a:ext uri="{FF2B5EF4-FFF2-40B4-BE49-F238E27FC236}">
              <a16:creationId xmlns:a16="http://schemas.microsoft.com/office/drawing/2014/main" id="{65B5995A-A7B9-4A64-A906-0A83501BFB11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5" name="文字方塊 264">
          <a:extLst>
            <a:ext uri="{FF2B5EF4-FFF2-40B4-BE49-F238E27FC236}">
              <a16:creationId xmlns:a16="http://schemas.microsoft.com/office/drawing/2014/main" id="{154CE6E5-F256-4D51-8278-FD71E10FD777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66" name="文字方塊 8">
          <a:extLst>
            <a:ext uri="{FF2B5EF4-FFF2-40B4-BE49-F238E27FC236}">
              <a16:creationId xmlns:a16="http://schemas.microsoft.com/office/drawing/2014/main" id="{955DBA6D-27CA-428E-924A-E15936D83C5E}"/>
            </a:ext>
          </a:extLst>
        </xdr:cNvPr>
        <xdr:cNvSpPr txBox="1"/>
      </xdr:nvSpPr>
      <xdr:spPr>
        <a:xfrm>
          <a:off x="7315200" y="13887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7" name="文字方塊 266">
          <a:extLst>
            <a:ext uri="{FF2B5EF4-FFF2-40B4-BE49-F238E27FC236}">
              <a16:creationId xmlns:a16="http://schemas.microsoft.com/office/drawing/2014/main" id="{2BE50B2D-E80F-459D-8AED-857944BF6CCC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8" name="文字方塊 267">
          <a:extLst>
            <a:ext uri="{FF2B5EF4-FFF2-40B4-BE49-F238E27FC236}">
              <a16:creationId xmlns:a16="http://schemas.microsoft.com/office/drawing/2014/main" id="{25A2754B-343B-492E-A19A-E13BBA81E5C1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9" name="文字方塊 268">
          <a:extLst>
            <a:ext uri="{FF2B5EF4-FFF2-40B4-BE49-F238E27FC236}">
              <a16:creationId xmlns:a16="http://schemas.microsoft.com/office/drawing/2014/main" id="{DF016FEB-2CA2-4378-88E1-D8FB6F26E0FE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70" name="文字方塊 8">
          <a:extLst>
            <a:ext uri="{FF2B5EF4-FFF2-40B4-BE49-F238E27FC236}">
              <a16:creationId xmlns:a16="http://schemas.microsoft.com/office/drawing/2014/main" id="{AB406863-735F-4C53-95B9-09028B5737F8}"/>
            </a:ext>
          </a:extLst>
        </xdr:cNvPr>
        <xdr:cNvSpPr txBox="1"/>
      </xdr:nvSpPr>
      <xdr:spPr>
        <a:xfrm>
          <a:off x="7315200" y="13887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71" name="文字方塊 270">
          <a:extLst>
            <a:ext uri="{FF2B5EF4-FFF2-40B4-BE49-F238E27FC236}">
              <a16:creationId xmlns:a16="http://schemas.microsoft.com/office/drawing/2014/main" id="{BF7E6C17-B46D-4542-B5D9-214CB487CC8E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72" name="文字方塊 271">
          <a:extLst>
            <a:ext uri="{FF2B5EF4-FFF2-40B4-BE49-F238E27FC236}">
              <a16:creationId xmlns:a16="http://schemas.microsoft.com/office/drawing/2014/main" id="{EC744928-2B85-458C-9BD3-2BCE906C8B0B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73" name="文字方塊 272">
          <a:extLst>
            <a:ext uri="{FF2B5EF4-FFF2-40B4-BE49-F238E27FC236}">
              <a16:creationId xmlns:a16="http://schemas.microsoft.com/office/drawing/2014/main" id="{CA05AE94-A8F0-4032-8A4D-4C3CD3E34350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74" name="文字方塊 8">
          <a:extLst>
            <a:ext uri="{FF2B5EF4-FFF2-40B4-BE49-F238E27FC236}">
              <a16:creationId xmlns:a16="http://schemas.microsoft.com/office/drawing/2014/main" id="{259ABD4A-EBC7-4DC5-8025-39C221C6616E}"/>
            </a:ext>
          </a:extLst>
        </xdr:cNvPr>
        <xdr:cNvSpPr txBox="1"/>
      </xdr:nvSpPr>
      <xdr:spPr>
        <a:xfrm>
          <a:off x="7315200" y="13887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75" name="文字方塊 274">
          <a:extLst>
            <a:ext uri="{FF2B5EF4-FFF2-40B4-BE49-F238E27FC236}">
              <a16:creationId xmlns:a16="http://schemas.microsoft.com/office/drawing/2014/main" id="{8044EEA2-8691-4E44-BBD1-E624C7BAD891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76" name="文字方塊 275">
          <a:extLst>
            <a:ext uri="{FF2B5EF4-FFF2-40B4-BE49-F238E27FC236}">
              <a16:creationId xmlns:a16="http://schemas.microsoft.com/office/drawing/2014/main" id="{2B5FC1ED-66E9-43C0-92A8-5DFF9E6BADDF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77" name="文字方塊 276">
          <a:extLst>
            <a:ext uri="{FF2B5EF4-FFF2-40B4-BE49-F238E27FC236}">
              <a16:creationId xmlns:a16="http://schemas.microsoft.com/office/drawing/2014/main" id="{B7BFDCB2-2839-42BB-9CC1-7B2A6C1D66EE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78" name="文字方塊 8">
          <a:extLst>
            <a:ext uri="{FF2B5EF4-FFF2-40B4-BE49-F238E27FC236}">
              <a16:creationId xmlns:a16="http://schemas.microsoft.com/office/drawing/2014/main" id="{E22477F6-BCE9-47C9-8B2F-3B20FAFCC373}"/>
            </a:ext>
          </a:extLst>
        </xdr:cNvPr>
        <xdr:cNvSpPr txBox="1"/>
      </xdr:nvSpPr>
      <xdr:spPr>
        <a:xfrm>
          <a:off x="7315200" y="13887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79" name="文字方塊 278">
          <a:extLst>
            <a:ext uri="{FF2B5EF4-FFF2-40B4-BE49-F238E27FC236}">
              <a16:creationId xmlns:a16="http://schemas.microsoft.com/office/drawing/2014/main" id="{612A1BE9-2E0F-4E82-9CD1-4503B03139BA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0" name="文字方塊 279">
          <a:extLst>
            <a:ext uri="{FF2B5EF4-FFF2-40B4-BE49-F238E27FC236}">
              <a16:creationId xmlns:a16="http://schemas.microsoft.com/office/drawing/2014/main" id="{4C6C5F42-2812-45A0-959F-6EE03069E6CD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1" name="文字方塊 280">
          <a:extLst>
            <a:ext uri="{FF2B5EF4-FFF2-40B4-BE49-F238E27FC236}">
              <a16:creationId xmlns:a16="http://schemas.microsoft.com/office/drawing/2014/main" id="{CAB5104B-50AF-468D-9FBA-18FC953E169F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82" name="文字方塊 8">
          <a:extLst>
            <a:ext uri="{FF2B5EF4-FFF2-40B4-BE49-F238E27FC236}">
              <a16:creationId xmlns:a16="http://schemas.microsoft.com/office/drawing/2014/main" id="{A277D685-C57C-4340-BCCE-11D9BFD2C580}"/>
            </a:ext>
          </a:extLst>
        </xdr:cNvPr>
        <xdr:cNvSpPr txBox="1"/>
      </xdr:nvSpPr>
      <xdr:spPr>
        <a:xfrm>
          <a:off x="7315200" y="13887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3" name="文字方塊 282">
          <a:extLst>
            <a:ext uri="{FF2B5EF4-FFF2-40B4-BE49-F238E27FC236}">
              <a16:creationId xmlns:a16="http://schemas.microsoft.com/office/drawing/2014/main" id="{792CBE2C-EE38-4B55-A76C-F59306E16E00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4" name="文字方塊 283">
          <a:extLst>
            <a:ext uri="{FF2B5EF4-FFF2-40B4-BE49-F238E27FC236}">
              <a16:creationId xmlns:a16="http://schemas.microsoft.com/office/drawing/2014/main" id="{A1565FAA-A536-42B0-A54A-E3A27A29E6C4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5" name="文字方塊 284">
          <a:extLst>
            <a:ext uri="{FF2B5EF4-FFF2-40B4-BE49-F238E27FC236}">
              <a16:creationId xmlns:a16="http://schemas.microsoft.com/office/drawing/2014/main" id="{0A8C09B2-89B0-4AC7-9445-772F34F719F4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86" name="文字方塊 8">
          <a:extLst>
            <a:ext uri="{FF2B5EF4-FFF2-40B4-BE49-F238E27FC236}">
              <a16:creationId xmlns:a16="http://schemas.microsoft.com/office/drawing/2014/main" id="{962F0AA5-39FA-4A38-A000-2A996E4BD5C5}"/>
            </a:ext>
          </a:extLst>
        </xdr:cNvPr>
        <xdr:cNvSpPr txBox="1"/>
      </xdr:nvSpPr>
      <xdr:spPr>
        <a:xfrm>
          <a:off x="7315200" y="13887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7" name="文字方塊 286">
          <a:extLst>
            <a:ext uri="{FF2B5EF4-FFF2-40B4-BE49-F238E27FC236}">
              <a16:creationId xmlns:a16="http://schemas.microsoft.com/office/drawing/2014/main" id="{E2F9ECB0-9EFE-4BD9-A7F1-A3504E571F69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8" name="文字方塊 287">
          <a:extLst>
            <a:ext uri="{FF2B5EF4-FFF2-40B4-BE49-F238E27FC236}">
              <a16:creationId xmlns:a16="http://schemas.microsoft.com/office/drawing/2014/main" id="{ECC7A32C-5DE9-42B2-9655-84AE5DF734B3}"/>
            </a:ext>
          </a:extLst>
        </xdr:cNvPr>
        <xdr:cNvSpPr txBox="1"/>
      </xdr:nvSpPr>
      <xdr:spPr>
        <a:xfrm>
          <a:off x="7315200" y="1388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465A28B3-0753-48AB-8B01-E2B3E6494BD8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CC0E8C55-AD46-4E72-8D2F-66BC32E031FE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twoCellAnchor editAs="oneCell">
    <xdr:from>
      <xdr:col>3</xdr:col>
      <xdr:colOff>123269</xdr:colOff>
      <xdr:row>1</xdr:row>
      <xdr:rowOff>56021</xdr:rowOff>
    </xdr:from>
    <xdr:to>
      <xdr:col>5</xdr:col>
      <xdr:colOff>669622</xdr:colOff>
      <xdr:row>3</xdr:row>
      <xdr:rowOff>150442</xdr:rowOff>
    </xdr:to>
    <xdr:sp macro="[0]!auto_length" textlink="">
      <xdr:nvSpPr>
        <xdr:cNvPr id="4" name="矩形 3">
          <a:extLst>
            <a:ext uri="{FF2B5EF4-FFF2-40B4-BE49-F238E27FC236}">
              <a16:creationId xmlns:a16="http://schemas.microsoft.com/office/drawing/2014/main" id="{88DF5826-C82B-4BF5-A633-2CCB7E698995}"/>
            </a:ext>
          </a:extLst>
        </xdr:cNvPr>
        <xdr:cNvSpPr>
          <a:spLocks noChangeAspect="1"/>
        </xdr:cNvSpPr>
      </xdr:nvSpPr>
      <xdr:spPr>
        <a:xfrm>
          <a:off x="946229" y="360821"/>
          <a:ext cx="2161793" cy="544001"/>
        </a:xfrm>
        <a:prstGeom prst="rect">
          <a:avLst/>
        </a:prstGeom>
        <a:solidFill>
          <a:schemeClr val="bg1"/>
        </a:solidFill>
        <a:ln w="38100">
          <a:solidFill>
            <a:schemeClr val="accent2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2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計算長度</a:t>
          </a:r>
        </a:p>
      </xdr:txBody>
    </xdr:sp>
    <xdr:clientData/>
  </xdr:twoCellAnchor>
  <xdr:oneCellAnchor>
    <xdr:from>
      <xdr:col>13</xdr:col>
      <xdr:colOff>134475</xdr:colOff>
      <xdr:row>1</xdr:row>
      <xdr:rowOff>56021</xdr:rowOff>
    </xdr:from>
    <xdr:ext cx="2160000" cy="360000"/>
    <xdr:sp macro="[0]!auto_angle" textlink="">
      <xdr:nvSpPr>
        <xdr:cNvPr id="5" name="矩形 4">
          <a:extLst>
            <a:ext uri="{FF2B5EF4-FFF2-40B4-BE49-F238E27FC236}">
              <a16:creationId xmlns:a16="http://schemas.microsoft.com/office/drawing/2014/main" id="{EF7FF875-EA3B-4800-BE52-34ECA6D10C5E}"/>
            </a:ext>
          </a:extLst>
        </xdr:cNvPr>
        <xdr:cNvSpPr>
          <a:spLocks noChangeAspect="1"/>
        </xdr:cNvSpPr>
      </xdr:nvSpPr>
      <xdr:spPr>
        <a:xfrm>
          <a:off x="6215235" y="360821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4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計算角度</a:t>
          </a:r>
          <a:r>
            <a:rPr lang="en-US" altLang="zh-TW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(°)</a:t>
          </a:r>
          <a:endParaRPr lang="zh-TW" altLang="en-US" sz="1600" b="1">
            <a:solidFill>
              <a:schemeClr val="accent4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oneCellAnchor>
  <xdr:oneCellAnchor>
    <xdr:from>
      <xdr:col>24</xdr:col>
      <xdr:colOff>134475</xdr:colOff>
      <xdr:row>1</xdr:row>
      <xdr:rowOff>56022</xdr:rowOff>
    </xdr:from>
    <xdr:ext cx="2160000" cy="360000"/>
    <xdr:sp macro="[0]!auto_area" textlink="">
      <xdr:nvSpPr>
        <xdr:cNvPr id="6" name="矩形 5">
          <a:extLst>
            <a:ext uri="{FF2B5EF4-FFF2-40B4-BE49-F238E27FC236}">
              <a16:creationId xmlns:a16="http://schemas.microsoft.com/office/drawing/2014/main" id="{5711BAFD-CC54-4B62-BAE1-4B454DC196B2}"/>
            </a:ext>
          </a:extLst>
        </xdr:cNvPr>
        <xdr:cNvSpPr>
          <a:spLocks noChangeAspect="1"/>
        </xdr:cNvSpPr>
      </xdr:nvSpPr>
      <xdr:spPr>
        <a:xfrm>
          <a:off x="11747355" y="360822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6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計算面積</a:t>
          </a:r>
        </a:p>
      </xdr:txBody>
    </xdr:sp>
    <xdr:clientData/>
  </xdr:oneCellAnchor>
  <xdr:twoCellAnchor editAs="oneCell">
    <xdr:from>
      <xdr:col>6</xdr:col>
      <xdr:colOff>85169</xdr:colOff>
      <xdr:row>1</xdr:row>
      <xdr:rowOff>51539</xdr:rowOff>
    </xdr:from>
    <xdr:to>
      <xdr:col>7</xdr:col>
      <xdr:colOff>718346</xdr:colOff>
      <xdr:row>3</xdr:row>
      <xdr:rowOff>145960</xdr:rowOff>
    </xdr:to>
    <xdr:sp macro="[0]!clear_length" textlink="">
      <xdr:nvSpPr>
        <xdr:cNvPr id="7" name="矩形 6">
          <a:extLst>
            <a:ext uri="{FF2B5EF4-FFF2-40B4-BE49-F238E27FC236}">
              <a16:creationId xmlns:a16="http://schemas.microsoft.com/office/drawing/2014/main" id="{6732EDA2-6BDB-4819-992C-1DB08E54E2B4}"/>
            </a:ext>
          </a:extLst>
        </xdr:cNvPr>
        <xdr:cNvSpPr>
          <a:spLocks/>
        </xdr:cNvSpPr>
      </xdr:nvSpPr>
      <xdr:spPr>
        <a:xfrm>
          <a:off x="3331289" y="356339"/>
          <a:ext cx="1440897" cy="544001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twoCellAnchor>
  <xdr:oneCellAnchor>
    <xdr:from>
      <xdr:col>16</xdr:col>
      <xdr:colOff>85169</xdr:colOff>
      <xdr:row>1</xdr:row>
      <xdr:rowOff>51539</xdr:rowOff>
    </xdr:from>
    <xdr:ext cx="1440000" cy="360000"/>
    <xdr:sp macro="[0]!clear_angle" textlink="">
      <xdr:nvSpPr>
        <xdr:cNvPr id="8" name="矩形 7">
          <a:extLst>
            <a:ext uri="{FF2B5EF4-FFF2-40B4-BE49-F238E27FC236}">
              <a16:creationId xmlns:a16="http://schemas.microsoft.com/office/drawing/2014/main" id="{C72B7EE0-E647-4654-9A82-11FA1E1697B3}"/>
            </a:ext>
          </a:extLst>
        </xdr:cNvPr>
        <xdr:cNvSpPr>
          <a:spLocks/>
        </xdr:cNvSpPr>
      </xdr:nvSpPr>
      <xdr:spPr>
        <a:xfrm>
          <a:off x="8589089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27</xdr:col>
      <xdr:colOff>85169</xdr:colOff>
      <xdr:row>1</xdr:row>
      <xdr:rowOff>51539</xdr:rowOff>
    </xdr:from>
    <xdr:ext cx="1440000" cy="360000"/>
    <xdr:sp macro="[0]!clear_area" textlink="">
      <xdr:nvSpPr>
        <xdr:cNvPr id="9" name="矩形 8">
          <a:extLst>
            <a:ext uri="{FF2B5EF4-FFF2-40B4-BE49-F238E27FC236}">
              <a16:creationId xmlns:a16="http://schemas.microsoft.com/office/drawing/2014/main" id="{545CE5BD-A198-424C-A4A0-C634EACAF012}"/>
            </a:ext>
          </a:extLst>
        </xdr:cNvPr>
        <xdr:cNvSpPr>
          <a:spLocks/>
        </xdr:cNvSpPr>
      </xdr:nvSpPr>
      <xdr:spPr>
        <a:xfrm>
          <a:off x="14121209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EE939423-EE66-4026-9FD6-8D275D3D48A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5E256604-E3CF-4215-8390-9F4A4D235233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2" name="文字方塊 8">
          <a:extLst>
            <a:ext uri="{FF2B5EF4-FFF2-40B4-BE49-F238E27FC236}">
              <a16:creationId xmlns:a16="http://schemas.microsoft.com/office/drawing/2014/main" id="{401DCAAF-8DFE-4FA0-AF0D-64BA8DB0D9F8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3" name="文字方塊 9">
          <a:extLst>
            <a:ext uri="{FF2B5EF4-FFF2-40B4-BE49-F238E27FC236}">
              <a16:creationId xmlns:a16="http://schemas.microsoft.com/office/drawing/2014/main" id="{5C0D5322-D29B-4209-9AF8-2A93AC552F9F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A3E3BB13-2A4D-499A-B0D6-3CF94C02BB6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74FB71A7-6439-4EB9-8E4D-117F39BB5991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" name="文字方塊 15">
          <a:extLst>
            <a:ext uri="{FF2B5EF4-FFF2-40B4-BE49-F238E27FC236}">
              <a16:creationId xmlns:a16="http://schemas.microsoft.com/office/drawing/2014/main" id="{E2A6ADE6-4E0F-4870-ADCA-33FA8547AB5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7" name="文字方塊 16">
          <a:extLst>
            <a:ext uri="{FF2B5EF4-FFF2-40B4-BE49-F238E27FC236}">
              <a16:creationId xmlns:a16="http://schemas.microsoft.com/office/drawing/2014/main" id="{B056F476-473A-44C6-AB82-5E99A99084B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8" name="文字方塊 8">
          <a:extLst>
            <a:ext uri="{FF2B5EF4-FFF2-40B4-BE49-F238E27FC236}">
              <a16:creationId xmlns:a16="http://schemas.microsoft.com/office/drawing/2014/main" id="{853614F8-8B3E-47B2-948E-33FFEFC02BD8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9" name="文字方塊 9">
          <a:extLst>
            <a:ext uri="{FF2B5EF4-FFF2-40B4-BE49-F238E27FC236}">
              <a16:creationId xmlns:a16="http://schemas.microsoft.com/office/drawing/2014/main" id="{D5BCBAED-DC5F-4855-BC87-9E1AC22F6AC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3572C09A-6E43-49BE-AEBC-7486501F8DF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9BB893F2-31FB-4C73-9180-0777D7DABA1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F99B1532-D3E8-4F32-97CE-E73B26D01F5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2CFF7BB7-8699-4D1B-99BF-3250C113C0D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4" name="文字方塊 8">
          <a:extLst>
            <a:ext uri="{FF2B5EF4-FFF2-40B4-BE49-F238E27FC236}">
              <a16:creationId xmlns:a16="http://schemas.microsoft.com/office/drawing/2014/main" id="{0983ACD5-FE60-4AC6-B3F8-2A2B4F81643B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5" name="文字方塊 9">
          <a:extLst>
            <a:ext uri="{FF2B5EF4-FFF2-40B4-BE49-F238E27FC236}">
              <a16:creationId xmlns:a16="http://schemas.microsoft.com/office/drawing/2014/main" id="{0BA3B904-2CA0-4B7E-A473-03004CD4A7B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D3A3421D-FA1B-41D4-A017-33DEB499267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267F43C9-6778-4D15-B108-7810C11D4BF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C0F6B478-A4EC-47AF-AC0B-CC1837BEE92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82F7FE7F-4016-4D83-87B6-6E74E049FBE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76E81356-95FB-4F96-9322-8DAB288B235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968ECBBD-FBC2-4543-AA1A-163719882AC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32" name="文字方塊 8">
          <a:extLst>
            <a:ext uri="{FF2B5EF4-FFF2-40B4-BE49-F238E27FC236}">
              <a16:creationId xmlns:a16="http://schemas.microsoft.com/office/drawing/2014/main" id="{911F00D3-0DAF-473F-9517-E2EB4ED62340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33" name="文字方塊 9">
          <a:extLst>
            <a:ext uri="{FF2B5EF4-FFF2-40B4-BE49-F238E27FC236}">
              <a16:creationId xmlns:a16="http://schemas.microsoft.com/office/drawing/2014/main" id="{D7271C64-5870-41E7-9CB0-BB80F6953D8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E919D893-B092-41A0-A67F-D8D6F3D9043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50591273-32FE-4D89-9218-177D1E8EDC1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6" name="文字方塊 35">
          <a:extLst>
            <a:ext uri="{FF2B5EF4-FFF2-40B4-BE49-F238E27FC236}">
              <a16:creationId xmlns:a16="http://schemas.microsoft.com/office/drawing/2014/main" id="{DA8705CB-0398-42B0-9EEF-88F0FA0AA6D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1BDBBF43-498C-41D6-B489-82E6769D62D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B0B40DB6-B0A8-45FB-83CF-E24D64D7710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06BE51A3-256B-4574-9EF2-B1450B38DC2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0" name="文字方塊 8">
          <a:extLst>
            <a:ext uri="{FF2B5EF4-FFF2-40B4-BE49-F238E27FC236}">
              <a16:creationId xmlns:a16="http://schemas.microsoft.com/office/drawing/2014/main" id="{24B06401-ACCE-4A5E-B2AD-E077DAC076C9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1" name="文字方塊 9">
          <a:extLst>
            <a:ext uri="{FF2B5EF4-FFF2-40B4-BE49-F238E27FC236}">
              <a16:creationId xmlns:a16="http://schemas.microsoft.com/office/drawing/2014/main" id="{678CD074-09C0-41C6-BAC7-E80B6D15378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DB29A577-C3E2-431C-A217-7E521D3A463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E0858750-D924-48CB-B1D6-DB2EFB3EC50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B3EAD37E-5CC1-4FB7-B5AB-1DB1C592C28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5" name="文字方塊 44">
          <a:extLst>
            <a:ext uri="{FF2B5EF4-FFF2-40B4-BE49-F238E27FC236}">
              <a16:creationId xmlns:a16="http://schemas.microsoft.com/office/drawing/2014/main" id="{7A408B09-B8E2-4958-BE50-DDD4009089F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EB5A8520-D37F-4A80-915C-0C484BBBAB3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9C71AEA0-CEA7-458F-A39D-7753DEAC683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8" name="文字方塊 8">
          <a:extLst>
            <a:ext uri="{FF2B5EF4-FFF2-40B4-BE49-F238E27FC236}">
              <a16:creationId xmlns:a16="http://schemas.microsoft.com/office/drawing/2014/main" id="{B0B91341-4042-422D-A694-91DAE2CD4B59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9" name="文字方塊 9">
          <a:extLst>
            <a:ext uri="{FF2B5EF4-FFF2-40B4-BE49-F238E27FC236}">
              <a16:creationId xmlns:a16="http://schemas.microsoft.com/office/drawing/2014/main" id="{DF7CE866-1F16-42D0-9E54-9C0A54BA53E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2E9EEFE7-1151-40F1-B5F5-24DA38594D5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27026300-C1E0-4E1E-85C0-8DDA700D8E5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2" name="文字方塊 51">
          <a:extLst>
            <a:ext uri="{FF2B5EF4-FFF2-40B4-BE49-F238E27FC236}">
              <a16:creationId xmlns:a16="http://schemas.microsoft.com/office/drawing/2014/main" id="{C69F2F1C-6E91-484A-9B7C-F8D3D922C85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3" name="文字方塊 52">
          <a:extLst>
            <a:ext uri="{FF2B5EF4-FFF2-40B4-BE49-F238E27FC236}">
              <a16:creationId xmlns:a16="http://schemas.microsoft.com/office/drawing/2014/main" id="{7E90F497-37FB-4ED7-B577-0883CC14502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F4E7C6DA-606D-453A-A2C5-FCAF618E6B4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24FBEEAB-3610-4DAA-810E-DCCB93ECEA7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6" name="文字方塊 8">
          <a:extLst>
            <a:ext uri="{FF2B5EF4-FFF2-40B4-BE49-F238E27FC236}">
              <a16:creationId xmlns:a16="http://schemas.microsoft.com/office/drawing/2014/main" id="{5D3C498C-8DED-45DD-AB49-03A02EF99000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57" name="文字方塊 9">
          <a:extLst>
            <a:ext uri="{FF2B5EF4-FFF2-40B4-BE49-F238E27FC236}">
              <a16:creationId xmlns:a16="http://schemas.microsoft.com/office/drawing/2014/main" id="{ECC2E232-3D8E-4C4F-9CF4-24D554A82EA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13AF554C-BC2B-4E47-87CC-8620FE41133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9" name="文字方塊 58">
          <a:extLst>
            <a:ext uri="{FF2B5EF4-FFF2-40B4-BE49-F238E27FC236}">
              <a16:creationId xmlns:a16="http://schemas.microsoft.com/office/drawing/2014/main" id="{32EA31D2-5790-4438-816D-07861004143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0" name="文字方塊 59">
          <a:extLst>
            <a:ext uri="{FF2B5EF4-FFF2-40B4-BE49-F238E27FC236}">
              <a16:creationId xmlns:a16="http://schemas.microsoft.com/office/drawing/2014/main" id="{3ECC39C4-5D77-41F2-BE9A-B47DB3DB4A7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D89B4516-24FD-49B7-BE1D-FA5C95DA61B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5BE3DCC3-FFBE-4D58-A8A2-DDFEF2A93C4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3" name="文字方塊 8">
          <a:extLst>
            <a:ext uri="{FF2B5EF4-FFF2-40B4-BE49-F238E27FC236}">
              <a16:creationId xmlns:a16="http://schemas.microsoft.com/office/drawing/2014/main" id="{013ACBFA-7378-4FCD-BF77-6D12AAA5F003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4" name="文字方塊 63">
          <a:extLst>
            <a:ext uri="{FF2B5EF4-FFF2-40B4-BE49-F238E27FC236}">
              <a16:creationId xmlns:a16="http://schemas.microsoft.com/office/drawing/2014/main" id="{5DA1C5BC-90B6-4EAB-8777-2D3AE0EEDE7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5" name="文字方塊 64">
          <a:extLst>
            <a:ext uri="{FF2B5EF4-FFF2-40B4-BE49-F238E27FC236}">
              <a16:creationId xmlns:a16="http://schemas.microsoft.com/office/drawing/2014/main" id="{F8DDABAE-2741-42BF-9DEB-82C1D21321E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6F8199E4-1060-4510-AA4E-8F92892C4F1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7" name="文字方塊 8">
          <a:extLst>
            <a:ext uri="{FF2B5EF4-FFF2-40B4-BE49-F238E27FC236}">
              <a16:creationId xmlns:a16="http://schemas.microsoft.com/office/drawing/2014/main" id="{F2C70912-BC33-40DA-9D33-46723645145E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8" name="文字方塊 67">
          <a:extLst>
            <a:ext uri="{FF2B5EF4-FFF2-40B4-BE49-F238E27FC236}">
              <a16:creationId xmlns:a16="http://schemas.microsoft.com/office/drawing/2014/main" id="{09E2D67E-B1BF-45AE-B547-F446B9E3FC3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777E2CC5-6C7D-46AA-9C22-9DF1B0340EA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24A5B7CE-0A87-44A6-A76E-83A9C2FA56A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1" name="文字方塊 8">
          <a:extLst>
            <a:ext uri="{FF2B5EF4-FFF2-40B4-BE49-F238E27FC236}">
              <a16:creationId xmlns:a16="http://schemas.microsoft.com/office/drawing/2014/main" id="{29D63F52-A7A8-4A88-817E-CBFB616A91E4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2" name="文字方塊 71">
          <a:extLst>
            <a:ext uri="{FF2B5EF4-FFF2-40B4-BE49-F238E27FC236}">
              <a16:creationId xmlns:a16="http://schemas.microsoft.com/office/drawing/2014/main" id="{77B34A82-1B83-42EE-B2A3-38F2A69797B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3" name="文字方塊 72">
          <a:extLst>
            <a:ext uri="{FF2B5EF4-FFF2-40B4-BE49-F238E27FC236}">
              <a16:creationId xmlns:a16="http://schemas.microsoft.com/office/drawing/2014/main" id="{F9C6B189-77FB-4C8B-8AB0-84FEDBAAF98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4" name="文字方塊 73">
          <a:extLst>
            <a:ext uri="{FF2B5EF4-FFF2-40B4-BE49-F238E27FC236}">
              <a16:creationId xmlns:a16="http://schemas.microsoft.com/office/drawing/2014/main" id="{2479A9F2-AA8A-470D-9A76-09F966A1051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5" name="文字方塊 8">
          <a:extLst>
            <a:ext uri="{FF2B5EF4-FFF2-40B4-BE49-F238E27FC236}">
              <a16:creationId xmlns:a16="http://schemas.microsoft.com/office/drawing/2014/main" id="{1A243C2E-FDD7-43C0-BDED-AF5A18670B71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6" name="文字方塊 75">
          <a:extLst>
            <a:ext uri="{FF2B5EF4-FFF2-40B4-BE49-F238E27FC236}">
              <a16:creationId xmlns:a16="http://schemas.microsoft.com/office/drawing/2014/main" id="{4DF5542E-CA0E-4C89-8487-6348395ED5E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A1761419-546F-40B9-9BD0-4BF2AECED8B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8" name="文字方塊 77">
          <a:extLst>
            <a:ext uri="{FF2B5EF4-FFF2-40B4-BE49-F238E27FC236}">
              <a16:creationId xmlns:a16="http://schemas.microsoft.com/office/drawing/2014/main" id="{9039EAEC-408B-43F2-8913-578EEDAE77E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9" name="文字方塊 8">
          <a:extLst>
            <a:ext uri="{FF2B5EF4-FFF2-40B4-BE49-F238E27FC236}">
              <a16:creationId xmlns:a16="http://schemas.microsoft.com/office/drawing/2014/main" id="{29BE85B1-E923-4C7D-BB23-03299543047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0" name="文字方塊 79">
          <a:extLst>
            <a:ext uri="{FF2B5EF4-FFF2-40B4-BE49-F238E27FC236}">
              <a16:creationId xmlns:a16="http://schemas.microsoft.com/office/drawing/2014/main" id="{BFAD9189-4945-4253-8221-026B05A20E6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1" name="文字方塊 80">
          <a:extLst>
            <a:ext uri="{FF2B5EF4-FFF2-40B4-BE49-F238E27FC236}">
              <a16:creationId xmlns:a16="http://schemas.microsoft.com/office/drawing/2014/main" id="{154B9561-E90A-41AC-8F12-89CEFBD7FF9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2" name="文字方塊 81">
          <a:extLst>
            <a:ext uri="{FF2B5EF4-FFF2-40B4-BE49-F238E27FC236}">
              <a16:creationId xmlns:a16="http://schemas.microsoft.com/office/drawing/2014/main" id="{A89E0760-D33D-490C-B8F8-C8932BBAA44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3" name="文字方塊 8">
          <a:extLst>
            <a:ext uri="{FF2B5EF4-FFF2-40B4-BE49-F238E27FC236}">
              <a16:creationId xmlns:a16="http://schemas.microsoft.com/office/drawing/2014/main" id="{9365EEE4-1BFA-4878-969E-4CBA854BE9FA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4" name="文字方塊 83">
          <a:extLst>
            <a:ext uri="{FF2B5EF4-FFF2-40B4-BE49-F238E27FC236}">
              <a16:creationId xmlns:a16="http://schemas.microsoft.com/office/drawing/2014/main" id="{0C4433C8-F111-4428-9DAF-EA5EE54E751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5" name="文字方塊 84">
          <a:extLst>
            <a:ext uri="{FF2B5EF4-FFF2-40B4-BE49-F238E27FC236}">
              <a16:creationId xmlns:a16="http://schemas.microsoft.com/office/drawing/2014/main" id="{C1F58EB5-45B3-4543-A9F8-D5C347AA042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6" name="文字方塊 85">
          <a:extLst>
            <a:ext uri="{FF2B5EF4-FFF2-40B4-BE49-F238E27FC236}">
              <a16:creationId xmlns:a16="http://schemas.microsoft.com/office/drawing/2014/main" id="{238D6E18-8DEE-4FB8-A90A-BDA3ECD5670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7" name="文字方塊 86">
          <a:extLst>
            <a:ext uri="{FF2B5EF4-FFF2-40B4-BE49-F238E27FC236}">
              <a16:creationId xmlns:a16="http://schemas.microsoft.com/office/drawing/2014/main" id="{B878FF6C-DA04-46DB-A0EF-B881DD4E476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8" name="文字方塊 8">
          <a:extLst>
            <a:ext uri="{FF2B5EF4-FFF2-40B4-BE49-F238E27FC236}">
              <a16:creationId xmlns:a16="http://schemas.microsoft.com/office/drawing/2014/main" id="{B89E9F0C-4016-4311-A91F-BF120820C169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9" name="文字方塊 88">
          <a:extLst>
            <a:ext uri="{FF2B5EF4-FFF2-40B4-BE49-F238E27FC236}">
              <a16:creationId xmlns:a16="http://schemas.microsoft.com/office/drawing/2014/main" id="{83FFE4D1-9682-49B4-A212-334F92E0305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0" name="文字方塊 89">
          <a:extLst>
            <a:ext uri="{FF2B5EF4-FFF2-40B4-BE49-F238E27FC236}">
              <a16:creationId xmlns:a16="http://schemas.microsoft.com/office/drawing/2014/main" id="{91647AFC-992D-4AAC-AA83-DDDB42962F8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1" name="文字方塊 90">
          <a:extLst>
            <a:ext uri="{FF2B5EF4-FFF2-40B4-BE49-F238E27FC236}">
              <a16:creationId xmlns:a16="http://schemas.microsoft.com/office/drawing/2014/main" id="{50CFBB8E-F4F9-42EA-8753-52F2B200160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92" name="文字方塊 8">
          <a:extLst>
            <a:ext uri="{FF2B5EF4-FFF2-40B4-BE49-F238E27FC236}">
              <a16:creationId xmlns:a16="http://schemas.microsoft.com/office/drawing/2014/main" id="{7B489C73-7736-4BE6-BFCF-3A9F76D39D66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3" name="文字方塊 92">
          <a:extLst>
            <a:ext uri="{FF2B5EF4-FFF2-40B4-BE49-F238E27FC236}">
              <a16:creationId xmlns:a16="http://schemas.microsoft.com/office/drawing/2014/main" id="{D915814F-C146-4026-A785-D265FB68F3C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4" name="文字方塊 93">
          <a:extLst>
            <a:ext uri="{FF2B5EF4-FFF2-40B4-BE49-F238E27FC236}">
              <a16:creationId xmlns:a16="http://schemas.microsoft.com/office/drawing/2014/main" id="{989F1C3A-54FD-4904-99CD-2B6F9877EE1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5" name="文字方塊 94">
          <a:extLst>
            <a:ext uri="{FF2B5EF4-FFF2-40B4-BE49-F238E27FC236}">
              <a16:creationId xmlns:a16="http://schemas.microsoft.com/office/drawing/2014/main" id="{BD01727E-2B5A-4ED1-A436-3587314342F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96" name="文字方塊 8">
          <a:extLst>
            <a:ext uri="{FF2B5EF4-FFF2-40B4-BE49-F238E27FC236}">
              <a16:creationId xmlns:a16="http://schemas.microsoft.com/office/drawing/2014/main" id="{DE619638-CAD3-4D66-8759-A26F4E3CE5E4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7" name="文字方塊 96">
          <a:extLst>
            <a:ext uri="{FF2B5EF4-FFF2-40B4-BE49-F238E27FC236}">
              <a16:creationId xmlns:a16="http://schemas.microsoft.com/office/drawing/2014/main" id="{F71BD484-1657-435D-8CB9-4A23721CCAF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8" name="文字方塊 97">
          <a:extLst>
            <a:ext uri="{FF2B5EF4-FFF2-40B4-BE49-F238E27FC236}">
              <a16:creationId xmlns:a16="http://schemas.microsoft.com/office/drawing/2014/main" id="{C58BF9D5-2D4C-4DC4-9A5E-22A230F777F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9" name="文字方塊 98">
          <a:extLst>
            <a:ext uri="{FF2B5EF4-FFF2-40B4-BE49-F238E27FC236}">
              <a16:creationId xmlns:a16="http://schemas.microsoft.com/office/drawing/2014/main" id="{AD567E67-A673-49A2-AF48-D0616888491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0" name="文字方塊 8">
          <a:extLst>
            <a:ext uri="{FF2B5EF4-FFF2-40B4-BE49-F238E27FC236}">
              <a16:creationId xmlns:a16="http://schemas.microsoft.com/office/drawing/2014/main" id="{CA2B644F-D813-4B5F-9488-B68461B6D2D5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1" name="文字方塊 100">
          <a:extLst>
            <a:ext uri="{FF2B5EF4-FFF2-40B4-BE49-F238E27FC236}">
              <a16:creationId xmlns:a16="http://schemas.microsoft.com/office/drawing/2014/main" id="{72A848DB-2B06-4C86-87BD-38DEC619BE5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2" name="文字方塊 101">
          <a:extLst>
            <a:ext uri="{FF2B5EF4-FFF2-40B4-BE49-F238E27FC236}">
              <a16:creationId xmlns:a16="http://schemas.microsoft.com/office/drawing/2014/main" id="{EB761FAE-49D6-4882-92C5-0E0EB49B098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3" name="文字方塊 102">
          <a:extLst>
            <a:ext uri="{FF2B5EF4-FFF2-40B4-BE49-F238E27FC236}">
              <a16:creationId xmlns:a16="http://schemas.microsoft.com/office/drawing/2014/main" id="{3E72E8A2-97AB-49B0-94CF-87ED1F3F4D2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4" name="文字方塊 8">
          <a:extLst>
            <a:ext uri="{FF2B5EF4-FFF2-40B4-BE49-F238E27FC236}">
              <a16:creationId xmlns:a16="http://schemas.microsoft.com/office/drawing/2014/main" id="{38B32A02-21D0-498E-8B5D-BBF9F4C7A1D9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5" name="文字方塊 104">
          <a:extLst>
            <a:ext uri="{FF2B5EF4-FFF2-40B4-BE49-F238E27FC236}">
              <a16:creationId xmlns:a16="http://schemas.microsoft.com/office/drawing/2014/main" id="{0A59104E-D56C-41B2-8670-BF1C925D0AD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6" name="文字方塊 105">
          <a:extLst>
            <a:ext uri="{FF2B5EF4-FFF2-40B4-BE49-F238E27FC236}">
              <a16:creationId xmlns:a16="http://schemas.microsoft.com/office/drawing/2014/main" id="{E37913D2-1B5F-47A2-BB89-37B10FAE3C0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7" name="文字方塊 106">
          <a:extLst>
            <a:ext uri="{FF2B5EF4-FFF2-40B4-BE49-F238E27FC236}">
              <a16:creationId xmlns:a16="http://schemas.microsoft.com/office/drawing/2014/main" id="{491BEB94-B0F7-4047-9089-E978E6DF7F8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8" name="文字方塊 8">
          <a:extLst>
            <a:ext uri="{FF2B5EF4-FFF2-40B4-BE49-F238E27FC236}">
              <a16:creationId xmlns:a16="http://schemas.microsoft.com/office/drawing/2014/main" id="{178F5271-E61E-4DF6-AD44-41C5701EE089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9" name="文字方塊 108">
          <a:extLst>
            <a:ext uri="{FF2B5EF4-FFF2-40B4-BE49-F238E27FC236}">
              <a16:creationId xmlns:a16="http://schemas.microsoft.com/office/drawing/2014/main" id="{F463C19B-50EE-4D52-A2FC-15B3B2B8291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0" name="文字方塊 109">
          <a:extLst>
            <a:ext uri="{FF2B5EF4-FFF2-40B4-BE49-F238E27FC236}">
              <a16:creationId xmlns:a16="http://schemas.microsoft.com/office/drawing/2014/main" id="{65466A5E-2D40-4246-B95F-45DF7603197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1" name="文字方塊 110">
          <a:extLst>
            <a:ext uri="{FF2B5EF4-FFF2-40B4-BE49-F238E27FC236}">
              <a16:creationId xmlns:a16="http://schemas.microsoft.com/office/drawing/2014/main" id="{2B05C7EB-DC8E-4BE5-83F8-E680FC77E69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12" name="文字方塊 8">
          <a:extLst>
            <a:ext uri="{FF2B5EF4-FFF2-40B4-BE49-F238E27FC236}">
              <a16:creationId xmlns:a16="http://schemas.microsoft.com/office/drawing/2014/main" id="{F8C9FDA0-052F-4502-ABE6-F8AC56789C33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3" name="文字方塊 112">
          <a:extLst>
            <a:ext uri="{FF2B5EF4-FFF2-40B4-BE49-F238E27FC236}">
              <a16:creationId xmlns:a16="http://schemas.microsoft.com/office/drawing/2014/main" id="{BA9B704A-DC82-464D-BD94-083897C554A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4" name="文字方塊 113">
          <a:extLst>
            <a:ext uri="{FF2B5EF4-FFF2-40B4-BE49-F238E27FC236}">
              <a16:creationId xmlns:a16="http://schemas.microsoft.com/office/drawing/2014/main" id="{428BD945-BA1D-42E3-970F-56DEBCC58D6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5" name="文字方塊 114">
          <a:extLst>
            <a:ext uri="{FF2B5EF4-FFF2-40B4-BE49-F238E27FC236}">
              <a16:creationId xmlns:a16="http://schemas.microsoft.com/office/drawing/2014/main" id="{E1E5B8A0-61A6-464F-9793-211CEA18B85E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6" name="文字方塊 115">
          <a:extLst>
            <a:ext uri="{FF2B5EF4-FFF2-40B4-BE49-F238E27FC236}">
              <a16:creationId xmlns:a16="http://schemas.microsoft.com/office/drawing/2014/main" id="{BA0C5E06-CC0D-4DAF-9123-AFBE5611FD10}"/>
            </a:ext>
          </a:extLst>
        </xdr:cNvPr>
        <xdr:cNvSpPr txBox="1">
          <a:spLocks noChangeAspect="1"/>
        </xdr:cNvSpPr>
      </xdr:nvSpPr>
      <xdr:spPr>
        <a:xfrm>
          <a:off x="24536400" y="1066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7" name="文字方塊 116">
          <a:extLst>
            <a:ext uri="{FF2B5EF4-FFF2-40B4-BE49-F238E27FC236}">
              <a16:creationId xmlns:a16="http://schemas.microsoft.com/office/drawing/2014/main" id="{8C597604-67DC-4A11-8399-71FA5267E44E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8" name="文字方塊 117">
          <a:extLst>
            <a:ext uri="{FF2B5EF4-FFF2-40B4-BE49-F238E27FC236}">
              <a16:creationId xmlns:a16="http://schemas.microsoft.com/office/drawing/2014/main" id="{469EC735-DE6C-41B6-8DD7-BCA04D763322}"/>
            </a:ext>
          </a:extLst>
        </xdr:cNvPr>
        <xdr:cNvSpPr txBox="1">
          <a:spLocks noChangeAspect="1"/>
        </xdr:cNvSpPr>
      </xdr:nvSpPr>
      <xdr:spPr>
        <a:xfrm>
          <a:off x="24536400" y="1066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19" name="文字方塊 8">
          <a:extLst>
            <a:ext uri="{FF2B5EF4-FFF2-40B4-BE49-F238E27FC236}">
              <a16:creationId xmlns:a16="http://schemas.microsoft.com/office/drawing/2014/main" id="{0E59DFE5-CAA6-46E9-83B3-8450C5E30734}"/>
            </a:ext>
          </a:extLst>
        </xdr:cNvPr>
        <xdr:cNvSpPr txBox="1"/>
      </xdr:nvSpPr>
      <xdr:spPr>
        <a:xfrm>
          <a:off x="24536400" y="16300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20" name="文字方塊 9">
          <a:extLst>
            <a:ext uri="{FF2B5EF4-FFF2-40B4-BE49-F238E27FC236}">
              <a16:creationId xmlns:a16="http://schemas.microsoft.com/office/drawing/2014/main" id="{67A04F6E-AB94-4AF6-A3D8-8189B285304F}"/>
            </a:ext>
          </a:extLst>
        </xdr:cNvPr>
        <xdr:cNvSpPr txBox="1">
          <a:spLocks noChangeAspect="1"/>
        </xdr:cNvSpPr>
      </xdr:nvSpPr>
      <xdr:spPr>
        <a:xfrm>
          <a:off x="24536400" y="1066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1" name="文字方塊 120">
          <a:extLst>
            <a:ext uri="{FF2B5EF4-FFF2-40B4-BE49-F238E27FC236}">
              <a16:creationId xmlns:a16="http://schemas.microsoft.com/office/drawing/2014/main" id="{F39D0D57-CFFA-4089-9FFE-FF69FAFD5D74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22" name="文字方塊 121">
          <a:extLst>
            <a:ext uri="{FF2B5EF4-FFF2-40B4-BE49-F238E27FC236}">
              <a16:creationId xmlns:a16="http://schemas.microsoft.com/office/drawing/2014/main" id="{5208C1B6-CD15-408F-8D55-BE196158D03C}"/>
            </a:ext>
          </a:extLst>
        </xdr:cNvPr>
        <xdr:cNvSpPr txBox="1">
          <a:spLocks noChangeAspect="1"/>
        </xdr:cNvSpPr>
      </xdr:nvSpPr>
      <xdr:spPr>
        <a:xfrm>
          <a:off x="24536400" y="1066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3" name="文字方塊 122">
          <a:extLst>
            <a:ext uri="{FF2B5EF4-FFF2-40B4-BE49-F238E27FC236}">
              <a16:creationId xmlns:a16="http://schemas.microsoft.com/office/drawing/2014/main" id="{72AFE62D-EE26-4FA8-9A65-9B42C7FD6EC6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24" name="文字方塊 123">
          <a:extLst>
            <a:ext uri="{FF2B5EF4-FFF2-40B4-BE49-F238E27FC236}">
              <a16:creationId xmlns:a16="http://schemas.microsoft.com/office/drawing/2014/main" id="{C571B609-56F2-43EA-95EB-B5F0858A3B39}"/>
            </a:ext>
          </a:extLst>
        </xdr:cNvPr>
        <xdr:cNvSpPr txBox="1">
          <a:spLocks noChangeAspect="1"/>
        </xdr:cNvSpPr>
      </xdr:nvSpPr>
      <xdr:spPr>
        <a:xfrm>
          <a:off x="24536400" y="1066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5" name="文字方塊 124">
          <a:extLst>
            <a:ext uri="{FF2B5EF4-FFF2-40B4-BE49-F238E27FC236}">
              <a16:creationId xmlns:a16="http://schemas.microsoft.com/office/drawing/2014/main" id="{D9F17B47-7892-4B2C-B55C-24F25BABF2CB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26" name="文字方塊 125">
          <a:extLst>
            <a:ext uri="{FF2B5EF4-FFF2-40B4-BE49-F238E27FC236}">
              <a16:creationId xmlns:a16="http://schemas.microsoft.com/office/drawing/2014/main" id="{82362CE2-8CE1-4001-87A3-A5C506A25D57}"/>
            </a:ext>
          </a:extLst>
        </xdr:cNvPr>
        <xdr:cNvSpPr txBox="1">
          <a:spLocks noChangeAspect="1"/>
        </xdr:cNvSpPr>
      </xdr:nvSpPr>
      <xdr:spPr>
        <a:xfrm>
          <a:off x="24536400" y="1066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27" name="文字方塊 8">
          <a:extLst>
            <a:ext uri="{FF2B5EF4-FFF2-40B4-BE49-F238E27FC236}">
              <a16:creationId xmlns:a16="http://schemas.microsoft.com/office/drawing/2014/main" id="{D53EF6A6-98C2-4904-8AF3-DA452B22EF8D}"/>
            </a:ext>
          </a:extLst>
        </xdr:cNvPr>
        <xdr:cNvSpPr txBox="1"/>
      </xdr:nvSpPr>
      <xdr:spPr>
        <a:xfrm>
          <a:off x="24536400" y="16300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28" name="文字方塊 9">
          <a:extLst>
            <a:ext uri="{FF2B5EF4-FFF2-40B4-BE49-F238E27FC236}">
              <a16:creationId xmlns:a16="http://schemas.microsoft.com/office/drawing/2014/main" id="{2560B6FA-AB4D-4BFC-A253-24758E4AB532}"/>
            </a:ext>
          </a:extLst>
        </xdr:cNvPr>
        <xdr:cNvSpPr txBox="1">
          <a:spLocks noChangeAspect="1"/>
        </xdr:cNvSpPr>
      </xdr:nvSpPr>
      <xdr:spPr>
        <a:xfrm>
          <a:off x="24536400" y="1066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9" name="文字方塊 128">
          <a:extLst>
            <a:ext uri="{FF2B5EF4-FFF2-40B4-BE49-F238E27FC236}">
              <a16:creationId xmlns:a16="http://schemas.microsoft.com/office/drawing/2014/main" id="{3789F969-1942-4213-8938-6EF6AAFA960E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30" name="文字方塊 129">
          <a:extLst>
            <a:ext uri="{FF2B5EF4-FFF2-40B4-BE49-F238E27FC236}">
              <a16:creationId xmlns:a16="http://schemas.microsoft.com/office/drawing/2014/main" id="{49B5863E-4F45-4292-82AE-5EDE0B648728}"/>
            </a:ext>
          </a:extLst>
        </xdr:cNvPr>
        <xdr:cNvSpPr txBox="1">
          <a:spLocks noChangeAspect="1"/>
        </xdr:cNvSpPr>
      </xdr:nvSpPr>
      <xdr:spPr>
        <a:xfrm>
          <a:off x="24536400" y="1066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1" name="文字方塊 130">
          <a:extLst>
            <a:ext uri="{FF2B5EF4-FFF2-40B4-BE49-F238E27FC236}">
              <a16:creationId xmlns:a16="http://schemas.microsoft.com/office/drawing/2014/main" id="{3E482E5C-2BD0-44EC-90C4-FF9B1CF1A95D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32" name="文字方塊 131">
          <a:extLst>
            <a:ext uri="{FF2B5EF4-FFF2-40B4-BE49-F238E27FC236}">
              <a16:creationId xmlns:a16="http://schemas.microsoft.com/office/drawing/2014/main" id="{E61D6590-97BA-4273-8E31-80701D9B2E2A}"/>
            </a:ext>
          </a:extLst>
        </xdr:cNvPr>
        <xdr:cNvSpPr txBox="1">
          <a:spLocks noChangeAspect="1"/>
        </xdr:cNvSpPr>
      </xdr:nvSpPr>
      <xdr:spPr>
        <a:xfrm>
          <a:off x="24536400" y="1066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3" name="文字方塊 132">
          <a:extLst>
            <a:ext uri="{FF2B5EF4-FFF2-40B4-BE49-F238E27FC236}">
              <a16:creationId xmlns:a16="http://schemas.microsoft.com/office/drawing/2014/main" id="{24A07879-8C0B-49C1-87CE-6900F215C8B7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34" name="文字方塊 133">
          <a:extLst>
            <a:ext uri="{FF2B5EF4-FFF2-40B4-BE49-F238E27FC236}">
              <a16:creationId xmlns:a16="http://schemas.microsoft.com/office/drawing/2014/main" id="{052F5758-EC8F-47DA-8C1F-89AD6E32AA8B}"/>
            </a:ext>
          </a:extLst>
        </xdr:cNvPr>
        <xdr:cNvSpPr txBox="1">
          <a:spLocks noChangeAspect="1"/>
        </xdr:cNvSpPr>
      </xdr:nvSpPr>
      <xdr:spPr>
        <a:xfrm>
          <a:off x="24536400" y="1066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35" name="文字方塊 8">
          <a:extLst>
            <a:ext uri="{FF2B5EF4-FFF2-40B4-BE49-F238E27FC236}">
              <a16:creationId xmlns:a16="http://schemas.microsoft.com/office/drawing/2014/main" id="{953D7201-180A-48F5-8144-149296BFC729}"/>
            </a:ext>
          </a:extLst>
        </xdr:cNvPr>
        <xdr:cNvSpPr txBox="1"/>
      </xdr:nvSpPr>
      <xdr:spPr>
        <a:xfrm>
          <a:off x="24536400" y="16300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36" name="文字方塊 9">
          <a:extLst>
            <a:ext uri="{FF2B5EF4-FFF2-40B4-BE49-F238E27FC236}">
              <a16:creationId xmlns:a16="http://schemas.microsoft.com/office/drawing/2014/main" id="{1A62D7F5-91C4-4642-AD69-8023ABDBBEE8}"/>
            </a:ext>
          </a:extLst>
        </xdr:cNvPr>
        <xdr:cNvSpPr txBox="1">
          <a:spLocks noChangeAspect="1"/>
        </xdr:cNvSpPr>
      </xdr:nvSpPr>
      <xdr:spPr>
        <a:xfrm>
          <a:off x="24536400" y="1066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7" name="文字方塊 136">
          <a:extLst>
            <a:ext uri="{FF2B5EF4-FFF2-40B4-BE49-F238E27FC236}">
              <a16:creationId xmlns:a16="http://schemas.microsoft.com/office/drawing/2014/main" id="{4D8D36C5-957E-49C5-82BF-921D00F242B9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38" name="文字方塊 137">
          <a:extLst>
            <a:ext uri="{FF2B5EF4-FFF2-40B4-BE49-F238E27FC236}">
              <a16:creationId xmlns:a16="http://schemas.microsoft.com/office/drawing/2014/main" id="{9B7BBCCC-4384-489C-9F10-8AAC97E251D6}"/>
            </a:ext>
          </a:extLst>
        </xdr:cNvPr>
        <xdr:cNvSpPr txBox="1">
          <a:spLocks noChangeAspect="1"/>
        </xdr:cNvSpPr>
      </xdr:nvSpPr>
      <xdr:spPr>
        <a:xfrm>
          <a:off x="24536400" y="1066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9" name="文字方塊 138">
          <a:extLst>
            <a:ext uri="{FF2B5EF4-FFF2-40B4-BE49-F238E27FC236}">
              <a16:creationId xmlns:a16="http://schemas.microsoft.com/office/drawing/2014/main" id="{3CC4E8D9-1B86-49B6-A162-2463BA5A262C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40" name="文字方塊 139">
          <a:extLst>
            <a:ext uri="{FF2B5EF4-FFF2-40B4-BE49-F238E27FC236}">
              <a16:creationId xmlns:a16="http://schemas.microsoft.com/office/drawing/2014/main" id="{2E28DE48-7A59-4037-ACD7-847ABE105F39}"/>
            </a:ext>
          </a:extLst>
        </xdr:cNvPr>
        <xdr:cNvSpPr txBox="1">
          <a:spLocks noChangeAspect="1"/>
        </xdr:cNvSpPr>
      </xdr:nvSpPr>
      <xdr:spPr>
        <a:xfrm>
          <a:off x="24536400" y="1066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1" name="文字方塊 140">
          <a:extLst>
            <a:ext uri="{FF2B5EF4-FFF2-40B4-BE49-F238E27FC236}">
              <a16:creationId xmlns:a16="http://schemas.microsoft.com/office/drawing/2014/main" id="{A1D4FD08-071A-44A9-BBED-EC4BC400DEEE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42" name="文字方塊 141">
          <a:extLst>
            <a:ext uri="{FF2B5EF4-FFF2-40B4-BE49-F238E27FC236}">
              <a16:creationId xmlns:a16="http://schemas.microsoft.com/office/drawing/2014/main" id="{28568057-5451-4353-991B-8E3F6AA5DCED}"/>
            </a:ext>
          </a:extLst>
        </xdr:cNvPr>
        <xdr:cNvSpPr txBox="1">
          <a:spLocks noChangeAspect="1"/>
        </xdr:cNvSpPr>
      </xdr:nvSpPr>
      <xdr:spPr>
        <a:xfrm>
          <a:off x="24536400" y="1066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43" name="文字方塊 8">
          <a:extLst>
            <a:ext uri="{FF2B5EF4-FFF2-40B4-BE49-F238E27FC236}">
              <a16:creationId xmlns:a16="http://schemas.microsoft.com/office/drawing/2014/main" id="{F033383D-05F4-40E5-A382-47543666D50E}"/>
            </a:ext>
          </a:extLst>
        </xdr:cNvPr>
        <xdr:cNvSpPr txBox="1"/>
      </xdr:nvSpPr>
      <xdr:spPr>
        <a:xfrm>
          <a:off x="24536400" y="16300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44" name="文字方塊 9">
          <a:extLst>
            <a:ext uri="{FF2B5EF4-FFF2-40B4-BE49-F238E27FC236}">
              <a16:creationId xmlns:a16="http://schemas.microsoft.com/office/drawing/2014/main" id="{3514B82A-CFBF-4452-9A4E-12FBDC80DAA1}"/>
            </a:ext>
          </a:extLst>
        </xdr:cNvPr>
        <xdr:cNvSpPr txBox="1">
          <a:spLocks noChangeAspect="1"/>
        </xdr:cNvSpPr>
      </xdr:nvSpPr>
      <xdr:spPr>
        <a:xfrm>
          <a:off x="24536400" y="1066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5" name="文字方塊 144">
          <a:extLst>
            <a:ext uri="{FF2B5EF4-FFF2-40B4-BE49-F238E27FC236}">
              <a16:creationId xmlns:a16="http://schemas.microsoft.com/office/drawing/2014/main" id="{F4AB445E-E672-4E97-A294-FE0AE34C3F94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46" name="文字方塊 145">
          <a:extLst>
            <a:ext uri="{FF2B5EF4-FFF2-40B4-BE49-F238E27FC236}">
              <a16:creationId xmlns:a16="http://schemas.microsoft.com/office/drawing/2014/main" id="{04DBC9F9-33FB-4983-BF46-83274921D7DC}"/>
            </a:ext>
          </a:extLst>
        </xdr:cNvPr>
        <xdr:cNvSpPr txBox="1">
          <a:spLocks noChangeAspect="1"/>
        </xdr:cNvSpPr>
      </xdr:nvSpPr>
      <xdr:spPr>
        <a:xfrm>
          <a:off x="24536400" y="1066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7" name="文字方塊 146">
          <a:extLst>
            <a:ext uri="{FF2B5EF4-FFF2-40B4-BE49-F238E27FC236}">
              <a16:creationId xmlns:a16="http://schemas.microsoft.com/office/drawing/2014/main" id="{5FE52471-E8B2-4C54-A903-A1CD9EA02B88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48" name="文字方塊 147">
          <a:extLst>
            <a:ext uri="{FF2B5EF4-FFF2-40B4-BE49-F238E27FC236}">
              <a16:creationId xmlns:a16="http://schemas.microsoft.com/office/drawing/2014/main" id="{B785DBA8-8927-45A2-A56E-6970221205A8}"/>
            </a:ext>
          </a:extLst>
        </xdr:cNvPr>
        <xdr:cNvSpPr txBox="1">
          <a:spLocks noChangeAspect="1"/>
        </xdr:cNvSpPr>
      </xdr:nvSpPr>
      <xdr:spPr>
        <a:xfrm>
          <a:off x="24536400" y="1066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9" name="文字方塊 148">
          <a:extLst>
            <a:ext uri="{FF2B5EF4-FFF2-40B4-BE49-F238E27FC236}">
              <a16:creationId xmlns:a16="http://schemas.microsoft.com/office/drawing/2014/main" id="{0034FB98-71C8-4339-8E70-ACE1CE41F44E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50" name="文字方塊 149">
          <a:extLst>
            <a:ext uri="{FF2B5EF4-FFF2-40B4-BE49-F238E27FC236}">
              <a16:creationId xmlns:a16="http://schemas.microsoft.com/office/drawing/2014/main" id="{E86890B3-077E-4ECA-A3C5-B373394AF744}"/>
            </a:ext>
          </a:extLst>
        </xdr:cNvPr>
        <xdr:cNvSpPr txBox="1">
          <a:spLocks noChangeAspect="1"/>
        </xdr:cNvSpPr>
      </xdr:nvSpPr>
      <xdr:spPr>
        <a:xfrm>
          <a:off x="24536400" y="1066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51" name="文字方塊 8">
          <a:extLst>
            <a:ext uri="{FF2B5EF4-FFF2-40B4-BE49-F238E27FC236}">
              <a16:creationId xmlns:a16="http://schemas.microsoft.com/office/drawing/2014/main" id="{1774CB7E-0BEC-46A4-8CE0-2E02720451F5}"/>
            </a:ext>
          </a:extLst>
        </xdr:cNvPr>
        <xdr:cNvSpPr txBox="1"/>
      </xdr:nvSpPr>
      <xdr:spPr>
        <a:xfrm>
          <a:off x="24536400" y="16300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52" name="文字方塊 9">
          <a:extLst>
            <a:ext uri="{FF2B5EF4-FFF2-40B4-BE49-F238E27FC236}">
              <a16:creationId xmlns:a16="http://schemas.microsoft.com/office/drawing/2014/main" id="{8A8B87BA-4A30-451B-997D-D5A1016095B5}"/>
            </a:ext>
          </a:extLst>
        </xdr:cNvPr>
        <xdr:cNvSpPr txBox="1">
          <a:spLocks noChangeAspect="1"/>
        </xdr:cNvSpPr>
      </xdr:nvSpPr>
      <xdr:spPr>
        <a:xfrm>
          <a:off x="24536400" y="1066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53" name="文字方塊 152">
          <a:extLst>
            <a:ext uri="{FF2B5EF4-FFF2-40B4-BE49-F238E27FC236}">
              <a16:creationId xmlns:a16="http://schemas.microsoft.com/office/drawing/2014/main" id="{A3413712-60D2-4130-9B81-BD93FDDBC3E7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54" name="文字方塊 153">
          <a:extLst>
            <a:ext uri="{FF2B5EF4-FFF2-40B4-BE49-F238E27FC236}">
              <a16:creationId xmlns:a16="http://schemas.microsoft.com/office/drawing/2014/main" id="{4097D44C-637F-4ACD-9955-A23E42D45FC3}"/>
            </a:ext>
          </a:extLst>
        </xdr:cNvPr>
        <xdr:cNvSpPr txBox="1">
          <a:spLocks noChangeAspect="1"/>
        </xdr:cNvSpPr>
      </xdr:nvSpPr>
      <xdr:spPr>
        <a:xfrm>
          <a:off x="24536400" y="1066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55" name="文字方塊 154">
          <a:extLst>
            <a:ext uri="{FF2B5EF4-FFF2-40B4-BE49-F238E27FC236}">
              <a16:creationId xmlns:a16="http://schemas.microsoft.com/office/drawing/2014/main" id="{A0A9546C-E866-44F6-8D70-19A3326CB39D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56" name="文字方塊 155">
          <a:extLst>
            <a:ext uri="{FF2B5EF4-FFF2-40B4-BE49-F238E27FC236}">
              <a16:creationId xmlns:a16="http://schemas.microsoft.com/office/drawing/2014/main" id="{2A91D84A-F783-4C92-9C10-FE362B666BC7}"/>
            </a:ext>
          </a:extLst>
        </xdr:cNvPr>
        <xdr:cNvSpPr txBox="1">
          <a:spLocks noChangeAspect="1"/>
        </xdr:cNvSpPr>
      </xdr:nvSpPr>
      <xdr:spPr>
        <a:xfrm>
          <a:off x="24536400" y="1066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57" name="文字方塊 156">
          <a:extLst>
            <a:ext uri="{FF2B5EF4-FFF2-40B4-BE49-F238E27FC236}">
              <a16:creationId xmlns:a16="http://schemas.microsoft.com/office/drawing/2014/main" id="{3E644794-50D7-45CE-A908-A1D1E900ECB5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58" name="文字方塊 8">
          <a:extLst>
            <a:ext uri="{FF2B5EF4-FFF2-40B4-BE49-F238E27FC236}">
              <a16:creationId xmlns:a16="http://schemas.microsoft.com/office/drawing/2014/main" id="{65BE4A2F-F9C7-4503-B544-9731EA9677E0}"/>
            </a:ext>
          </a:extLst>
        </xdr:cNvPr>
        <xdr:cNvSpPr txBox="1"/>
      </xdr:nvSpPr>
      <xdr:spPr>
        <a:xfrm>
          <a:off x="24536400" y="16300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59" name="文字方塊 158">
          <a:extLst>
            <a:ext uri="{FF2B5EF4-FFF2-40B4-BE49-F238E27FC236}">
              <a16:creationId xmlns:a16="http://schemas.microsoft.com/office/drawing/2014/main" id="{AA78BB26-BE7E-492B-843F-5C27A423C366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0" name="文字方塊 159">
          <a:extLst>
            <a:ext uri="{FF2B5EF4-FFF2-40B4-BE49-F238E27FC236}">
              <a16:creationId xmlns:a16="http://schemas.microsoft.com/office/drawing/2014/main" id="{753422D5-1D28-48D6-BAA9-6D4104508198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1" name="文字方塊 160">
          <a:extLst>
            <a:ext uri="{FF2B5EF4-FFF2-40B4-BE49-F238E27FC236}">
              <a16:creationId xmlns:a16="http://schemas.microsoft.com/office/drawing/2014/main" id="{C54BABF3-F438-4E02-9039-9807E3A4C8BF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62" name="文字方塊 8">
          <a:extLst>
            <a:ext uri="{FF2B5EF4-FFF2-40B4-BE49-F238E27FC236}">
              <a16:creationId xmlns:a16="http://schemas.microsoft.com/office/drawing/2014/main" id="{C573E7C6-1105-44F9-AB5F-4A6014B88DDB}"/>
            </a:ext>
          </a:extLst>
        </xdr:cNvPr>
        <xdr:cNvSpPr txBox="1"/>
      </xdr:nvSpPr>
      <xdr:spPr>
        <a:xfrm>
          <a:off x="24536400" y="16300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3" name="文字方塊 162">
          <a:extLst>
            <a:ext uri="{FF2B5EF4-FFF2-40B4-BE49-F238E27FC236}">
              <a16:creationId xmlns:a16="http://schemas.microsoft.com/office/drawing/2014/main" id="{31AC6354-D579-4E9E-ABA6-29C3C0D187A5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4" name="文字方塊 163">
          <a:extLst>
            <a:ext uri="{FF2B5EF4-FFF2-40B4-BE49-F238E27FC236}">
              <a16:creationId xmlns:a16="http://schemas.microsoft.com/office/drawing/2014/main" id="{8637B2D1-FC7B-49B0-9079-7028BE8B199E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5" name="文字方塊 164">
          <a:extLst>
            <a:ext uri="{FF2B5EF4-FFF2-40B4-BE49-F238E27FC236}">
              <a16:creationId xmlns:a16="http://schemas.microsoft.com/office/drawing/2014/main" id="{260BD43C-0B20-406C-B536-AB531D17E553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66" name="文字方塊 8">
          <a:extLst>
            <a:ext uri="{FF2B5EF4-FFF2-40B4-BE49-F238E27FC236}">
              <a16:creationId xmlns:a16="http://schemas.microsoft.com/office/drawing/2014/main" id="{5E57D40F-C963-4A3D-BD09-428337E1E40A}"/>
            </a:ext>
          </a:extLst>
        </xdr:cNvPr>
        <xdr:cNvSpPr txBox="1"/>
      </xdr:nvSpPr>
      <xdr:spPr>
        <a:xfrm>
          <a:off x="24536400" y="16300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7" name="文字方塊 166">
          <a:extLst>
            <a:ext uri="{FF2B5EF4-FFF2-40B4-BE49-F238E27FC236}">
              <a16:creationId xmlns:a16="http://schemas.microsoft.com/office/drawing/2014/main" id="{C9BC4A79-0A97-4FDB-9B05-E8D025CBBC52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8" name="文字方塊 167">
          <a:extLst>
            <a:ext uri="{FF2B5EF4-FFF2-40B4-BE49-F238E27FC236}">
              <a16:creationId xmlns:a16="http://schemas.microsoft.com/office/drawing/2014/main" id="{59E7A7EA-8420-4189-A937-A2AC5AE0E59C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9" name="文字方塊 168">
          <a:extLst>
            <a:ext uri="{FF2B5EF4-FFF2-40B4-BE49-F238E27FC236}">
              <a16:creationId xmlns:a16="http://schemas.microsoft.com/office/drawing/2014/main" id="{9732301A-BAC6-4C29-B728-991A78605E28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70" name="文字方塊 8">
          <a:extLst>
            <a:ext uri="{FF2B5EF4-FFF2-40B4-BE49-F238E27FC236}">
              <a16:creationId xmlns:a16="http://schemas.microsoft.com/office/drawing/2014/main" id="{2F3C2A27-1C6F-4F71-84FD-EDD81FCC14E9}"/>
            </a:ext>
          </a:extLst>
        </xdr:cNvPr>
        <xdr:cNvSpPr txBox="1"/>
      </xdr:nvSpPr>
      <xdr:spPr>
        <a:xfrm>
          <a:off x="24536400" y="16300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71" name="文字方塊 170">
          <a:extLst>
            <a:ext uri="{FF2B5EF4-FFF2-40B4-BE49-F238E27FC236}">
              <a16:creationId xmlns:a16="http://schemas.microsoft.com/office/drawing/2014/main" id="{5EF4FF35-453B-433C-B38E-913A3ED4BF9A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72" name="文字方塊 171">
          <a:extLst>
            <a:ext uri="{FF2B5EF4-FFF2-40B4-BE49-F238E27FC236}">
              <a16:creationId xmlns:a16="http://schemas.microsoft.com/office/drawing/2014/main" id="{529B66B9-1C67-42F6-8776-AFF739DCF100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73" name="文字方塊 172">
          <a:extLst>
            <a:ext uri="{FF2B5EF4-FFF2-40B4-BE49-F238E27FC236}">
              <a16:creationId xmlns:a16="http://schemas.microsoft.com/office/drawing/2014/main" id="{FDFF2E33-CF49-4FD0-9A86-475484169252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74" name="文字方塊 8">
          <a:extLst>
            <a:ext uri="{FF2B5EF4-FFF2-40B4-BE49-F238E27FC236}">
              <a16:creationId xmlns:a16="http://schemas.microsoft.com/office/drawing/2014/main" id="{C36B84C2-B5D4-4D43-A6E9-9FDEC1D811B0}"/>
            </a:ext>
          </a:extLst>
        </xdr:cNvPr>
        <xdr:cNvSpPr txBox="1"/>
      </xdr:nvSpPr>
      <xdr:spPr>
        <a:xfrm>
          <a:off x="24536400" y="16300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75" name="文字方塊 174">
          <a:extLst>
            <a:ext uri="{FF2B5EF4-FFF2-40B4-BE49-F238E27FC236}">
              <a16:creationId xmlns:a16="http://schemas.microsoft.com/office/drawing/2014/main" id="{CAEF83CD-64FC-45AC-9A8A-E89C5F6E5D84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76" name="文字方塊 175">
          <a:extLst>
            <a:ext uri="{FF2B5EF4-FFF2-40B4-BE49-F238E27FC236}">
              <a16:creationId xmlns:a16="http://schemas.microsoft.com/office/drawing/2014/main" id="{2B0EEA61-F0CF-44F9-ABF4-DCA8CC45D9E7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77" name="文字方塊 176">
          <a:extLst>
            <a:ext uri="{FF2B5EF4-FFF2-40B4-BE49-F238E27FC236}">
              <a16:creationId xmlns:a16="http://schemas.microsoft.com/office/drawing/2014/main" id="{549EC4CF-EB0D-4C58-ACBE-6DF791555B33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78" name="文字方塊 8">
          <a:extLst>
            <a:ext uri="{FF2B5EF4-FFF2-40B4-BE49-F238E27FC236}">
              <a16:creationId xmlns:a16="http://schemas.microsoft.com/office/drawing/2014/main" id="{F25A7FD5-2B92-404E-8DD4-D403D6442A03}"/>
            </a:ext>
          </a:extLst>
        </xdr:cNvPr>
        <xdr:cNvSpPr txBox="1"/>
      </xdr:nvSpPr>
      <xdr:spPr>
        <a:xfrm>
          <a:off x="24536400" y="16300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79" name="文字方塊 178">
          <a:extLst>
            <a:ext uri="{FF2B5EF4-FFF2-40B4-BE49-F238E27FC236}">
              <a16:creationId xmlns:a16="http://schemas.microsoft.com/office/drawing/2014/main" id="{920CE527-306E-437E-8612-541DDC6070F6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0" name="文字方塊 179">
          <a:extLst>
            <a:ext uri="{FF2B5EF4-FFF2-40B4-BE49-F238E27FC236}">
              <a16:creationId xmlns:a16="http://schemas.microsoft.com/office/drawing/2014/main" id="{3AF3F219-8FE8-4D7B-B26D-CDDAD943FC69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1" name="文字方塊 180">
          <a:extLst>
            <a:ext uri="{FF2B5EF4-FFF2-40B4-BE49-F238E27FC236}">
              <a16:creationId xmlns:a16="http://schemas.microsoft.com/office/drawing/2014/main" id="{F78E4FDC-C021-4265-B5B4-BE3C1E33652B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2" name="文字方塊 181">
          <a:extLst>
            <a:ext uri="{FF2B5EF4-FFF2-40B4-BE49-F238E27FC236}">
              <a16:creationId xmlns:a16="http://schemas.microsoft.com/office/drawing/2014/main" id="{18F50CFB-372B-445C-AE39-0B7D805F327E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83" name="文字方塊 8">
          <a:extLst>
            <a:ext uri="{FF2B5EF4-FFF2-40B4-BE49-F238E27FC236}">
              <a16:creationId xmlns:a16="http://schemas.microsoft.com/office/drawing/2014/main" id="{508B4397-987A-40D2-BBD9-E7B577D1D58D}"/>
            </a:ext>
          </a:extLst>
        </xdr:cNvPr>
        <xdr:cNvSpPr txBox="1"/>
      </xdr:nvSpPr>
      <xdr:spPr>
        <a:xfrm>
          <a:off x="24536400" y="16300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4" name="文字方塊 183">
          <a:extLst>
            <a:ext uri="{FF2B5EF4-FFF2-40B4-BE49-F238E27FC236}">
              <a16:creationId xmlns:a16="http://schemas.microsoft.com/office/drawing/2014/main" id="{26CD5915-D7A6-4428-A3B1-91F79C0C9745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5" name="文字方塊 184">
          <a:extLst>
            <a:ext uri="{FF2B5EF4-FFF2-40B4-BE49-F238E27FC236}">
              <a16:creationId xmlns:a16="http://schemas.microsoft.com/office/drawing/2014/main" id="{80E1B14C-5ED9-408F-BCE4-B39C59F05A2F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6" name="文字方塊 185">
          <a:extLst>
            <a:ext uri="{FF2B5EF4-FFF2-40B4-BE49-F238E27FC236}">
              <a16:creationId xmlns:a16="http://schemas.microsoft.com/office/drawing/2014/main" id="{DE864450-B0C2-4CFB-90C1-4572D871A59E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87" name="文字方塊 8">
          <a:extLst>
            <a:ext uri="{FF2B5EF4-FFF2-40B4-BE49-F238E27FC236}">
              <a16:creationId xmlns:a16="http://schemas.microsoft.com/office/drawing/2014/main" id="{6DA532E7-D0A7-4CC7-A9B3-D9154F6DF25D}"/>
            </a:ext>
          </a:extLst>
        </xdr:cNvPr>
        <xdr:cNvSpPr txBox="1"/>
      </xdr:nvSpPr>
      <xdr:spPr>
        <a:xfrm>
          <a:off x="24536400" y="16300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8" name="文字方塊 187">
          <a:extLst>
            <a:ext uri="{FF2B5EF4-FFF2-40B4-BE49-F238E27FC236}">
              <a16:creationId xmlns:a16="http://schemas.microsoft.com/office/drawing/2014/main" id="{E3C8D0F9-8984-4F1B-8D75-59A3C58DA928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9" name="文字方塊 188">
          <a:extLst>
            <a:ext uri="{FF2B5EF4-FFF2-40B4-BE49-F238E27FC236}">
              <a16:creationId xmlns:a16="http://schemas.microsoft.com/office/drawing/2014/main" id="{433F5BF1-D157-4F67-983B-8AFD72F88223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90" name="文字方塊 189">
          <a:extLst>
            <a:ext uri="{FF2B5EF4-FFF2-40B4-BE49-F238E27FC236}">
              <a16:creationId xmlns:a16="http://schemas.microsoft.com/office/drawing/2014/main" id="{C209ECA8-1CAE-49FD-8851-CCFBE502BB73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91" name="文字方塊 8">
          <a:extLst>
            <a:ext uri="{FF2B5EF4-FFF2-40B4-BE49-F238E27FC236}">
              <a16:creationId xmlns:a16="http://schemas.microsoft.com/office/drawing/2014/main" id="{AE81E373-9CCE-4EE4-89C0-D960A1894FD2}"/>
            </a:ext>
          </a:extLst>
        </xdr:cNvPr>
        <xdr:cNvSpPr txBox="1"/>
      </xdr:nvSpPr>
      <xdr:spPr>
        <a:xfrm>
          <a:off x="24536400" y="16300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92" name="文字方塊 191">
          <a:extLst>
            <a:ext uri="{FF2B5EF4-FFF2-40B4-BE49-F238E27FC236}">
              <a16:creationId xmlns:a16="http://schemas.microsoft.com/office/drawing/2014/main" id="{8A5AAA94-132A-45C5-AAE4-E2FFA8B0AF33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93" name="文字方塊 192">
          <a:extLst>
            <a:ext uri="{FF2B5EF4-FFF2-40B4-BE49-F238E27FC236}">
              <a16:creationId xmlns:a16="http://schemas.microsoft.com/office/drawing/2014/main" id="{E83CAD20-8EB9-49B0-8EEC-7524D6219253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94" name="文字方塊 193">
          <a:extLst>
            <a:ext uri="{FF2B5EF4-FFF2-40B4-BE49-F238E27FC236}">
              <a16:creationId xmlns:a16="http://schemas.microsoft.com/office/drawing/2014/main" id="{271D0447-9663-40A0-933F-0363E3DC23C6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95" name="文字方塊 8">
          <a:extLst>
            <a:ext uri="{FF2B5EF4-FFF2-40B4-BE49-F238E27FC236}">
              <a16:creationId xmlns:a16="http://schemas.microsoft.com/office/drawing/2014/main" id="{5AAD25C0-391E-41C3-A41B-5D5688918C16}"/>
            </a:ext>
          </a:extLst>
        </xdr:cNvPr>
        <xdr:cNvSpPr txBox="1"/>
      </xdr:nvSpPr>
      <xdr:spPr>
        <a:xfrm>
          <a:off x="24536400" y="16300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96" name="文字方塊 195">
          <a:extLst>
            <a:ext uri="{FF2B5EF4-FFF2-40B4-BE49-F238E27FC236}">
              <a16:creationId xmlns:a16="http://schemas.microsoft.com/office/drawing/2014/main" id="{DF20E74F-7824-4176-8469-4B2725EE9FF6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97" name="文字方塊 196">
          <a:extLst>
            <a:ext uri="{FF2B5EF4-FFF2-40B4-BE49-F238E27FC236}">
              <a16:creationId xmlns:a16="http://schemas.microsoft.com/office/drawing/2014/main" id="{FBC36284-A961-4DAD-A10F-15FC54D19A53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98" name="文字方塊 197">
          <a:extLst>
            <a:ext uri="{FF2B5EF4-FFF2-40B4-BE49-F238E27FC236}">
              <a16:creationId xmlns:a16="http://schemas.microsoft.com/office/drawing/2014/main" id="{50C79531-4214-4F88-9346-E4850E4AA91E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99" name="文字方塊 8">
          <a:extLst>
            <a:ext uri="{FF2B5EF4-FFF2-40B4-BE49-F238E27FC236}">
              <a16:creationId xmlns:a16="http://schemas.microsoft.com/office/drawing/2014/main" id="{3CD26CA8-0DCB-4FEA-BA64-7E8D9BFF0191}"/>
            </a:ext>
          </a:extLst>
        </xdr:cNvPr>
        <xdr:cNvSpPr txBox="1"/>
      </xdr:nvSpPr>
      <xdr:spPr>
        <a:xfrm>
          <a:off x="24536400" y="16300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0" name="文字方塊 199">
          <a:extLst>
            <a:ext uri="{FF2B5EF4-FFF2-40B4-BE49-F238E27FC236}">
              <a16:creationId xmlns:a16="http://schemas.microsoft.com/office/drawing/2014/main" id="{93D3C3E4-584E-4839-AA59-A791D2CC1807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1" name="文字方塊 200">
          <a:extLst>
            <a:ext uri="{FF2B5EF4-FFF2-40B4-BE49-F238E27FC236}">
              <a16:creationId xmlns:a16="http://schemas.microsoft.com/office/drawing/2014/main" id="{A28FDF0C-CABD-4004-B0B0-368FD073FAD0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2" name="文字方塊 201">
          <a:extLst>
            <a:ext uri="{FF2B5EF4-FFF2-40B4-BE49-F238E27FC236}">
              <a16:creationId xmlns:a16="http://schemas.microsoft.com/office/drawing/2014/main" id="{479E7760-C32B-4F93-8A62-E296F4C56F22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03" name="文字方塊 8">
          <a:extLst>
            <a:ext uri="{FF2B5EF4-FFF2-40B4-BE49-F238E27FC236}">
              <a16:creationId xmlns:a16="http://schemas.microsoft.com/office/drawing/2014/main" id="{CA39CD37-8A44-4A3B-B16D-788FCF96CA7B}"/>
            </a:ext>
          </a:extLst>
        </xdr:cNvPr>
        <xdr:cNvSpPr txBox="1"/>
      </xdr:nvSpPr>
      <xdr:spPr>
        <a:xfrm>
          <a:off x="24536400" y="16300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4" name="文字方塊 203">
          <a:extLst>
            <a:ext uri="{FF2B5EF4-FFF2-40B4-BE49-F238E27FC236}">
              <a16:creationId xmlns:a16="http://schemas.microsoft.com/office/drawing/2014/main" id="{9A6C3D8C-AFAB-4531-94BC-8A2FCDC8073E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5" name="文字方塊 204">
          <a:extLst>
            <a:ext uri="{FF2B5EF4-FFF2-40B4-BE49-F238E27FC236}">
              <a16:creationId xmlns:a16="http://schemas.microsoft.com/office/drawing/2014/main" id="{6FA50100-29A9-4519-9D27-BB508CEF6B63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6" name="文字方塊 205">
          <a:extLst>
            <a:ext uri="{FF2B5EF4-FFF2-40B4-BE49-F238E27FC236}">
              <a16:creationId xmlns:a16="http://schemas.microsoft.com/office/drawing/2014/main" id="{319E444E-B806-4673-8EA0-8C8C41455780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07" name="文字方塊 8">
          <a:extLst>
            <a:ext uri="{FF2B5EF4-FFF2-40B4-BE49-F238E27FC236}">
              <a16:creationId xmlns:a16="http://schemas.microsoft.com/office/drawing/2014/main" id="{8A0DA8F7-E50E-4C0E-8F3E-A99C261EE35F}"/>
            </a:ext>
          </a:extLst>
        </xdr:cNvPr>
        <xdr:cNvSpPr txBox="1"/>
      </xdr:nvSpPr>
      <xdr:spPr>
        <a:xfrm>
          <a:off x="24536400" y="16300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8" name="文字方塊 207">
          <a:extLst>
            <a:ext uri="{FF2B5EF4-FFF2-40B4-BE49-F238E27FC236}">
              <a16:creationId xmlns:a16="http://schemas.microsoft.com/office/drawing/2014/main" id="{F23EC68B-914D-41F1-A3E6-7CDB7EAC9497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9" name="文字方塊 208">
          <a:extLst>
            <a:ext uri="{FF2B5EF4-FFF2-40B4-BE49-F238E27FC236}">
              <a16:creationId xmlns:a16="http://schemas.microsoft.com/office/drawing/2014/main" id="{1A411028-FA9E-45E4-AC33-67E1F7C5129C}"/>
            </a:ext>
          </a:extLst>
        </xdr:cNvPr>
        <xdr:cNvSpPr txBox="1"/>
      </xdr:nvSpPr>
      <xdr:spPr>
        <a:xfrm>
          <a:off x="24536400" y="16300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10" name="文字方塊 209">
          <a:extLst>
            <a:ext uri="{FF2B5EF4-FFF2-40B4-BE49-F238E27FC236}">
              <a16:creationId xmlns:a16="http://schemas.microsoft.com/office/drawing/2014/main" id="{5D152B9D-C35F-4019-9AD0-CCC8B995452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11" name="文字方塊 210">
          <a:extLst>
            <a:ext uri="{FF2B5EF4-FFF2-40B4-BE49-F238E27FC236}">
              <a16:creationId xmlns:a16="http://schemas.microsoft.com/office/drawing/2014/main" id="{990ED4EA-208E-4A3B-8DCA-B29B7409507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12" name="文字方塊 8">
          <a:extLst>
            <a:ext uri="{FF2B5EF4-FFF2-40B4-BE49-F238E27FC236}">
              <a16:creationId xmlns:a16="http://schemas.microsoft.com/office/drawing/2014/main" id="{1C8DCF70-3A0E-49F2-AAF6-6FED9BDD7827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13" name="文字方塊 9">
          <a:extLst>
            <a:ext uri="{FF2B5EF4-FFF2-40B4-BE49-F238E27FC236}">
              <a16:creationId xmlns:a16="http://schemas.microsoft.com/office/drawing/2014/main" id="{0003E39B-3F4C-43BD-B87E-AEF7D3763F1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14" name="文字方塊 213">
          <a:extLst>
            <a:ext uri="{FF2B5EF4-FFF2-40B4-BE49-F238E27FC236}">
              <a16:creationId xmlns:a16="http://schemas.microsoft.com/office/drawing/2014/main" id="{7FB511D6-D189-4D5F-8CA0-76B06474A46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15" name="文字方塊 214">
          <a:extLst>
            <a:ext uri="{FF2B5EF4-FFF2-40B4-BE49-F238E27FC236}">
              <a16:creationId xmlns:a16="http://schemas.microsoft.com/office/drawing/2014/main" id="{6BA24501-0307-455F-8BFE-3572E7419F3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16" name="文字方塊 215">
          <a:extLst>
            <a:ext uri="{FF2B5EF4-FFF2-40B4-BE49-F238E27FC236}">
              <a16:creationId xmlns:a16="http://schemas.microsoft.com/office/drawing/2014/main" id="{17B5CDAB-4773-405F-A740-F00F59F9ED3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17" name="文字方塊 216">
          <a:extLst>
            <a:ext uri="{FF2B5EF4-FFF2-40B4-BE49-F238E27FC236}">
              <a16:creationId xmlns:a16="http://schemas.microsoft.com/office/drawing/2014/main" id="{23CD2110-3B1C-4803-98BA-E5256FDDE7A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18" name="文字方塊 8">
          <a:extLst>
            <a:ext uri="{FF2B5EF4-FFF2-40B4-BE49-F238E27FC236}">
              <a16:creationId xmlns:a16="http://schemas.microsoft.com/office/drawing/2014/main" id="{2564B0E4-B6EB-4FBD-ACA3-D691DA89FAEE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19" name="文字方塊 9">
          <a:extLst>
            <a:ext uri="{FF2B5EF4-FFF2-40B4-BE49-F238E27FC236}">
              <a16:creationId xmlns:a16="http://schemas.microsoft.com/office/drawing/2014/main" id="{1E54A093-F01F-4513-89C0-7A2E58E6D1A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0" name="文字方塊 219">
          <a:extLst>
            <a:ext uri="{FF2B5EF4-FFF2-40B4-BE49-F238E27FC236}">
              <a16:creationId xmlns:a16="http://schemas.microsoft.com/office/drawing/2014/main" id="{BA4FE2A3-8237-44BC-8809-F64A2F89DB0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21" name="文字方塊 220">
          <a:extLst>
            <a:ext uri="{FF2B5EF4-FFF2-40B4-BE49-F238E27FC236}">
              <a16:creationId xmlns:a16="http://schemas.microsoft.com/office/drawing/2014/main" id="{3CA962B0-5090-455A-89EC-11EC2C1BA57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2" name="文字方塊 221">
          <a:extLst>
            <a:ext uri="{FF2B5EF4-FFF2-40B4-BE49-F238E27FC236}">
              <a16:creationId xmlns:a16="http://schemas.microsoft.com/office/drawing/2014/main" id="{2304B140-F2C1-46E6-8409-B8E68D42CB8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23" name="文字方塊 222">
          <a:extLst>
            <a:ext uri="{FF2B5EF4-FFF2-40B4-BE49-F238E27FC236}">
              <a16:creationId xmlns:a16="http://schemas.microsoft.com/office/drawing/2014/main" id="{274DC73F-A019-4F3B-88E7-B052DA4F615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4" name="文字方塊 223">
          <a:extLst>
            <a:ext uri="{FF2B5EF4-FFF2-40B4-BE49-F238E27FC236}">
              <a16:creationId xmlns:a16="http://schemas.microsoft.com/office/drawing/2014/main" id="{485A272E-7674-4951-B7D7-0E62E9D47B0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25" name="文字方塊 224">
          <a:extLst>
            <a:ext uri="{FF2B5EF4-FFF2-40B4-BE49-F238E27FC236}">
              <a16:creationId xmlns:a16="http://schemas.microsoft.com/office/drawing/2014/main" id="{DC47F58D-3A65-4023-9E10-103A28E590D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26" name="文字方塊 8">
          <a:extLst>
            <a:ext uri="{FF2B5EF4-FFF2-40B4-BE49-F238E27FC236}">
              <a16:creationId xmlns:a16="http://schemas.microsoft.com/office/drawing/2014/main" id="{284ED2DC-FFE0-4FDC-90E9-B18308A184C1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27" name="文字方塊 9">
          <a:extLst>
            <a:ext uri="{FF2B5EF4-FFF2-40B4-BE49-F238E27FC236}">
              <a16:creationId xmlns:a16="http://schemas.microsoft.com/office/drawing/2014/main" id="{B4FA7008-1632-4756-9942-F41B2B14816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8" name="文字方塊 227">
          <a:extLst>
            <a:ext uri="{FF2B5EF4-FFF2-40B4-BE49-F238E27FC236}">
              <a16:creationId xmlns:a16="http://schemas.microsoft.com/office/drawing/2014/main" id="{FD1DFC4B-FB24-4794-A607-689B8BC8DE5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29" name="文字方塊 228">
          <a:extLst>
            <a:ext uri="{FF2B5EF4-FFF2-40B4-BE49-F238E27FC236}">
              <a16:creationId xmlns:a16="http://schemas.microsoft.com/office/drawing/2014/main" id="{790362B9-4D23-4670-8D9B-3CCA92DB054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30" name="文字方塊 229">
          <a:extLst>
            <a:ext uri="{FF2B5EF4-FFF2-40B4-BE49-F238E27FC236}">
              <a16:creationId xmlns:a16="http://schemas.microsoft.com/office/drawing/2014/main" id="{76DC262F-4666-4D63-8B27-2AE4D70F9B4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31" name="文字方塊 230">
          <a:extLst>
            <a:ext uri="{FF2B5EF4-FFF2-40B4-BE49-F238E27FC236}">
              <a16:creationId xmlns:a16="http://schemas.microsoft.com/office/drawing/2014/main" id="{9F99B47E-ACD1-42C2-86FB-8775A146602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32" name="文字方塊 231">
          <a:extLst>
            <a:ext uri="{FF2B5EF4-FFF2-40B4-BE49-F238E27FC236}">
              <a16:creationId xmlns:a16="http://schemas.microsoft.com/office/drawing/2014/main" id="{0CCCE5ED-8D03-4364-8093-7689C2BA644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33" name="文字方塊 232">
          <a:extLst>
            <a:ext uri="{FF2B5EF4-FFF2-40B4-BE49-F238E27FC236}">
              <a16:creationId xmlns:a16="http://schemas.microsoft.com/office/drawing/2014/main" id="{C7075A1C-377C-45DC-9591-79FF11F4AFF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34" name="文字方塊 8">
          <a:extLst>
            <a:ext uri="{FF2B5EF4-FFF2-40B4-BE49-F238E27FC236}">
              <a16:creationId xmlns:a16="http://schemas.microsoft.com/office/drawing/2014/main" id="{1AB0064F-C78C-4485-8DA2-AD4ECA368C20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35" name="文字方塊 9">
          <a:extLst>
            <a:ext uri="{FF2B5EF4-FFF2-40B4-BE49-F238E27FC236}">
              <a16:creationId xmlns:a16="http://schemas.microsoft.com/office/drawing/2014/main" id="{07445BF1-90B9-471D-BCCA-B1596B9863E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36" name="文字方塊 235">
          <a:extLst>
            <a:ext uri="{FF2B5EF4-FFF2-40B4-BE49-F238E27FC236}">
              <a16:creationId xmlns:a16="http://schemas.microsoft.com/office/drawing/2014/main" id="{998AD365-13FD-4304-B48C-B7CF0D8EE21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37" name="文字方塊 236">
          <a:extLst>
            <a:ext uri="{FF2B5EF4-FFF2-40B4-BE49-F238E27FC236}">
              <a16:creationId xmlns:a16="http://schemas.microsoft.com/office/drawing/2014/main" id="{7F15AA26-1D10-4028-91ED-2EC0BC37C13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38" name="文字方塊 237">
          <a:extLst>
            <a:ext uri="{FF2B5EF4-FFF2-40B4-BE49-F238E27FC236}">
              <a16:creationId xmlns:a16="http://schemas.microsoft.com/office/drawing/2014/main" id="{1A289CCE-C0C0-4BE0-AF3E-AAC8E0F68D0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39" name="文字方塊 238">
          <a:extLst>
            <a:ext uri="{FF2B5EF4-FFF2-40B4-BE49-F238E27FC236}">
              <a16:creationId xmlns:a16="http://schemas.microsoft.com/office/drawing/2014/main" id="{6BB51419-2042-4F2B-B16E-0A3F8C8C5D2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40" name="文字方塊 239">
          <a:extLst>
            <a:ext uri="{FF2B5EF4-FFF2-40B4-BE49-F238E27FC236}">
              <a16:creationId xmlns:a16="http://schemas.microsoft.com/office/drawing/2014/main" id="{A169C756-95CD-4C81-B46A-FC2DDCE3D5D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41" name="文字方塊 240">
          <a:extLst>
            <a:ext uri="{FF2B5EF4-FFF2-40B4-BE49-F238E27FC236}">
              <a16:creationId xmlns:a16="http://schemas.microsoft.com/office/drawing/2014/main" id="{DA5A042A-C7CE-43BC-90E9-E525C187247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42" name="文字方塊 8">
          <a:extLst>
            <a:ext uri="{FF2B5EF4-FFF2-40B4-BE49-F238E27FC236}">
              <a16:creationId xmlns:a16="http://schemas.microsoft.com/office/drawing/2014/main" id="{A2F8078F-68D3-422E-8BB9-0AB4C785D711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43" name="文字方塊 9">
          <a:extLst>
            <a:ext uri="{FF2B5EF4-FFF2-40B4-BE49-F238E27FC236}">
              <a16:creationId xmlns:a16="http://schemas.microsoft.com/office/drawing/2014/main" id="{914C06CD-8748-4680-B05B-1E4FB8913E1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44" name="文字方塊 243">
          <a:extLst>
            <a:ext uri="{FF2B5EF4-FFF2-40B4-BE49-F238E27FC236}">
              <a16:creationId xmlns:a16="http://schemas.microsoft.com/office/drawing/2014/main" id="{A51190DF-7784-4C01-A865-F24B87AAF12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45" name="文字方塊 244">
          <a:extLst>
            <a:ext uri="{FF2B5EF4-FFF2-40B4-BE49-F238E27FC236}">
              <a16:creationId xmlns:a16="http://schemas.microsoft.com/office/drawing/2014/main" id="{2EA977D5-3FB1-4B74-8728-D4D25B59E4C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46" name="文字方塊 245">
          <a:extLst>
            <a:ext uri="{FF2B5EF4-FFF2-40B4-BE49-F238E27FC236}">
              <a16:creationId xmlns:a16="http://schemas.microsoft.com/office/drawing/2014/main" id="{28D322EE-BCA6-4336-BA50-6A0E17CD966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47" name="文字方塊 246">
          <a:extLst>
            <a:ext uri="{FF2B5EF4-FFF2-40B4-BE49-F238E27FC236}">
              <a16:creationId xmlns:a16="http://schemas.microsoft.com/office/drawing/2014/main" id="{7A0A399F-35DF-4610-869E-CE98471E878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48" name="文字方塊 247">
          <a:extLst>
            <a:ext uri="{FF2B5EF4-FFF2-40B4-BE49-F238E27FC236}">
              <a16:creationId xmlns:a16="http://schemas.microsoft.com/office/drawing/2014/main" id="{C6E72B71-0810-4186-AB7F-17613AFBCD6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49" name="文字方塊 248">
          <a:extLst>
            <a:ext uri="{FF2B5EF4-FFF2-40B4-BE49-F238E27FC236}">
              <a16:creationId xmlns:a16="http://schemas.microsoft.com/office/drawing/2014/main" id="{3482F333-F2ED-40B1-B625-DD4B400BB6A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50" name="文字方塊 8">
          <a:extLst>
            <a:ext uri="{FF2B5EF4-FFF2-40B4-BE49-F238E27FC236}">
              <a16:creationId xmlns:a16="http://schemas.microsoft.com/office/drawing/2014/main" id="{92C42D60-7DD9-493A-9D28-55310CF38CEC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51" name="文字方塊 9">
          <a:extLst>
            <a:ext uri="{FF2B5EF4-FFF2-40B4-BE49-F238E27FC236}">
              <a16:creationId xmlns:a16="http://schemas.microsoft.com/office/drawing/2014/main" id="{09D31C9C-4B40-489F-88C0-D69D3AA7376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52" name="文字方塊 251">
          <a:extLst>
            <a:ext uri="{FF2B5EF4-FFF2-40B4-BE49-F238E27FC236}">
              <a16:creationId xmlns:a16="http://schemas.microsoft.com/office/drawing/2014/main" id="{B74379A7-AF25-4235-BCC0-242513BF7B4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53" name="文字方塊 252">
          <a:extLst>
            <a:ext uri="{FF2B5EF4-FFF2-40B4-BE49-F238E27FC236}">
              <a16:creationId xmlns:a16="http://schemas.microsoft.com/office/drawing/2014/main" id="{CF41AE49-7CD2-4C02-A44F-BDDA2B3C6C7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54" name="文字方塊 253">
          <a:extLst>
            <a:ext uri="{FF2B5EF4-FFF2-40B4-BE49-F238E27FC236}">
              <a16:creationId xmlns:a16="http://schemas.microsoft.com/office/drawing/2014/main" id="{289881F6-2E93-4042-8F61-2179EFEF9D6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55" name="文字方塊 254">
          <a:extLst>
            <a:ext uri="{FF2B5EF4-FFF2-40B4-BE49-F238E27FC236}">
              <a16:creationId xmlns:a16="http://schemas.microsoft.com/office/drawing/2014/main" id="{9BE13932-F4A3-4B1E-9357-0F8822C3671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56" name="文字方塊 255">
          <a:extLst>
            <a:ext uri="{FF2B5EF4-FFF2-40B4-BE49-F238E27FC236}">
              <a16:creationId xmlns:a16="http://schemas.microsoft.com/office/drawing/2014/main" id="{647034C6-CDE4-47F7-901B-D03CA77A4D6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57" name="文字方塊 8">
          <a:extLst>
            <a:ext uri="{FF2B5EF4-FFF2-40B4-BE49-F238E27FC236}">
              <a16:creationId xmlns:a16="http://schemas.microsoft.com/office/drawing/2014/main" id="{4B5AF5B0-5EEA-40B8-BB86-9F29B3F216BA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58" name="文字方塊 257">
          <a:extLst>
            <a:ext uri="{FF2B5EF4-FFF2-40B4-BE49-F238E27FC236}">
              <a16:creationId xmlns:a16="http://schemas.microsoft.com/office/drawing/2014/main" id="{76ECDFFA-F781-426F-B105-450ED5A3D2C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59" name="文字方塊 258">
          <a:extLst>
            <a:ext uri="{FF2B5EF4-FFF2-40B4-BE49-F238E27FC236}">
              <a16:creationId xmlns:a16="http://schemas.microsoft.com/office/drawing/2014/main" id="{616EF8FB-34EA-4995-93BD-B306DFE1768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0" name="文字方塊 259">
          <a:extLst>
            <a:ext uri="{FF2B5EF4-FFF2-40B4-BE49-F238E27FC236}">
              <a16:creationId xmlns:a16="http://schemas.microsoft.com/office/drawing/2014/main" id="{FE18BF70-7689-4CAE-A802-DEF09FF55E4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61" name="文字方塊 8">
          <a:extLst>
            <a:ext uri="{FF2B5EF4-FFF2-40B4-BE49-F238E27FC236}">
              <a16:creationId xmlns:a16="http://schemas.microsoft.com/office/drawing/2014/main" id="{369314A7-C153-45F7-AAB0-6B153C4107A4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2" name="文字方塊 261">
          <a:extLst>
            <a:ext uri="{FF2B5EF4-FFF2-40B4-BE49-F238E27FC236}">
              <a16:creationId xmlns:a16="http://schemas.microsoft.com/office/drawing/2014/main" id="{C43E6B36-7942-4928-9FAF-7D719BA11E5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3" name="文字方塊 262">
          <a:extLst>
            <a:ext uri="{FF2B5EF4-FFF2-40B4-BE49-F238E27FC236}">
              <a16:creationId xmlns:a16="http://schemas.microsoft.com/office/drawing/2014/main" id="{A33775FD-B36A-48E9-A09D-305DA3BB5B8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4" name="文字方塊 263">
          <a:extLst>
            <a:ext uri="{FF2B5EF4-FFF2-40B4-BE49-F238E27FC236}">
              <a16:creationId xmlns:a16="http://schemas.microsoft.com/office/drawing/2014/main" id="{21D4BA77-503F-4383-A9F0-B9425938E4B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65" name="文字方塊 8">
          <a:extLst>
            <a:ext uri="{FF2B5EF4-FFF2-40B4-BE49-F238E27FC236}">
              <a16:creationId xmlns:a16="http://schemas.microsoft.com/office/drawing/2014/main" id="{A9A52431-1FA4-4BC4-916F-D7C43D26CFB9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6" name="文字方塊 265">
          <a:extLst>
            <a:ext uri="{FF2B5EF4-FFF2-40B4-BE49-F238E27FC236}">
              <a16:creationId xmlns:a16="http://schemas.microsoft.com/office/drawing/2014/main" id="{B8793EB3-5714-4FF2-BB45-87B9FCD3F5E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7" name="文字方塊 266">
          <a:extLst>
            <a:ext uri="{FF2B5EF4-FFF2-40B4-BE49-F238E27FC236}">
              <a16:creationId xmlns:a16="http://schemas.microsoft.com/office/drawing/2014/main" id="{D0DAB81E-7AF6-43CD-BD86-200AF25AB1E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8" name="文字方塊 267">
          <a:extLst>
            <a:ext uri="{FF2B5EF4-FFF2-40B4-BE49-F238E27FC236}">
              <a16:creationId xmlns:a16="http://schemas.microsoft.com/office/drawing/2014/main" id="{9924706D-17EE-4803-8518-C37DCE3D576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69" name="文字方塊 8">
          <a:extLst>
            <a:ext uri="{FF2B5EF4-FFF2-40B4-BE49-F238E27FC236}">
              <a16:creationId xmlns:a16="http://schemas.microsoft.com/office/drawing/2014/main" id="{CF9A7169-4545-4443-9C26-2478A038F4A2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70" name="文字方塊 269">
          <a:extLst>
            <a:ext uri="{FF2B5EF4-FFF2-40B4-BE49-F238E27FC236}">
              <a16:creationId xmlns:a16="http://schemas.microsoft.com/office/drawing/2014/main" id="{3E25EF95-30F8-4E90-86C0-A099B4DF8C2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71" name="文字方塊 270">
          <a:extLst>
            <a:ext uri="{FF2B5EF4-FFF2-40B4-BE49-F238E27FC236}">
              <a16:creationId xmlns:a16="http://schemas.microsoft.com/office/drawing/2014/main" id="{0797DA61-9628-4C69-8565-051CD2ABE6E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72" name="文字方塊 271">
          <a:extLst>
            <a:ext uri="{FF2B5EF4-FFF2-40B4-BE49-F238E27FC236}">
              <a16:creationId xmlns:a16="http://schemas.microsoft.com/office/drawing/2014/main" id="{642C5319-EDC2-42FD-B7D5-91EC9538967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73" name="文字方塊 8">
          <a:extLst>
            <a:ext uri="{FF2B5EF4-FFF2-40B4-BE49-F238E27FC236}">
              <a16:creationId xmlns:a16="http://schemas.microsoft.com/office/drawing/2014/main" id="{A708986E-032D-48C7-BA01-0FB7DC32102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74" name="文字方塊 273">
          <a:extLst>
            <a:ext uri="{FF2B5EF4-FFF2-40B4-BE49-F238E27FC236}">
              <a16:creationId xmlns:a16="http://schemas.microsoft.com/office/drawing/2014/main" id="{F7C94CCB-74BF-4396-BED7-4AA26BE99BA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75" name="文字方塊 274">
          <a:extLst>
            <a:ext uri="{FF2B5EF4-FFF2-40B4-BE49-F238E27FC236}">
              <a16:creationId xmlns:a16="http://schemas.microsoft.com/office/drawing/2014/main" id="{B6BC4B5A-3638-42F0-89CC-26488D37F75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76" name="文字方塊 275">
          <a:extLst>
            <a:ext uri="{FF2B5EF4-FFF2-40B4-BE49-F238E27FC236}">
              <a16:creationId xmlns:a16="http://schemas.microsoft.com/office/drawing/2014/main" id="{792D1B6F-26A4-4748-83C1-93BFEA04226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77" name="文字方塊 8">
          <a:extLst>
            <a:ext uri="{FF2B5EF4-FFF2-40B4-BE49-F238E27FC236}">
              <a16:creationId xmlns:a16="http://schemas.microsoft.com/office/drawing/2014/main" id="{4E725FD9-C463-4D4C-B362-D42835BDDB27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78" name="文字方塊 277">
          <a:extLst>
            <a:ext uri="{FF2B5EF4-FFF2-40B4-BE49-F238E27FC236}">
              <a16:creationId xmlns:a16="http://schemas.microsoft.com/office/drawing/2014/main" id="{B54BDEFF-8A21-408D-A98B-35A978EA7B2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79" name="文字方塊 278">
          <a:extLst>
            <a:ext uri="{FF2B5EF4-FFF2-40B4-BE49-F238E27FC236}">
              <a16:creationId xmlns:a16="http://schemas.microsoft.com/office/drawing/2014/main" id="{429D7154-A895-4573-84AB-7DB29692188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0" name="文字方塊 279">
          <a:extLst>
            <a:ext uri="{FF2B5EF4-FFF2-40B4-BE49-F238E27FC236}">
              <a16:creationId xmlns:a16="http://schemas.microsoft.com/office/drawing/2014/main" id="{C596FDBB-C4F0-45FF-8C8E-DBE6EBA830B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1" name="文字方塊 280">
          <a:extLst>
            <a:ext uri="{FF2B5EF4-FFF2-40B4-BE49-F238E27FC236}">
              <a16:creationId xmlns:a16="http://schemas.microsoft.com/office/drawing/2014/main" id="{2A4807AA-18E6-41FD-B20E-171DE182047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82" name="文字方塊 8">
          <a:extLst>
            <a:ext uri="{FF2B5EF4-FFF2-40B4-BE49-F238E27FC236}">
              <a16:creationId xmlns:a16="http://schemas.microsoft.com/office/drawing/2014/main" id="{F7E52745-5620-4EB0-8275-D7EDEDB6276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3" name="文字方塊 282">
          <a:extLst>
            <a:ext uri="{FF2B5EF4-FFF2-40B4-BE49-F238E27FC236}">
              <a16:creationId xmlns:a16="http://schemas.microsoft.com/office/drawing/2014/main" id="{69F27028-7320-4EF8-8479-6F3055F8C8D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4" name="文字方塊 283">
          <a:extLst>
            <a:ext uri="{FF2B5EF4-FFF2-40B4-BE49-F238E27FC236}">
              <a16:creationId xmlns:a16="http://schemas.microsoft.com/office/drawing/2014/main" id="{8DA42581-A8E2-40D4-A665-22AE3011285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5" name="文字方塊 284">
          <a:extLst>
            <a:ext uri="{FF2B5EF4-FFF2-40B4-BE49-F238E27FC236}">
              <a16:creationId xmlns:a16="http://schemas.microsoft.com/office/drawing/2014/main" id="{81DDE5AC-AF3F-4BB5-9CB6-C233103FF36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86" name="文字方塊 8">
          <a:extLst>
            <a:ext uri="{FF2B5EF4-FFF2-40B4-BE49-F238E27FC236}">
              <a16:creationId xmlns:a16="http://schemas.microsoft.com/office/drawing/2014/main" id="{FEB85939-2901-4419-8EB6-122B4FE29F38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7" name="文字方塊 286">
          <a:extLst>
            <a:ext uri="{FF2B5EF4-FFF2-40B4-BE49-F238E27FC236}">
              <a16:creationId xmlns:a16="http://schemas.microsoft.com/office/drawing/2014/main" id="{E4EBB999-7C97-416C-88DE-DEC4444E8F8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8" name="文字方塊 287">
          <a:extLst>
            <a:ext uri="{FF2B5EF4-FFF2-40B4-BE49-F238E27FC236}">
              <a16:creationId xmlns:a16="http://schemas.microsoft.com/office/drawing/2014/main" id="{D8CB5E9E-8AF7-428E-AE68-A144B3A3DFE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9" name="文字方塊 288">
          <a:extLst>
            <a:ext uri="{FF2B5EF4-FFF2-40B4-BE49-F238E27FC236}">
              <a16:creationId xmlns:a16="http://schemas.microsoft.com/office/drawing/2014/main" id="{AEB9D457-67CF-467D-BA4C-A26FC6C91AB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90" name="文字方塊 8">
          <a:extLst>
            <a:ext uri="{FF2B5EF4-FFF2-40B4-BE49-F238E27FC236}">
              <a16:creationId xmlns:a16="http://schemas.microsoft.com/office/drawing/2014/main" id="{42C6F449-69B8-431B-8834-00B2A2CF6B63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91" name="文字方塊 290">
          <a:extLst>
            <a:ext uri="{FF2B5EF4-FFF2-40B4-BE49-F238E27FC236}">
              <a16:creationId xmlns:a16="http://schemas.microsoft.com/office/drawing/2014/main" id="{773A7003-ED81-4ED8-87DE-28CD18BEF01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92" name="文字方塊 291">
          <a:extLst>
            <a:ext uri="{FF2B5EF4-FFF2-40B4-BE49-F238E27FC236}">
              <a16:creationId xmlns:a16="http://schemas.microsoft.com/office/drawing/2014/main" id="{86A93E96-0665-4A3B-BF30-6AAC70BC2E8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93" name="文字方塊 292">
          <a:extLst>
            <a:ext uri="{FF2B5EF4-FFF2-40B4-BE49-F238E27FC236}">
              <a16:creationId xmlns:a16="http://schemas.microsoft.com/office/drawing/2014/main" id="{86D8BA7E-FCA4-464E-A94D-ED969B6543D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94" name="文字方塊 8">
          <a:extLst>
            <a:ext uri="{FF2B5EF4-FFF2-40B4-BE49-F238E27FC236}">
              <a16:creationId xmlns:a16="http://schemas.microsoft.com/office/drawing/2014/main" id="{B40F89B9-7F9B-4F65-8312-640B341A7C2D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95" name="文字方塊 294">
          <a:extLst>
            <a:ext uri="{FF2B5EF4-FFF2-40B4-BE49-F238E27FC236}">
              <a16:creationId xmlns:a16="http://schemas.microsoft.com/office/drawing/2014/main" id="{04168E3F-7D7E-47B9-8A05-F64FA4249D4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96" name="文字方塊 295">
          <a:extLst>
            <a:ext uri="{FF2B5EF4-FFF2-40B4-BE49-F238E27FC236}">
              <a16:creationId xmlns:a16="http://schemas.microsoft.com/office/drawing/2014/main" id="{4FEE248A-76FF-4E89-9BB0-1CFD8BB36B5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97" name="文字方塊 296">
          <a:extLst>
            <a:ext uri="{FF2B5EF4-FFF2-40B4-BE49-F238E27FC236}">
              <a16:creationId xmlns:a16="http://schemas.microsoft.com/office/drawing/2014/main" id="{91FD8832-433A-410F-BDAF-2443CD42943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98" name="文字方塊 8">
          <a:extLst>
            <a:ext uri="{FF2B5EF4-FFF2-40B4-BE49-F238E27FC236}">
              <a16:creationId xmlns:a16="http://schemas.microsoft.com/office/drawing/2014/main" id="{2F55E535-BE2B-45E8-A4A4-60849D80D82C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99" name="文字方塊 298">
          <a:extLst>
            <a:ext uri="{FF2B5EF4-FFF2-40B4-BE49-F238E27FC236}">
              <a16:creationId xmlns:a16="http://schemas.microsoft.com/office/drawing/2014/main" id="{A4B64906-10C9-4DEC-A7CF-A539D5720EE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00" name="文字方塊 299">
          <a:extLst>
            <a:ext uri="{FF2B5EF4-FFF2-40B4-BE49-F238E27FC236}">
              <a16:creationId xmlns:a16="http://schemas.microsoft.com/office/drawing/2014/main" id="{A22EEFDD-E568-43F4-B075-456E30C1CB9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01" name="文字方塊 300">
          <a:extLst>
            <a:ext uri="{FF2B5EF4-FFF2-40B4-BE49-F238E27FC236}">
              <a16:creationId xmlns:a16="http://schemas.microsoft.com/office/drawing/2014/main" id="{13504B4C-9494-433A-BD9D-74F3CA43C34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302" name="文字方塊 8">
          <a:extLst>
            <a:ext uri="{FF2B5EF4-FFF2-40B4-BE49-F238E27FC236}">
              <a16:creationId xmlns:a16="http://schemas.microsoft.com/office/drawing/2014/main" id="{0AEC45D8-409B-4EDB-BECB-44ACCCD1948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03" name="文字方塊 302">
          <a:extLst>
            <a:ext uri="{FF2B5EF4-FFF2-40B4-BE49-F238E27FC236}">
              <a16:creationId xmlns:a16="http://schemas.microsoft.com/office/drawing/2014/main" id="{9B720077-1991-4DC2-B03C-ED28CF22D43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04" name="文字方塊 303">
          <a:extLst>
            <a:ext uri="{FF2B5EF4-FFF2-40B4-BE49-F238E27FC236}">
              <a16:creationId xmlns:a16="http://schemas.microsoft.com/office/drawing/2014/main" id="{D1058490-121F-4973-8472-FB6C3FC42F4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05" name="文字方塊 304">
          <a:extLst>
            <a:ext uri="{FF2B5EF4-FFF2-40B4-BE49-F238E27FC236}">
              <a16:creationId xmlns:a16="http://schemas.microsoft.com/office/drawing/2014/main" id="{5ACAF797-7303-4921-A30A-95889641575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306" name="文字方塊 8">
          <a:extLst>
            <a:ext uri="{FF2B5EF4-FFF2-40B4-BE49-F238E27FC236}">
              <a16:creationId xmlns:a16="http://schemas.microsoft.com/office/drawing/2014/main" id="{0CDF5980-0194-4669-A3F4-909BB77FC995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07" name="文字方塊 306">
          <a:extLst>
            <a:ext uri="{FF2B5EF4-FFF2-40B4-BE49-F238E27FC236}">
              <a16:creationId xmlns:a16="http://schemas.microsoft.com/office/drawing/2014/main" id="{D0523092-F0EA-4299-B69D-71FBB70D2EA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08" name="文字方塊 307">
          <a:extLst>
            <a:ext uri="{FF2B5EF4-FFF2-40B4-BE49-F238E27FC236}">
              <a16:creationId xmlns:a16="http://schemas.microsoft.com/office/drawing/2014/main" id="{30C7101D-675C-45B3-8010-1E0C12E5E06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08" name="文字方塊 407">
          <a:extLst>
            <a:ext uri="{FF2B5EF4-FFF2-40B4-BE49-F238E27FC236}">
              <a16:creationId xmlns:a16="http://schemas.microsoft.com/office/drawing/2014/main" id="{80B68797-3BB0-4E1E-B3FB-4756B97EE9C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09" name="文字方塊 408">
          <a:extLst>
            <a:ext uri="{FF2B5EF4-FFF2-40B4-BE49-F238E27FC236}">
              <a16:creationId xmlns:a16="http://schemas.microsoft.com/office/drawing/2014/main" id="{4B04FB72-59D8-479D-BD11-832F2ADABC7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10" name="文字方塊 8">
          <a:extLst>
            <a:ext uri="{FF2B5EF4-FFF2-40B4-BE49-F238E27FC236}">
              <a16:creationId xmlns:a16="http://schemas.microsoft.com/office/drawing/2014/main" id="{B3842B54-1595-42FE-A786-64C333E57048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11" name="文字方塊 9">
          <a:extLst>
            <a:ext uri="{FF2B5EF4-FFF2-40B4-BE49-F238E27FC236}">
              <a16:creationId xmlns:a16="http://schemas.microsoft.com/office/drawing/2014/main" id="{6F17FE5F-F986-4163-AAB5-48C4495F92D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12" name="文字方塊 411">
          <a:extLst>
            <a:ext uri="{FF2B5EF4-FFF2-40B4-BE49-F238E27FC236}">
              <a16:creationId xmlns:a16="http://schemas.microsoft.com/office/drawing/2014/main" id="{638F1A21-1281-4470-B851-4366704EBFA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13" name="文字方塊 412">
          <a:extLst>
            <a:ext uri="{FF2B5EF4-FFF2-40B4-BE49-F238E27FC236}">
              <a16:creationId xmlns:a16="http://schemas.microsoft.com/office/drawing/2014/main" id="{660476C5-D3E7-4C9B-B3FE-A3334152CE3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14" name="文字方塊 413">
          <a:extLst>
            <a:ext uri="{FF2B5EF4-FFF2-40B4-BE49-F238E27FC236}">
              <a16:creationId xmlns:a16="http://schemas.microsoft.com/office/drawing/2014/main" id="{96F0987E-EECE-4657-AD23-25949F3B2DF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15" name="文字方塊 414">
          <a:extLst>
            <a:ext uri="{FF2B5EF4-FFF2-40B4-BE49-F238E27FC236}">
              <a16:creationId xmlns:a16="http://schemas.microsoft.com/office/drawing/2014/main" id="{8BA38288-FAA4-4699-9155-FF53F6F3931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16" name="文字方塊 8">
          <a:extLst>
            <a:ext uri="{FF2B5EF4-FFF2-40B4-BE49-F238E27FC236}">
              <a16:creationId xmlns:a16="http://schemas.microsoft.com/office/drawing/2014/main" id="{68B206F7-8F38-4AB7-A72F-8CBA673E67A4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17" name="文字方塊 9">
          <a:extLst>
            <a:ext uri="{FF2B5EF4-FFF2-40B4-BE49-F238E27FC236}">
              <a16:creationId xmlns:a16="http://schemas.microsoft.com/office/drawing/2014/main" id="{71328AB6-BAE2-4ADC-A43C-6DE006866A7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18" name="文字方塊 417">
          <a:extLst>
            <a:ext uri="{FF2B5EF4-FFF2-40B4-BE49-F238E27FC236}">
              <a16:creationId xmlns:a16="http://schemas.microsoft.com/office/drawing/2014/main" id="{2B2C7302-CB14-4AD0-B041-EE55A8049EE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19" name="文字方塊 418">
          <a:extLst>
            <a:ext uri="{FF2B5EF4-FFF2-40B4-BE49-F238E27FC236}">
              <a16:creationId xmlns:a16="http://schemas.microsoft.com/office/drawing/2014/main" id="{FED69322-C415-4418-B44F-57BC0B63475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20" name="文字方塊 419">
          <a:extLst>
            <a:ext uri="{FF2B5EF4-FFF2-40B4-BE49-F238E27FC236}">
              <a16:creationId xmlns:a16="http://schemas.microsoft.com/office/drawing/2014/main" id="{C5280ADA-930E-4FF4-A759-71FB80845F9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21" name="文字方塊 420">
          <a:extLst>
            <a:ext uri="{FF2B5EF4-FFF2-40B4-BE49-F238E27FC236}">
              <a16:creationId xmlns:a16="http://schemas.microsoft.com/office/drawing/2014/main" id="{F12CE076-0C48-4352-A5BB-93495FA45C2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22" name="文字方塊 421">
          <a:extLst>
            <a:ext uri="{FF2B5EF4-FFF2-40B4-BE49-F238E27FC236}">
              <a16:creationId xmlns:a16="http://schemas.microsoft.com/office/drawing/2014/main" id="{E91417C4-9202-41B9-B5D3-95A4B370BF8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23" name="文字方塊 422">
          <a:extLst>
            <a:ext uri="{FF2B5EF4-FFF2-40B4-BE49-F238E27FC236}">
              <a16:creationId xmlns:a16="http://schemas.microsoft.com/office/drawing/2014/main" id="{D616E597-6E7F-4F56-955F-E460B44DB94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24" name="文字方塊 8">
          <a:extLst>
            <a:ext uri="{FF2B5EF4-FFF2-40B4-BE49-F238E27FC236}">
              <a16:creationId xmlns:a16="http://schemas.microsoft.com/office/drawing/2014/main" id="{8D17A7F9-FA71-403C-AC87-402CEE33E352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25" name="文字方塊 9">
          <a:extLst>
            <a:ext uri="{FF2B5EF4-FFF2-40B4-BE49-F238E27FC236}">
              <a16:creationId xmlns:a16="http://schemas.microsoft.com/office/drawing/2014/main" id="{72425755-EB56-461B-94C5-4A6AB567AA4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26" name="文字方塊 425">
          <a:extLst>
            <a:ext uri="{FF2B5EF4-FFF2-40B4-BE49-F238E27FC236}">
              <a16:creationId xmlns:a16="http://schemas.microsoft.com/office/drawing/2014/main" id="{B6D14A4C-5781-4AC7-BF0F-710D3CB12BE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27" name="文字方塊 426">
          <a:extLst>
            <a:ext uri="{FF2B5EF4-FFF2-40B4-BE49-F238E27FC236}">
              <a16:creationId xmlns:a16="http://schemas.microsoft.com/office/drawing/2014/main" id="{BDBB62E5-3718-4912-AD04-134DA476B0E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28" name="文字方塊 427">
          <a:extLst>
            <a:ext uri="{FF2B5EF4-FFF2-40B4-BE49-F238E27FC236}">
              <a16:creationId xmlns:a16="http://schemas.microsoft.com/office/drawing/2014/main" id="{3AB81DF7-C07E-4081-B011-D1F4FD16BA0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29" name="文字方塊 428">
          <a:extLst>
            <a:ext uri="{FF2B5EF4-FFF2-40B4-BE49-F238E27FC236}">
              <a16:creationId xmlns:a16="http://schemas.microsoft.com/office/drawing/2014/main" id="{3F48128E-D829-4CF8-8599-CA9460A03D9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30" name="文字方塊 429">
          <a:extLst>
            <a:ext uri="{FF2B5EF4-FFF2-40B4-BE49-F238E27FC236}">
              <a16:creationId xmlns:a16="http://schemas.microsoft.com/office/drawing/2014/main" id="{D3994ED7-C0B7-4BEF-A130-FF1B3CAC6F8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31" name="文字方塊 430">
          <a:extLst>
            <a:ext uri="{FF2B5EF4-FFF2-40B4-BE49-F238E27FC236}">
              <a16:creationId xmlns:a16="http://schemas.microsoft.com/office/drawing/2014/main" id="{34D61394-7746-423E-9CF1-D7F877CBB42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32" name="文字方塊 8">
          <a:extLst>
            <a:ext uri="{FF2B5EF4-FFF2-40B4-BE49-F238E27FC236}">
              <a16:creationId xmlns:a16="http://schemas.microsoft.com/office/drawing/2014/main" id="{B9C8BD3C-A6A9-4D2F-AE60-D5748A1F081D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33" name="文字方塊 9">
          <a:extLst>
            <a:ext uri="{FF2B5EF4-FFF2-40B4-BE49-F238E27FC236}">
              <a16:creationId xmlns:a16="http://schemas.microsoft.com/office/drawing/2014/main" id="{3A0D0A99-DA8E-4C0E-AEC7-C4BBA2B1F17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34" name="文字方塊 433">
          <a:extLst>
            <a:ext uri="{FF2B5EF4-FFF2-40B4-BE49-F238E27FC236}">
              <a16:creationId xmlns:a16="http://schemas.microsoft.com/office/drawing/2014/main" id="{CF927A7C-0B1D-4E6C-AF74-B3D159BE90E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35" name="文字方塊 434">
          <a:extLst>
            <a:ext uri="{FF2B5EF4-FFF2-40B4-BE49-F238E27FC236}">
              <a16:creationId xmlns:a16="http://schemas.microsoft.com/office/drawing/2014/main" id="{0CEB85BA-1888-489D-B1A9-B0B495ECA1A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36" name="文字方塊 435">
          <a:extLst>
            <a:ext uri="{FF2B5EF4-FFF2-40B4-BE49-F238E27FC236}">
              <a16:creationId xmlns:a16="http://schemas.microsoft.com/office/drawing/2014/main" id="{16C1AA2E-60DD-4FE7-A441-1AA94A00F0E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37" name="文字方塊 436">
          <a:extLst>
            <a:ext uri="{FF2B5EF4-FFF2-40B4-BE49-F238E27FC236}">
              <a16:creationId xmlns:a16="http://schemas.microsoft.com/office/drawing/2014/main" id="{1513A8E3-5344-46D2-AB8E-782E0060D33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38" name="文字方塊 437">
          <a:extLst>
            <a:ext uri="{FF2B5EF4-FFF2-40B4-BE49-F238E27FC236}">
              <a16:creationId xmlns:a16="http://schemas.microsoft.com/office/drawing/2014/main" id="{27CCFD7A-CF60-4AC5-9D99-91FB3D8C422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39" name="文字方塊 438">
          <a:extLst>
            <a:ext uri="{FF2B5EF4-FFF2-40B4-BE49-F238E27FC236}">
              <a16:creationId xmlns:a16="http://schemas.microsoft.com/office/drawing/2014/main" id="{836F25B1-7713-4E7E-B0B9-D24BF752D0B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40" name="文字方塊 8">
          <a:extLst>
            <a:ext uri="{FF2B5EF4-FFF2-40B4-BE49-F238E27FC236}">
              <a16:creationId xmlns:a16="http://schemas.microsoft.com/office/drawing/2014/main" id="{9C18A2EF-3C75-41D3-9D46-D20E9CC744C9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41" name="文字方塊 9">
          <a:extLst>
            <a:ext uri="{FF2B5EF4-FFF2-40B4-BE49-F238E27FC236}">
              <a16:creationId xmlns:a16="http://schemas.microsoft.com/office/drawing/2014/main" id="{DA26AD03-5A53-4EF7-AF9C-AC5D90BA201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42" name="文字方塊 441">
          <a:extLst>
            <a:ext uri="{FF2B5EF4-FFF2-40B4-BE49-F238E27FC236}">
              <a16:creationId xmlns:a16="http://schemas.microsoft.com/office/drawing/2014/main" id="{350BBFC8-5B9A-4D03-9DEC-1BD7ABFF4AB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43" name="文字方塊 442">
          <a:extLst>
            <a:ext uri="{FF2B5EF4-FFF2-40B4-BE49-F238E27FC236}">
              <a16:creationId xmlns:a16="http://schemas.microsoft.com/office/drawing/2014/main" id="{8D501295-34DC-45B3-8309-A494071AA09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44" name="文字方塊 443">
          <a:extLst>
            <a:ext uri="{FF2B5EF4-FFF2-40B4-BE49-F238E27FC236}">
              <a16:creationId xmlns:a16="http://schemas.microsoft.com/office/drawing/2014/main" id="{7DA5FB54-DC54-40E9-B980-9B5C5162C02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45" name="文字方塊 444">
          <a:extLst>
            <a:ext uri="{FF2B5EF4-FFF2-40B4-BE49-F238E27FC236}">
              <a16:creationId xmlns:a16="http://schemas.microsoft.com/office/drawing/2014/main" id="{878D89CE-0497-4164-94FB-C0C4264FA4E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46" name="文字方塊 445">
          <a:extLst>
            <a:ext uri="{FF2B5EF4-FFF2-40B4-BE49-F238E27FC236}">
              <a16:creationId xmlns:a16="http://schemas.microsoft.com/office/drawing/2014/main" id="{870E0DF1-1990-4B44-BB6B-203630ED715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47" name="文字方塊 446">
          <a:extLst>
            <a:ext uri="{FF2B5EF4-FFF2-40B4-BE49-F238E27FC236}">
              <a16:creationId xmlns:a16="http://schemas.microsoft.com/office/drawing/2014/main" id="{A7FDF974-F89E-42FD-9C62-D72122B56A2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48" name="文字方塊 8">
          <a:extLst>
            <a:ext uri="{FF2B5EF4-FFF2-40B4-BE49-F238E27FC236}">
              <a16:creationId xmlns:a16="http://schemas.microsoft.com/office/drawing/2014/main" id="{F3547B55-6084-428D-9583-A4132E60C6D2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49" name="文字方塊 9">
          <a:extLst>
            <a:ext uri="{FF2B5EF4-FFF2-40B4-BE49-F238E27FC236}">
              <a16:creationId xmlns:a16="http://schemas.microsoft.com/office/drawing/2014/main" id="{7111B9E5-73B4-44EF-B210-B421109940A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50" name="文字方塊 449">
          <a:extLst>
            <a:ext uri="{FF2B5EF4-FFF2-40B4-BE49-F238E27FC236}">
              <a16:creationId xmlns:a16="http://schemas.microsoft.com/office/drawing/2014/main" id="{184236A7-4E8A-4BEF-8047-536C07C49CD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51" name="文字方塊 450">
          <a:extLst>
            <a:ext uri="{FF2B5EF4-FFF2-40B4-BE49-F238E27FC236}">
              <a16:creationId xmlns:a16="http://schemas.microsoft.com/office/drawing/2014/main" id="{98C7EFB1-7953-4EC8-B51E-9BAA8F9E9BC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52" name="文字方塊 451">
          <a:extLst>
            <a:ext uri="{FF2B5EF4-FFF2-40B4-BE49-F238E27FC236}">
              <a16:creationId xmlns:a16="http://schemas.microsoft.com/office/drawing/2014/main" id="{2C94E416-F7FC-4ABC-A9E2-AB278ACC351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53" name="文字方塊 452">
          <a:extLst>
            <a:ext uri="{FF2B5EF4-FFF2-40B4-BE49-F238E27FC236}">
              <a16:creationId xmlns:a16="http://schemas.microsoft.com/office/drawing/2014/main" id="{262825A9-EA95-4CAF-BB3F-34EF88582F8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54" name="文字方塊 453">
          <a:extLst>
            <a:ext uri="{FF2B5EF4-FFF2-40B4-BE49-F238E27FC236}">
              <a16:creationId xmlns:a16="http://schemas.microsoft.com/office/drawing/2014/main" id="{895B6BCB-C039-42F0-A8BB-E0B31E281DD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55" name="文字方塊 8">
          <a:extLst>
            <a:ext uri="{FF2B5EF4-FFF2-40B4-BE49-F238E27FC236}">
              <a16:creationId xmlns:a16="http://schemas.microsoft.com/office/drawing/2014/main" id="{B59EAE86-C371-479E-999A-41088C03A56B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56" name="文字方塊 455">
          <a:extLst>
            <a:ext uri="{FF2B5EF4-FFF2-40B4-BE49-F238E27FC236}">
              <a16:creationId xmlns:a16="http://schemas.microsoft.com/office/drawing/2014/main" id="{74782A6C-343E-4012-9BAC-48A43942E75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57" name="文字方塊 456">
          <a:extLst>
            <a:ext uri="{FF2B5EF4-FFF2-40B4-BE49-F238E27FC236}">
              <a16:creationId xmlns:a16="http://schemas.microsoft.com/office/drawing/2014/main" id="{4BCB6E5F-DA3F-434A-A5B5-82197DFB59C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58" name="文字方塊 457">
          <a:extLst>
            <a:ext uri="{FF2B5EF4-FFF2-40B4-BE49-F238E27FC236}">
              <a16:creationId xmlns:a16="http://schemas.microsoft.com/office/drawing/2014/main" id="{9731D2A4-411A-4DB5-BA76-983E358A07A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59" name="文字方塊 8">
          <a:extLst>
            <a:ext uri="{FF2B5EF4-FFF2-40B4-BE49-F238E27FC236}">
              <a16:creationId xmlns:a16="http://schemas.microsoft.com/office/drawing/2014/main" id="{B648A128-460A-4C68-B0F3-005B646CAED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60" name="文字方塊 459">
          <a:extLst>
            <a:ext uri="{FF2B5EF4-FFF2-40B4-BE49-F238E27FC236}">
              <a16:creationId xmlns:a16="http://schemas.microsoft.com/office/drawing/2014/main" id="{B298CFE7-BD6D-4B08-AF9B-18A58F8DE1B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61" name="文字方塊 460">
          <a:extLst>
            <a:ext uri="{FF2B5EF4-FFF2-40B4-BE49-F238E27FC236}">
              <a16:creationId xmlns:a16="http://schemas.microsoft.com/office/drawing/2014/main" id="{E738A6B8-67AB-412C-BB8F-8932C0D35F6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62" name="文字方塊 461">
          <a:extLst>
            <a:ext uri="{FF2B5EF4-FFF2-40B4-BE49-F238E27FC236}">
              <a16:creationId xmlns:a16="http://schemas.microsoft.com/office/drawing/2014/main" id="{DEA62A32-0C6A-43AB-B3D8-555354853E4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63" name="文字方塊 8">
          <a:extLst>
            <a:ext uri="{FF2B5EF4-FFF2-40B4-BE49-F238E27FC236}">
              <a16:creationId xmlns:a16="http://schemas.microsoft.com/office/drawing/2014/main" id="{2C9DD465-BFF3-447B-9582-C25013C6713E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64" name="文字方塊 463">
          <a:extLst>
            <a:ext uri="{FF2B5EF4-FFF2-40B4-BE49-F238E27FC236}">
              <a16:creationId xmlns:a16="http://schemas.microsoft.com/office/drawing/2014/main" id="{7120F0EF-C530-45A2-94FE-B66F0413A0B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65" name="文字方塊 464">
          <a:extLst>
            <a:ext uri="{FF2B5EF4-FFF2-40B4-BE49-F238E27FC236}">
              <a16:creationId xmlns:a16="http://schemas.microsoft.com/office/drawing/2014/main" id="{917B2B9C-11A4-49BE-8EF6-DBC177E5FB5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66" name="文字方塊 465">
          <a:extLst>
            <a:ext uri="{FF2B5EF4-FFF2-40B4-BE49-F238E27FC236}">
              <a16:creationId xmlns:a16="http://schemas.microsoft.com/office/drawing/2014/main" id="{12FFACE4-EB18-4F61-B019-1F5685C4F48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67" name="文字方塊 8">
          <a:extLst>
            <a:ext uri="{FF2B5EF4-FFF2-40B4-BE49-F238E27FC236}">
              <a16:creationId xmlns:a16="http://schemas.microsoft.com/office/drawing/2014/main" id="{8F08C7B3-4DDE-41E7-A1E2-0FF652DEBAEC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68" name="文字方塊 467">
          <a:extLst>
            <a:ext uri="{FF2B5EF4-FFF2-40B4-BE49-F238E27FC236}">
              <a16:creationId xmlns:a16="http://schemas.microsoft.com/office/drawing/2014/main" id="{1CCEA7A9-9D75-472F-99B4-E0BE564AA40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69" name="文字方塊 468">
          <a:extLst>
            <a:ext uri="{FF2B5EF4-FFF2-40B4-BE49-F238E27FC236}">
              <a16:creationId xmlns:a16="http://schemas.microsoft.com/office/drawing/2014/main" id="{C9E2C10F-29D1-4CF0-B154-DDD2F90C60D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70" name="文字方塊 469">
          <a:extLst>
            <a:ext uri="{FF2B5EF4-FFF2-40B4-BE49-F238E27FC236}">
              <a16:creationId xmlns:a16="http://schemas.microsoft.com/office/drawing/2014/main" id="{C3D2C3FA-88DF-4296-8F8C-7577BF3D100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71" name="文字方塊 8">
          <a:extLst>
            <a:ext uri="{FF2B5EF4-FFF2-40B4-BE49-F238E27FC236}">
              <a16:creationId xmlns:a16="http://schemas.microsoft.com/office/drawing/2014/main" id="{E804929E-174F-44EA-B6D1-F4499CB360B8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72" name="文字方塊 471">
          <a:extLst>
            <a:ext uri="{FF2B5EF4-FFF2-40B4-BE49-F238E27FC236}">
              <a16:creationId xmlns:a16="http://schemas.microsoft.com/office/drawing/2014/main" id="{47E12545-4B45-4AF6-9CB6-590201EA251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73" name="文字方塊 472">
          <a:extLst>
            <a:ext uri="{FF2B5EF4-FFF2-40B4-BE49-F238E27FC236}">
              <a16:creationId xmlns:a16="http://schemas.microsoft.com/office/drawing/2014/main" id="{D0E4E43F-3A6B-4FE5-A325-D688CDD4ED8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74" name="文字方塊 473">
          <a:extLst>
            <a:ext uri="{FF2B5EF4-FFF2-40B4-BE49-F238E27FC236}">
              <a16:creationId xmlns:a16="http://schemas.microsoft.com/office/drawing/2014/main" id="{28A75F5A-1C1B-4A36-B273-80389580FC0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75" name="文字方塊 8">
          <a:extLst>
            <a:ext uri="{FF2B5EF4-FFF2-40B4-BE49-F238E27FC236}">
              <a16:creationId xmlns:a16="http://schemas.microsoft.com/office/drawing/2014/main" id="{64327C6F-22DC-4C88-A983-FDC3251CDF6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76" name="文字方塊 475">
          <a:extLst>
            <a:ext uri="{FF2B5EF4-FFF2-40B4-BE49-F238E27FC236}">
              <a16:creationId xmlns:a16="http://schemas.microsoft.com/office/drawing/2014/main" id="{179B817D-2B3A-463F-8B9C-FA7735604C4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77" name="文字方塊 476">
          <a:extLst>
            <a:ext uri="{FF2B5EF4-FFF2-40B4-BE49-F238E27FC236}">
              <a16:creationId xmlns:a16="http://schemas.microsoft.com/office/drawing/2014/main" id="{F4EB820D-3C7C-4E16-89D1-1F45551B055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78" name="文字方塊 477">
          <a:extLst>
            <a:ext uri="{FF2B5EF4-FFF2-40B4-BE49-F238E27FC236}">
              <a16:creationId xmlns:a16="http://schemas.microsoft.com/office/drawing/2014/main" id="{E410E035-97D6-4D71-BAC5-1F4AC7BB977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79" name="文字方塊 478">
          <a:extLst>
            <a:ext uri="{FF2B5EF4-FFF2-40B4-BE49-F238E27FC236}">
              <a16:creationId xmlns:a16="http://schemas.microsoft.com/office/drawing/2014/main" id="{EFD80B7F-0EC8-420A-8562-3C3D1B7C882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80" name="文字方塊 8">
          <a:extLst>
            <a:ext uri="{FF2B5EF4-FFF2-40B4-BE49-F238E27FC236}">
              <a16:creationId xmlns:a16="http://schemas.microsoft.com/office/drawing/2014/main" id="{1EF4DB9D-9CE1-47FA-B8FE-8F4BC4DA6C10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81" name="文字方塊 480">
          <a:extLst>
            <a:ext uri="{FF2B5EF4-FFF2-40B4-BE49-F238E27FC236}">
              <a16:creationId xmlns:a16="http://schemas.microsoft.com/office/drawing/2014/main" id="{77F92362-AFEC-4A23-A49B-C9DD5E51D43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82" name="文字方塊 481">
          <a:extLst>
            <a:ext uri="{FF2B5EF4-FFF2-40B4-BE49-F238E27FC236}">
              <a16:creationId xmlns:a16="http://schemas.microsoft.com/office/drawing/2014/main" id="{ECB64CF6-4597-4EF7-8685-BD5EF6A90D8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83" name="文字方塊 482">
          <a:extLst>
            <a:ext uri="{FF2B5EF4-FFF2-40B4-BE49-F238E27FC236}">
              <a16:creationId xmlns:a16="http://schemas.microsoft.com/office/drawing/2014/main" id="{AD1EB60A-8555-46C9-8A28-64D1DE0C258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84" name="文字方塊 8">
          <a:extLst>
            <a:ext uri="{FF2B5EF4-FFF2-40B4-BE49-F238E27FC236}">
              <a16:creationId xmlns:a16="http://schemas.microsoft.com/office/drawing/2014/main" id="{8C7CD740-9337-4AEB-A045-6DC7F915A82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85" name="文字方塊 484">
          <a:extLst>
            <a:ext uri="{FF2B5EF4-FFF2-40B4-BE49-F238E27FC236}">
              <a16:creationId xmlns:a16="http://schemas.microsoft.com/office/drawing/2014/main" id="{AD286B60-D1CB-40E6-8729-2E2437E7BA2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86" name="文字方塊 485">
          <a:extLst>
            <a:ext uri="{FF2B5EF4-FFF2-40B4-BE49-F238E27FC236}">
              <a16:creationId xmlns:a16="http://schemas.microsoft.com/office/drawing/2014/main" id="{267E514E-D8E5-4AFF-A9C9-6BAB30A37C1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87" name="文字方塊 486">
          <a:extLst>
            <a:ext uri="{FF2B5EF4-FFF2-40B4-BE49-F238E27FC236}">
              <a16:creationId xmlns:a16="http://schemas.microsoft.com/office/drawing/2014/main" id="{C3BDF4EA-8EA0-482C-8861-551AE86CDB1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88" name="文字方塊 8">
          <a:extLst>
            <a:ext uri="{FF2B5EF4-FFF2-40B4-BE49-F238E27FC236}">
              <a16:creationId xmlns:a16="http://schemas.microsoft.com/office/drawing/2014/main" id="{1BAC13A4-65D9-4BFF-B6E7-8E25802DC4B5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89" name="文字方塊 488">
          <a:extLst>
            <a:ext uri="{FF2B5EF4-FFF2-40B4-BE49-F238E27FC236}">
              <a16:creationId xmlns:a16="http://schemas.microsoft.com/office/drawing/2014/main" id="{7E63D8DE-6A6F-47F7-8B57-8207A04996E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90" name="文字方塊 489">
          <a:extLst>
            <a:ext uri="{FF2B5EF4-FFF2-40B4-BE49-F238E27FC236}">
              <a16:creationId xmlns:a16="http://schemas.microsoft.com/office/drawing/2014/main" id="{241ACAFE-CDE3-485F-861D-BF4294AF1AE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91" name="文字方塊 490">
          <a:extLst>
            <a:ext uri="{FF2B5EF4-FFF2-40B4-BE49-F238E27FC236}">
              <a16:creationId xmlns:a16="http://schemas.microsoft.com/office/drawing/2014/main" id="{454339A1-DE4B-456A-A193-03C12E599D0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92" name="文字方塊 8">
          <a:extLst>
            <a:ext uri="{FF2B5EF4-FFF2-40B4-BE49-F238E27FC236}">
              <a16:creationId xmlns:a16="http://schemas.microsoft.com/office/drawing/2014/main" id="{903EDB3A-98A7-4088-9994-E8B877144BF3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93" name="文字方塊 492">
          <a:extLst>
            <a:ext uri="{FF2B5EF4-FFF2-40B4-BE49-F238E27FC236}">
              <a16:creationId xmlns:a16="http://schemas.microsoft.com/office/drawing/2014/main" id="{CED67EC7-E1E5-43C0-8C7E-67FE45EB90A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94" name="文字方塊 493">
          <a:extLst>
            <a:ext uri="{FF2B5EF4-FFF2-40B4-BE49-F238E27FC236}">
              <a16:creationId xmlns:a16="http://schemas.microsoft.com/office/drawing/2014/main" id="{AF75191A-9D0C-4C7D-BF34-3D9222F347C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95" name="文字方塊 494">
          <a:extLst>
            <a:ext uri="{FF2B5EF4-FFF2-40B4-BE49-F238E27FC236}">
              <a16:creationId xmlns:a16="http://schemas.microsoft.com/office/drawing/2014/main" id="{103F4BAF-D374-4D88-B394-D5C5B02B8AF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96" name="文字方塊 8">
          <a:extLst>
            <a:ext uri="{FF2B5EF4-FFF2-40B4-BE49-F238E27FC236}">
              <a16:creationId xmlns:a16="http://schemas.microsoft.com/office/drawing/2014/main" id="{AEFAD3F3-31CF-4BF2-8AE8-1B0C35C69FAB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97" name="文字方塊 496">
          <a:extLst>
            <a:ext uri="{FF2B5EF4-FFF2-40B4-BE49-F238E27FC236}">
              <a16:creationId xmlns:a16="http://schemas.microsoft.com/office/drawing/2014/main" id="{9FF9AB85-AC58-4CF9-83BA-7AF0443177A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98" name="文字方塊 497">
          <a:extLst>
            <a:ext uri="{FF2B5EF4-FFF2-40B4-BE49-F238E27FC236}">
              <a16:creationId xmlns:a16="http://schemas.microsoft.com/office/drawing/2014/main" id="{42889620-BBA2-481F-9662-6C2087B2616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99" name="文字方塊 498">
          <a:extLst>
            <a:ext uri="{FF2B5EF4-FFF2-40B4-BE49-F238E27FC236}">
              <a16:creationId xmlns:a16="http://schemas.microsoft.com/office/drawing/2014/main" id="{BF69FCFA-35B2-42E2-854A-FF1B4517213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00" name="文字方塊 8">
          <a:extLst>
            <a:ext uri="{FF2B5EF4-FFF2-40B4-BE49-F238E27FC236}">
              <a16:creationId xmlns:a16="http://schemas.microsoft.com/office/drawing/2014/main" id="{E0388BF7-B8CD-4F57-B1C4-C2920F2C95BC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01" name="文字方塊 500">
          <a:extLst>
            <a:ext uri="{FF2B5EF4-FFF2-40B4-BE49-F238E27FC236}">
              <a16:creationId xmlns:a16="http://schemas.microsoft.com/office/drawing/2014/main" id="{92DC869C-AA44-4128-85A5-771796F74DB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02" name="文字方塊 501">
          <a:extLst>
            <a:ext uri="{FF2B5EF4-FFF2-40B4-BE49-F238E27FC236}">
              <a16:creationId xmlns:a16="http://schemas.microsoft.com/office/drawing/2014/main" id="{F848B51C-8176-4802-80CD-A7D383007BC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03" name="文字方塊 502">
          <a:extLst>
            <a:ext uri="{FF2B5EF4-FFF2-40B4-BE49-F238E27FC236}">
              <a16:creationId xmlns:a16="http://schemas.microsoft.com/office/drawing/2014/main" id="{24596509-8508-4F27-A28D-7B442827459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04" name="文字方塊 8">
          <a:extLst>
            <a:ext uri="{FF2B5EF4-FFF2-40B4-BE49-F238E27FC236}">
              <a16:creationId xmlns:a16="http://schemas.microsoft.com/office/drawing/2014/main" id="{678FC689-CE44-4432-B452-9847E40AAC4C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05" name="文字方塊 504">
          <a:extLst>
            <a:ext uri="{FF2B5EF4-FFF2-40B4-BE49-F238E27FC236}">
              <a16:creationId xmlns:a16="http://schemas.microsoft.com/office/drawing/2014/main" id="{1E1009E4-C72D-4CC2-A4E4-BF05C600473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06" name="文字方塊 505">
          <a:extLst>
            <a:ext uri="{FF2B5EF4-FFF2-40B4-BE49-F238E27FC236}">
              <a16:creationId xmlns:a16="http://schemas.microsoft.com/office/drawing/2014/main" id="{4AF85F43-36E4-4242-A50B-090531AB012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07" name="文字方塊 506">
          <a:extLst>
            <a:ext uri="{FF2B5EF4-FFF2-40B4-BE49-F238E27FC236}">
              <a16:creationId xmlns:a16="http://schemas.microsoft.com/office/drawing/2014/main" id="{2A5E6387-0BCF-4276-8E2D-701B0C50CFF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08" name="文字方塊 507">
          <a:extLst>
            <a:ext uri="{FF2B5EF4-FFF2-40B4-BE49-F238E27FC236}">
              <a16:creationId xmlns:a16="http://schemas.microsoft.com/office/drawing/2014/main" id="{77AFC338-7B8C-44F1-8649-CD622626177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09" name="文字方塊 8">
          <a:extLst>
            <a:ext uri="{FF2B5EF4-FFF2-40B4-BE49-F238E27FC236}">
              <a16:creationId xmlns:a16="http://schemas.microsoft.com/office/drawing/2014/main" id="{C5BE8BEF-3810-4F09-A03B-7EAC99A5FBC2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510" name="文字方塊 9">
          <a:extLst>
            <a:ext uri="{FF2B5EF4-FFF2-40B4-BE49-F238E27FC236}">
              <a16:creationId xmlns:a16="http://schemas.microsoft.com/office/drawing/2014/main" id="{D210B7B7-933A-44E3-9B3F-C206A9F2E46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11" name="文字方塊 510">
          <a:extLst>
            <a:ext uri="{FF2B5EF4-FFF2-40B4-BE49-F238E27FC236}">
              <a16:creationId xmlns:a16="http://schemas.microsoft.com/office/drawing/2014/main" id="{472660FE-364B-4390-A86F-7F3B07E58D3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12" name="文字方塊 511">
          <a:extLst>
            <a:ext uri="{FF2B5EF4-FFF2-40B4-BE49-F238E27FC236}">
              <a16:creationId xmlns:a16="http://schemas.microsoft.com/office/drawing/2014/main" id="{2D27405F-B02D-4B9B-AFEC-7D073902A8F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13" name="文字方塊 512">
          <a:extLst>
            <a:ext uri="{FF2B5EF4-FFF2-40B4-BE49-F238E27FC236}">
              <a16:creationId xmlns:a16="http://schemas.microsoft.com/office/drawing/2014/main" id="{3589FFD6-C679-4098-BDC9-7A697C2D894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14" name="文字方塊 513">
          <a:extLst>
            <a:ext uri="{FF2B5EF4-FFF2-40B4-BE49-F238E27FC236}">
              <a16:creationId xmlns:a16="http://schemas.microsoft.com/office/drawing/2014/main" id="{2D64E0B3-F008-4D1A-B6CD-5B82C61DA1A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15" name="文字方塊 8">
          <a:extLst>
            <a:ext uri="{FF2B5EF4-FFF2-40B4-BE49-F238E27FC236}">
              <a16:creationId xmlns:a16="http://schemas.microsoft.com/office/drawing/2014/main" id="{0310DC15-61BA-444E-9046-0CF9A5818717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516" name="文字方塊 9">
          <a:extLst>
            <a:ext uri="{FF2B5EF4-FFF2-40B4-BE49-F238E27FC236}">
              <a16:creationId xmlns:a16="http://schemas.microsoft.com/office/drawing/2014/main" id="{43A8C180-4C65-4594-AC20-A61A862CE5F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17" name="文字方塊 516">
          <a:extLst>
            <a:ext uri="{FF2B5EF4-FFF2-40B4-BE49-F238E27FC236}">
              <a16:creationId xmlns:a16="http://schemas.microsoft.com/office/drawing/2014/main" id="{40D37B29-ACC2-4C82-8C7C-758D789A37C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18" name="文字方塊 517">
          <a:extLst>
            <a:ext uri="{FF2B5EF4-FFF2-40B4-BE49-F238E27FC236}">
              <a16:creationId xmlns:a16="http://schemas.microsoft.com/office/drawing/2014/main" id="{8E05A22B-79A7-481A-A11C-8A92A4C8B94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19" name="文字方塊 518">
          <a:extLst>
            <a:ext uri="{FF2B5EF4-FFF2-40B4-BE49-F238E27FC236}">
              <a16:creationId xmlns:a16="http://schemas.microsoft.com/office/drawing/2014/main" id="{76B518DD-DB77-469A-BCB1-CA1F0201218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20" name="文字方塊 519">
          <a:extLst>
            <a:ext uri="{FF2B5EF4-FFF2-40B4-BE49-F238E27FC236}">
              <a16:creationId xmlns:a16="http://schemas.microsoft.com/office/drawing/2014/main" id="{97F15844-F8AF-44F9-8D49-E5DECB7C8EB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21" name="文字方塊 520">
          <a:extLst>
            <a:ext uri="{FF2B5EF4-FFF2-40B4-BE49-F238E27FC236}">
              <a16:creationId xmlns:a16="http://schemas.microsoft.com/office/drawing/2014/main" id="{6C70FAD6-8BB3-4835-9E41-F07B793DEF4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22" name="文字方塊 521">
          <a:extLst>
            <a:ext uri="{FF2B5EF4-FFF2-40B4-BE49-F238E27FC236}">
              <a16:creationId xmlns:a16="http://schemas.microsoft.com/office/drawing/2014/main" id="{BCEA66D2-6516-4497-AC92-BD6C0C516D0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23" name="文字方塊 8">
          <a:extLst>
            <a:ext uri="{FF2B5EF4-FFF2-40B4-BE49-F238E27FC236}">
              <a16:creationId xmlns:a16="http://schemas.microsoft.com/office/drawing/2014/main" id="{C0FAAF2E-E9DD-4F6C-8F8B-C0563A78D64D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524" name="文字方塊 9">
          <a:extLst>
            <a:ext uri="{FF2B5EF4-FFF2-40B4-BE49-F238E27FC236}">
              <a16:creationId xmlns:a16="http://schemas.microsoft.com/office/drawing/2014/main" id="{86B395A1-B1B0-4801-8626-00D20C1AF84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25" name="文字方塊 524">
          <a:extLst>
            <a:ext uri="{FF2B5EF4-FFF2-40B4-BE49-F238E27FC236}">
              <a16:creationId xmlns:a16="http://schemas.microsoft.com/office/drawing/2014/main" id="{61EE17F9-88BB-46B5-9D44-C4DEE601DBA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26" name="文字方塊 525">
          <a:extLst>
            <a:ext uri="{FF2B5EF4-FFF2-40B4-BE49-F238E27FC236}">
              <a16:creationId xmlns:a16="http://schemas.microsoft.com/office/drawing/2014/main" id="{949EA820-1376-4C87-98C5-D7AB4F1C76E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27" name="文字方塊 526">
          <a:extLst>
            <a:ext uri="{FF2B5EF4-FFF2-40B4-BE49-F238E27FC236}">
              <a16:creationId xmlns:a16="http://schemas.microsoft.com/office/drawing/2014/main" id="{6C44009A-9C41-4694-8846-39875D66660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28" name="文字方塊 527">
          <a:extLst>
            <a:ext uri="{FF2B5EF4-FFF2-40B4-BE49-F238E27FC236}">
              <a16:creationId xmlns:a16="http://schemas.microsoft.com/office/drawing/2014/main" id="{DA93639C-646C-4958-83A5-73E6566DA01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29" name="文字方塊 528">
          <a:extLst>
            <a:ext uri="{FF2B5EF4-FFF2-40B4-BE49-F238E27FC236}">
              <a16:creationId xmlns:a16="http://schemas.microsoft.com/office/drawing/2014/main" id="{45749685-30A3-4AC7-8FE6-BFF2260CF11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30" name="文字方塊 529">
          <a:extLst>
            <a:ext uri="{FF2B5EF4-FFF2-40B4-BE49-F238E27FC236}">
              <a16:creationId xmlns:a16="http://schemas.microsoft.com/office/drawing/2014/main" id="{3066679B-1DA4-4758-BF17-9FD2F9C53E2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31" name="文字方塊 8">
          <a:extLst>
            <a:ext uri="{FF2B5EF4-FFF2-40B4-BE49-F238E27FC236}">
              <a16:creationId xmlns:a16="http://schemas.microsoft.com/office/drawing/2014/main" id="{71DE279C-DB32-42DF-A4AA-90D01EF27F65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532" name="文字方塊 9">
          <a:extLst>
            <a:ext uri="{FF2B5EF4-FFF2-40B4-BE49-F238E27FC236}">
              <a16:creationId xmlns:a16="http://schemas.microsoft.com/office/drawing/2014/main" id="{B5FA9CC0-0596-4D47-8FAC-32A68D34301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33" name="文字方塊 532">
          <a:extLst>
            <a:ext uri="{FF2B5EF4-FFF2-40B4-BE49-F238E27FC236}">
              <a16:creationId xmlns:a16="http://schemas.microsoft.com/office/drawing/2014/main" id="{3849D610-9C2B-4FA3-9D88-D28ACB882A5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34" name="文字方塊 533">
          <a:extLst>
            <a:ext uri="{FF2B5EF4-FFF2-40B4-BE49-F238E27FC236}">
              <a16:creationId xmlns:a16="http://schemas.microsoft.com/office/drawing/2014/main" id="{88096F94-8EB9-4258-8EBC-CAFCA57157B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35" name="文字方塊 534">
          <a:extLst>
            <a:ext uri="{FF2B5EF4-FFF2-40B4-BE49-F238E27FC236}">
              <a16:creationId xmlns:a16="http://schemas.microsoft.com/office/drawing/2014/main" id="{FD27459B-17E0-4A58-AAA5-6C4376A5B05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36" name="文字方塊 535">
          <a:extLst>
            <a:ext uri="{FF2B5EF4-FFF2-40B4-BE49-F238E27FC236}">
              <a16:creationId xmlns:a16="http://schemas.microsoft.com/office/drawing/2014/main" id="{C474E21E-4E91-4D0C-9A6A-03925635F6A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37" name="文字方塊 536">
          <a:extLst>
            <a:ext uri="{FF2B5EF4-FFF2-40B4-BE49-F238E27FC236}">
              <a16:creationId xmlns:a16="http://schemas.microsoft.com/office/drawing/2014/main" id="{A44C3D33-7DC1-4E7E-B213-08B8A210F71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38" name="文字方塊 537">
          <a:extLst>
            <a:ext uri="{FF2B5EF4-FFF2-40B4-BE49-F238E27FC236}">
              <a16:creationId xmlns:a16="http://schemas.microsoft.com/office/drawing/2014/main" id="{16D222E1-800D-4CF6-B57E-3A8DC5C37CE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39" name="文字方塊 8">
          <a:extLst>
            <a:ext uri="{FF2B5EF4-FFF2-40B4-BE49-F238E27FC236}">
              <a16:creationId xmlns:a16="http://schemas.microsoft.com/office/drawing/2014/main" id="{60B00F34-C690-41DA-AFA0-D34804236A39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540" name="文字方塊 9">
          <a:extLst>
            <a:ext uri="{FF2B5EF4-FFF2-40B4-BE49-F238E27FC236}">
              <a16:creationId xmlns:a16="http://schemas.microsoft.com/office/drawing/2014/main" id="{A351D835-1D54-413C-8AC9-ED32F516432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41" name="文字方塊 540">
          <a:extLst>
            <a:ext uri="{FF2B5EF4-FFF2-40B4-BE49-F238E27FC236}">
              <a16:creationId xmlns:a16="http://schemas.microsoft.com/office/drawing/2014/main" id="{3B86FDB6-7EE2-4D3F-B542-701BDFFEEFB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42" name="文字方塊 541">
          <a:extLst>
            <a:ext uri="{FF2B5EF4-FFF2-40B4-BE49-F238E27FC236}">
              <a16:creationId xmlns:a16="http://schemas.microsoft.com/office/drawing/2014/main" id="{D0C5F10E-2AB8-4FE8-9B4D-EAE0A52EBC0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43" name="文字方塊 542">
          <a:extLst>
            <a:ext uri="{FF2B5EF4-FFF2-40B4-BE49-F238E27FC236}">
              <a16:creationId xmlns:a16="http://schemas.microsoft.com/office/drawing/2014/main" id="{9D884F99-9A99-4D2F-B74C-BC3F1562FF8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44" name="文字方塊 543">
          <a:extLst>
            <a:ext uri="{FF2B5EF4-FFF2-40B4-BE49-F238E27FC236}">
              <a16:creationId xmlns:a16="http://schemas.microsoft.com/office/drawing/2014/main" id="{5C6D3CC6-9834-4048-982A-7720A5D05A8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45" name="文字方塊 544">
          <a:extLst>
            <a:ext uri="{FF2B5EF4-FFF2-40B4-BE49-F238E27FC236}">
              <a16:creationId xmlns:a16="http://schemas.microsoft.com/office/drawing/2014/main" id="{8591DE1E-8FA1-47D5-B8B9-AED47947E55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46" name="文字方塊 545">
          <a:extLst>
            <a:ext uri="{FF2B5EF4-FFF2-40B4-BE49-F238E27FC236}">
              <a16:creationId xmlns:a16="http://schemas.microsoft.com/office/drawing/2014/main" id="{1DBF465C-2526-435C-8229-626031174C2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47" name="文字方塊 8">
          <a:extLst>
            <a:ext uri="{FF2B5EF4-FFF2-40B4-BE49-F238E27FC236}">
              <a16:creationId xmlns:a16="http://schemas.microsoft.com/office/drawing/2014/main" id="{B9C6135A-0614-4FD0-B33C-0F8CAFE09C94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548" name="文字方塊 9">
          <a:extLst>
            <a:ext uri="{FF2B5EF4-FFF2-40B4-BE49-F238E27FC236}">
              <a16:creationId xmlns:a16="http://schemas.microsoft.com/office/drawing/2014/main" id="{C3D8CA48-F17A-4161-B823-9716263E96E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49" name="文字方塊 548">
          <a:extLst>
            <a:ext uri="{FF2B5EF4-FFF2-40B4-BE49-F238E27FC236}">
              <a16:creationId xmlns:a16="http://schemas.microsoft.com/office/drawing/2014/main" id="{494ADA52-FE1B-4224-B25D-58131629DC2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50" name="文字方塊 549">
          <a:extLst>
            <a:ext uri="{FF2B5EF4-FFF2-40B4-BE49-F238E27FC236}">
              <a16:creationId xmlns:a16="http://schemas.microsoft.com/office/drawing/2014/main" id="{9292443F-F249-4255-A8B5-9E72FB77F32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51" name="文字方塊 550">
          <a:extLst>
            <a:ext uri="{FF2B5EF4-FFF2-40B4-BE49-F238E27FC236}">
              <a16:creationId xmlns:a16="http://schemas.microsoft.com/office/drawing/2014/main" id="{EE2EB432-0006-4678-A67C-CD3B9364D0E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52" name="文字方塊 551">
          <a:extLst>
            <a:ext uri="{FF2B5EF4-FFF2-40B4-BE49-F238E27FC236}">
              <a16:creationId xmlns:a16="http://schemas.microsoft.com/office/drawing/2014/main" id="{6676C512-E79E-4FA6-BA54-CAB36764216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53" name="文字方塊 552">
          <a:extLst>
            <a:ext uri="{FF2B5EF4-FFF2-40B4-BE49-F238E27FC236}">
              <a16:creationId xmlns:a16="http://schemas.microsoft.com/office/drawing/2014/main" id="{1601A018-461B-4582-9C87-748DCA3B489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54" name="文字方塊 8">
          <a:extLst>
            <a:ext uri="{FF2B5EF4-FFF2-40B4-BE49-F238E27FC236}">
              <a16:creationId xmlns:a16="http://schemas.microsoft.com/office/drawing/2014/main" id="{E8A91463-5642-4CF1-AA5D-4687F3AF5867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55" name="文字方塊 554">
          <a:extLst>
            <a:ext uri="{FF2B5EF4-FFF2-40B4-BE49-F238E27FC236}">
              <a16:creationId xmlns:a16="http://schemas.microsoft.com/office/drawing/2014/main" id="{56FCC2F4-E0CC-4E4B-BD73-E6DB5303E75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56" name="文字方塊 555">
          <a:extLst>
            <a:ext uri="{FF2B5EF4-FFF2-40B4-BE49-F238E27FC236}">
              <a16:creationId xmlns:a16="http://schemas.microsoft.com/office/drawing/2014/main" id="{4832A77F-23E0-435A-9D34-D927B28DD72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57" name="文字方塊 556">
          <a:extLst>
            <a:ext uri="{FF2B5EF4-FFF2-40B4-BE49-F238E27FC236}">
              <a16:creationId xmlns:a16="http://schemas.microsoft.com/office/drawing/2014/main" id="{1BA95D50-83A8-46E6-9B7B-0B4D3CCA01F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58" name="文字方塊 8">
          <a:extLst>
            <a:ext uri="{FF2B5EF4-FFF2-40B4-BE49-F238E27FC236}">
              <a16:creationId xmlns:a16="http://schemas.microsoft.com/office/drawing/2014/main" id="{26C8E177-FA52-4801-AA6E-BDCC4204BE06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59" name="文字方塊 558">
          <a:extLst>
            <a:ext uri="{FF2B5EF4-FFF2-40B4-BE49-F238E27FC236}">
              <a16:creationId xmlns:a16="http://schemas.microsoft.com/office/drawing/2014/main" id="{67526B98-CEAF-4433-85EF-8A55069156B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60" name="文字方塊 559">
          <a:extLst>
            <a:ext uri="{FF2B5EF4-FFF2-40B4-BE49-F238E27FC236}">
              <a16:creationId xmlns:a16="http://schemas.microsoft.com/office/drawing/2014/main" id="{C255A1D7-8018-41BC-90D9-5DCCF3FCEE6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61" name="文字方塊 560">
          <a:extLst>
            <a:ext uri="{FF2B5EF4-FFF2-40B4-BE49-F238E27FC236}">
              <a16:creationId xmlns:a16="http://schemas.microsoft.com/office/drawing/2014/main" id="{E5A11C46-5E1C-43E0-AFE3-A59D780AE70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62" name="文字方塊 8">
          <a:extLst>
            <a:ext uri="{FF2B5EF4-FFF2-40B4-BE49-F238E27FC236}">
              <a16:creationId xmlns:a16="http://schemas.microsoft.com/office/drawing/2014/main" id="{F31E8887-1870-4C94-A186-D2197DDBDDE7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63" name="文字方塊 562">
          <a:extLst>
            <a:ext uri="{FF2B5EF4-FFF2-40B4-BE49-F238E27FC236}">
              <a16:creationId xmlns:a16="http://schemas.microsoft.com/office/drawing/2014/main" id="{4B8D0F50-833E-4BB2-94DB-56829F86D34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64" name="文字方塊 563">
          <a:extLst>
            <a:ext uri="{FF2B5EF4-FFF2-40B4-BE49-F238E27FC236}">
              <a16:creationId xmlns:a16="http://schemas.microsoft.com/office/drawing/2014/main" id="{D19919CC-90E5-4E03-9B7B-4FF43615467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65" name="文字方塊 564">
          <a:extLst>
            <a:ext uri="{FF2B5EF4-FFF2-40B4-BE49-F238E27FC236}">
              <a16:creationId xmlns:a16="http://schemas.microsoft.com/office/drawing/2014/main" id="{38E85B56-1DCA-4213-9114-989D5236CC4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66" name="文字方塊 8">
          <a:extLst>
            <a:ext uri="{FF2B5EF4-FFF2-40B4-BE49-F238E27FC236}">
              <a16:creationId xmlns:a16="http://schemas.microsoft.com/office/drawing/2014/main" id="{E92D5ED0-518F-494E-B8EC-39B54E3B4D6B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67" name="文字方塊 566">
          <a:extLst>
            <a:ext uri="{FF2B5EF4-FFF2-40B4-BE49-F238E27FC236}">
              <a16:creationId xmlns:a16="http://schemas.microsoft.com/office/drawing/2014/main" id="{6BD47825-4510-4635-9841-F9B2A199683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68" name="文字方塊 567">
          <a:extLst>
            <a:ext uri="{FF2B5EF4-FFF2-40B4-BE49-F238E27FC236}">
              <a16:creationId xmlns:a16="http://schemas.microsoft.com/office/drawing/2014/main" id="{B325556D-98C6-4095-8724-85DF4CF6D0F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69" name="文字方塊 568">
          <a:extLst>
            <a:ext uri="{FF2B5EF4-FFF2-40B4-BE49-F238E27FC236}">
              <a16:creationId xmlns:a16="http://schemas.microsoft.com/office/drawing/2014/main" id="{A7483CBE-B04A-4BE4-8472-D41562B85C8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70" name="文字方塊 8">
          <a:extLst>
            <a:ext uri="{FF2B5EF4-FFF2-40B4-BE49-F238E27FC236}">
              <a16:creationId xmlns:a16="http://schemas.microsoft.com/office/drawing/2014/main" id="{9001F16B-2BFD-4E6B-97D1-2D95D7AE7B5D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71" name="文字方塊 570">
          <a:extLst>
            <a:ext uri="{FF2B5EF4-FFF2-40B4-BE49-F238E27FC236}">
              <a16:creationId xmlns:a16="http://schemas.microsoft.com/office/drawing/2014/main" id="{3B98AD12-F967-4F4D-AB1E-3614C9999DC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72" name="文字方塊 571">
          <a:extLst>
            <a:ext uri="{FF2B5EF4-FFF2-40B4-BE49-F238E27FC236}">
              <a16:creationId xmlns:a16="http://schemas.microsoft.com/office/drawing/2014/main" id="{0BAD55E9-F49D-4194-AE29-A3ADA49004E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73" name="文字方塊 572">
          <a:extLst>
            <a:ext uri="{FF2B5EF4-FFF2-40B4-BE49-F238E27FC236}">
              <a16:creationId xmlns:a16="http://schemas.microsoft.com/office/drawing/2014/main" id="{9B18EEBA-CBBB-4658-82F9-60DF80E080A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74" name="文字方塊 8">
          <a:extLst>
            <a:ext uri="{FF2B5EF4-FFF2-40B4-BE49-F238E27FC236}">
              <a16:creationId xmlns:a16="http://schemas.microsoft.com/office/drawing/2014/main" id="{294697C5-6229-4CE0-8995-41D173624249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75" name="文字方塊 574">
          <a:extLst>
            <a:ext uri="{FF2B5EF4-FFF2-40B4-BE49-F238E27FC236}">
              <a16:creationId xmlns:a16="http://schemas.microsoft.com/office/drawing/2014/main" id="{3B3CA414-6DCE-4F4B-9B30-002DA9DF2E8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76" name="文字方塊 575">
          <a:extLst>
            <a:ext uri="{FF2B5EF4-FFF2-40B4-BE49-F238E27FC236}">
              <a16:creationId xmlns:a16="http://schemas.microsoft.com/office/drawing/2014/main" id="{35E9934A-39CB-456C-B085-93C1AC6DEB1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77" name="文字方塊 576">
          <a:extLst>
            <a:ext uri="{FF2B5EF4-FFF2-40B4-BE49-F238E27FC236}">
              <a16:creationId xmlns:a16="http://schemas.microsoft.com/office/drawing/2014/main" id="{19E5EEB1-E997-4947-955F-A0ED529CBD0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78" name="文字方塊 577">
          <a:extLst>
            <a:ext uri="{FF2B5EF4-FFF2-40B4-BE49-F238E27FC236}">
              <a16:creationId xmlns:a16="http://schemas.microsoft.com/office/drawing/2014/main" id="{0C498A58-F331-4771-8E87-96B6AE4687C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79" name="文字方塊 8">
          <a:extLst>
            <a:ext uri="{FF2B5EF4-FFF2-40B4-BE49-F238E27FC236}">
              <a16:creationId xmlns:a16="http://schemas.microsoft.com/office/drawing/2014/main" id="{C2CAFEDF-DBED-4DE0-B8E3-03403C1B0E55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80" name="文字方塊 579">
          <a:extLst>
            <a:ext uri="{FF2B5EF4-FFF2-40B4-BE49-F238E27FC236}">
              <a16:creationId xmlns:a16="http://schemas.microsoft.com/office/drawing/2014/main" id="{221F86CA-A276-4C9A-854E-CFB1CAFFB82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81" name="文字方塊 580">
          <a:extLst>
            <a:ext uri="{FF2B5EF4-FFF2-40B4-BE49-F238E27FC236}">
              <a16:creationId xmlns:a16="http://schemas.microsoft.com/office/drawing/2014/main" id="{0F697B3B-6E6D-431F-8D6F-BFC21D8BBB6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82" name="文字方塊 581">
          <a:extLst>
            <a:ext uri="{FF2B5EF4-FFF2-40B4-BE49-F238E27FC236}">
              <a16:creationId xmlns:a16="http://schemas.microsoft.com/office/drawing/2014/main" id="{B2736124-0192-487E-9ECD-6E5F98A1F62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83" name="文字方塊 8">
          <a:extLst>
            <a:ext uri="{FF2B5EF4-FFF2-40B4-BE49-F238E27FC236}">
              <a16:creationId xmlns:a16="http://schemas.microsoft.com/office/drawing/2014/main" id="{36EF03C0-881C-4699-A1DF-11146EDB673C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84" name="文字方塊 583">
          <a:extLst>
            <a:ext uri="{FF2B5EF4-FFF2-40B4-BE49-F238E27FC236}">
              <a16:creationId xmlns:a16="http://schemas.microsoft.com/office/drawing/2014/main" id="{C960EC2F-FD6A-49FF-A6AF-39994B5A0B4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85" name="文字方塊 584">
          <a:extLst>
            <a:ext uri="{FF2B5EF4-FFF2-40B4-BE49-F238E27FC236}">
              <a16:creationId xmlns:a16="http://schemas.microsoft.com/office/drawing/2014/main" id="{2D1D98E4-6512-4AE3-BC5F-4AB7A527375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86" name="文字方塊 585">
          <a:extLst>
            <a:ext uri="{FF2B5EF4-FFF2-40B4-BE49-F238E27FC236}">
              <a16:creationId xmlns:a16="http://schemas.microsoft.com/office/drawing/2014/main" id="{C8AF73E7-915D-485F-BAE8-8AD6F786D76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87" name="文字方塊 8">
          <a:extLst>
            <a:ext uri="{FF2B5EF4-FFF2-40B4-BE49-F238E27FC236}">
              <a16:creationId xmlns:a16="http://schemas.microsoft.com/office/drawing/2014/main" id="{30917E3E-A852-4A03-B9D7-8D2883D86A4A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88" name="文字方塊 587">
          <a:extLst>
            <a:ext uri="{FF2B5EF4-FFF2-40B4-BE49-F238E27FC236}">
              <a16:creationId xmlns:a16="http://schemas.microsoft.com/office/drawing/2014/main" id="{5DD6C073-B255-4CAD-B27E-27856B49896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89" name="文字方塊 588">
          <a:extLst>
            <a:ext uri="{FF2B5EF4-FFF2-40B4-BE49-F238E27FC236}">
              <a16:creationId xmlns:a16="http://schemas.microsoft.com/office/drawing/2014/main" id="{3AB5176A-7248-4AB1-A546-C5CCB61C15B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90" name="文字方塊 589">
          <a:extLst>
            <a:ext uri="{FF2B5EF4-FFF2-40B4-BE49-F238E27FC236}">
              <a16:creationId xmlns:a16="http://schemas.microsoft.com/office/drawing/2014/main" id="{FE51F47C-0C0E-43E6-B3B0-741B455AC7F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91" name="文字方塊 8">
          <a:extLst>
            <a:ext uri="{FF2B5EF4-FFF2-40B4-BE49-F238E27FC236}">
              <a16:creationId xmlns:a16="http://schemas.microsoft.com/office/drawing/2014/main" id="{A1217D5A-44BD-4AFC-9074-93EC2EEF1349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92" name="文字方塊 591">
          <a:extLst>
            <a:ext uri="{FF2B5EF4-FFF2-40B4-BE49-F238E27FC236}">
              <a16:creationId xmlns:a16="http://schemas.microsoft.com/office/drawing/2014/main" id="{AC624C60-D6A0-4619-B416-B47E48A5EE4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93" name="文字方塊 592">
          <a:extLst>
            <a:ext uri="{FF2B5EF4-FFF2-40B4-BE49-F238E27FC236}">
              <a16:creationId xmlns:a16="http://schemas.microsoft.com/office/drawing/2014/main" id="{E340B96B-B5B1-4D27-8052-5F997BA0490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94" name="文字方塊 593">
          <a:extLst>
            <a:ext uri="{FF2B5EF4-FFF2-40B4-BE49-F238E27FC236}">
              <a16:creationId xmlns:a16="http://schemas.microsoft.com/office/drawing/2014/main" id="{5585146E-917D-40A7-B997-CEB80DD03E2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95" name="文字方塊 8">
          <a:extLst>
            <a:ext uri="{FF2B5EF4-FFF2-40B4-BE49-F238E27FC236}">
              <a16:creationId xmlns:a16="http://schemas.microsoft.com/office/drawing/2014/main" id="{364F95BA-4F69-4058-82F6-58027C1F3415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96" name="文字方塊 595">
          <a:extLst>
            <a:ext uri="{FF2B5EF4-FFF2-40B4-BE49-F238E27FC236}">
              <a16:creationId xmlns:a16="http://schemas.microsoft.com/office/drawing/2014/main" id="{78A455D9-2B8D-4353-908E-ED0FBAE49E3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97" name="文字方塊 596">
          <a:extLst>
            <a:ext uri="{FF2B5EF4-FFF2-40B4-BE49-F238E27FC236}">
              <a16:creationId xmlns:a16="http://schemas.microsoft.com/office/drawing/2014/main" id="{2B2A51D5-A24A-4881-AB4A-616EA8A2033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98" name="文字方塊 597">
          <a:extLst>
            <a:ext uri="{FF2B5EF4-FFF2-40B4-BE49-F238E27FC236}">
              <a16:creationId xmlns:a16="http://schemas.microsoft.com/office/drawing/2014/main" id="{492A696C-32BE-4874-807D-67E20D5C520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99" name="文字方塊 8">
          <a:extLst>
            <a:ext uri="{FF2B5EF4-FFF2-40B4-BE49-F238E27FC236}">
              <a16:creationId xmlns:a16="http://schemas.microsoft.com/office/drawing/2014/main" id="{5C31DA7B-9074-4004-9641-1194664784CE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00" name="文字方塊 599">
          <a:extLst>
            <a:ext uri="{FF2B5EF4-FFF2-40B4-BE49-F238E27FC236}">
              <a16:creationId xmlns:a16="http://schemas.microsoft.com/office/drawing/2014/main" id="{1256142F-F973-41FA-B199-A51E5577D17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01" name="文字方塊 600">
          <a:extLst>
            <a:ext uri="{FF2B5EF4-FFF2-40B4-BE49-F238E27FC236}">
              <a16:creationId xmlns:a16="http://schemas.microsoft.com/office/drawing/2014/main" id="{0CCAB8D7-BBA9-475E-B8B1-66FBB98C134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02" name="文字方塊 601">
          <a:extLst>
            <a:ext uri="{FF2B5EF4-FFF2-40B4-BE49-F238E27FC236}">
              <a16:creationId xmlns:a16="http://schemas.microsoft.com/office/drawing/2014/main" id="{D3EFE5D2-491A-4271-B1D6-A012572B422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03" name="文字方塊 8">
          <a:extLst>
            <a:ext uri="{FF2B5EF4-FFF2-40B4-BE49-F238E27FC236}">
              <a16:creationId xmlns:a16="http://schemas.microsoft.com/office/drawing/2014/main" id="{758D8639-A569-4A24-9D43-2DE02DDCF4DE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04" name="文字方塊 603">
          <a:extLst>
            <a:ext uri="{FF2B5EF4-FFF2-40B4-BE49-F238E27FC236}">
              <a16:creationId xmlns:a16="http://schemas.microsoft.com/office/drawing/2014/main" id="{06B93A16-50F4-471C-AAD4-1527E453694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05" name="文字方塊 604">
          <a:extLst>
            <a:ext uri="{FF2B5EF4-FFF2-40B4-BE49-F238E27FC236}">
              <a16:creationId xmlns:a16="http://schemas.microsoft.com/office/drawing/2014/main" id="{C3FBE995-A842-48CA-9A7B-72C2933B601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24669750" y="1642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>
          <a:spLocks noChangeAspect="1"/>
        </xdr:cNvSpPr>
      </xdr:nvSpPr>
      <xdr:spPr>
        <a:xfrm>
          <a:off x="24669750" y="107005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twoCellAnchor editAs="oneCell">
    <xdr:from>
      <xdr:col>3</xdr:col>
      <xdr:colOff>123269</xdr:colOff>
      <xdr:row>1</xdr:row>
      <xdr:rowOff>56021</xdr:rowOff>
    </xdr:from>
    <xdr:to>
      <xdr:col>5</xdr:col>
      <xdr:colOff>669622</xdr:colOff>
      <xdr:row>3</xdr:row>
      <xdr:rowOff>150442</xdr:rowOff>
    </xdr:to>
    <xdr:sp macro="[0]!auto_length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/>
        </xdr:cNvSpPr>
      </xdr:nvSpPr>
      <xdr:spPr>
        <a:xfrm>
          <a:off x="951944" y="360821"/>
          <a:ext cx="2165603" cy="456371"/>
        </a:xfrm>
        <a:prstGeom prst="rect">
          <a:avLst/>
        </a:prstGeom>
        <a:solidFill>
          <a:schemeClr val="bg1"/>
        </a:solidFill>
        <a:ln w="38100">
          <a:solidFill>
            <a:schemeClr val="accent2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2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計算長度</a:t>
          </a:r>
        </a:p>
      </xdr:txBody>
    </xdr:sp>
    <xdr:clientData/>
  </xdr:twoCellAnchor>
  <xdr:oneCellAnchor>
    <xdr:from>
      <xdr:col>13</xdr:col>
      <xdr:colOff>134475</xdr:colOff>
      <xdr:row>1</xdr:row>
      <xdr:rowOff>56021</xdr:rowOff>
    </xdr:from>
    <xdr:ext cx="2160000" cy="360000"/>
    <xdr:sp macro="[0]!auto_angle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/>
        </xdr:cNvSpPr>
      </xdr:nvSpPr>
      <xdr:spPr>
        <a:xfrm>
          <a:off x="6240000" y="360821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4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計算角度</a:t>
          </a:r>
          <a:r>
            <a:rPr lang="en-US" altLang="zh-TW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(°)</a:t>
          </a:r>
          <a:endParaRPr lang="zh-TW" altLang="en-US" sz="1600" b="1">
            <a:solidFill>
              <a:schemeClr val="accent4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oneCellAnchor>
  <xdr:oneCellAnchor>
    <xdr:from>
      <xdr:col>24</xdr:col>
      <xdr:colOff>134475</xdr:colOff>
      <xdr:row>1</xdr:row>
      <xdr:rowOff>56022</xdr:rowOff>
    </xdr:from>
    <xdr:ext cx="2160000" cy="360000"/>
    <xdr:sp macro="[0]!auto_area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 noChangeAspect="1"/>
        </xdr:cNvSpPr>
      </xdr:nvSpPr>
      <xdr:spPr>
        <a:xfrm>
          <a:off x="11793075" y="360822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6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計算面積</a:t>
          </a:r>
        </a:p>
      </xdr:txBody>
    </xdr:sp>
    <xdr:clientData/>
  </xdr:oneCellAnchor>
  <xdr:twoCellAnchor editAs="oneCell">
    <xdr:from>
      <xdr:col>6</xdr:col>
      <xdr:colOff>85169</xdr:colOff>
      <xdr:row>1</xdr:row>
      <xdr:rowOff>51539</xdr:rowOff>
    </xdr:from>
    <xdr:to>
      <xdr:col>7</xdr:col>
      <xdr:colOff>718346</xdr:colOff>
      <xdr:row>3</xdr:row>
      <xdr:rowOff>145960</xdr:rowOff>
    </xdr:to>
    <xdr:sp macro="[0]!clear_length" textlink="">
      <xdr:nvSpPr>
        <xdr:cNvPr id="7" name="矩形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>
          <a:spLocks/>
        </xdr:cNvSpPr>
      </xdr:nvSpPr>
      <xdr:spPr>
        <a:xfrm>
          <a:off x="3342719" y="356339"/>
          <a:ext cx="1442802" cy="456371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twoCellAnchor>
  <xdr:oneCellAnchor>
    <xdr:from>
      <xdr:col>16</xdr:col>
      <xdr:colOff>85169</xdr:colOff>
      <xdr:row>1</xdr:row>
      <xdr:rowOff>51539</xdr:rowOff>
    </xdr:from>
    <xdr:ext cx="1440000" cy="360000"/>
    <xdr:sp macro="[0]!clear_angle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/>
        </xdr:cNvSpPr>
      </xdr:nvSpPr>
      <xdr:spPr>
        <a:xfrm>
          <a:off x="8619569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27</xdr:col>
      <xdr:colOff>85169</xdr:colOff>
      <xdr:row>1</xdr:row>
      <xdr:rowOff>51539</xdr:rowOff>
    </xdr:from>
    <xdr:ext cx="1440000" cy="360000"/>
    <xdr:sp macro="[0]!clear_area" textlink="">
      <xdr:nvSpPr>
        <xdr:cNvPr id="9" name="矩形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/>
        </xdr:cNvSpPr>
      </xdr:nvSpPr>
      <xdr:spPr>
        <a:xfrm>
          <a:off x="14172644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E46994A8-53C7-45B4-8CFE-10EC0C4997B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59D3FF91-8796-4C6C-A0F0-5D7BC33AE15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2" name="文字方塊 8">
          <a:extLst>
            <a:ext uri="{FF2B5EF4-FFF2-40B4-BE49-F238E27FC236}">
              <a16:creationId xmlns:a16="http://schemas.microsoft.com/office/drawing/2014/main" id="{582674A4-2134-4B04-8B56-EFB4A39FF40D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3" name="文字方塊 9">
          <a:extLst>
            <a:ext uri="{FF2B5EF4-FFF2-40B4-BE49-F238E27FC236}">
              <a16:creationId xmlns:a16="http://schemas.microsoft.com/office/drawing/2014/main" id="{9D37885B-9FFB-4D79-8AAC-EC22EA61B0A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E5963658-00CC-49ED-BFC6-8E69443800A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3DA55744-817D-4CB7-BAEC-AEE84BE2E67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" name="文字方塊 15">
          <a:extLst>
            <a:ext uri="{FF2B5EF4-FFF2-40B4-BE49-F238E27FC236}">
              <a16:creationId xmlns:a16="http://schemas.microsoft.com/office/drawing/2014/main" id="{5D0B3138-ADBA-4492-BA96-76B41065DCB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7" name="文字方塊 16">
          <a:extLst>
            <a:ext uri="{FF2B5EF4-FFF2-40B4-BE49-F238E27FC236}">
              <a16:creationId xmlns:a16="http://schemas.microsoft.com/office/drawing/2014/main" id="{E5BC1B02-F63D-4F89-ACB2-EE3408063D1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FBD142BB-1555-4A99-ACE2-DE278A9F793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4CB453BC-A515-4F8E-B236-635CDC81898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0" name="文字方塊 8">
          <a:extLst>
            <a:ext uri="{FF2B5EF4-FFF2-40B4-BE49-F238E27FC236}">
              <a16:creationId xmlns:a16="http://schemas.microsoft.com/office/drawing/2014/main" id="{D77C35F7-6912-4FBF-95F8-B6D8BC68EF5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1" name="文字方塊 9">
          <a:extLst>
            <a:ext uri="{FF2B5EF4-FFF2-40B4-BE49-F238E27FC236}">
              <a16:creationId xmlns:a16="http://schemas.microsoft.com/office/drawing/2014/main" id="{AB8009FA-ABB5-4800-9F66-3B400CC2AD2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A436C2B9-5995-4FB3-B88C-1ABAC6DB03C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CFFBBDCE-2A5A-4A61-93DC-AA39C3BA94B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4" name="文字方塊 23">
          <a:extLst>
            <a:ext uri="{FF2B5EF4-FFF2-40B4-BE49-F238E27FC236}">
              <a16:creationId xmlns:a16="http://schemas.microsoft.com/office/drawing/2014/main" id="{9179126F-18AC-49C6-AB0F-E667310AE62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5" name="文字方塊 24">
          <a:extLst>
            <a:ext uri="{FF2B5EF4-FFF2-40B4-BE49-F238E27FC236}">
              <a16:creationId xmlns:a16="http://schemas.microsoft.com/office/drawing/2014/main" id="{778FF23A-C188-475A-B21C-91C3658A8A0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C7D10305-0CFD-45F5-A358-2FD3EF0B477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1B143838-0843-463F-857C-3BA76518CD0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8" name="文字方塊 8">
          <a:extLst>
            <a:ext uri="{FF2B5EF4-FFF2-40B4-BE49-F238E27FC236}">
              <a16:creationId xmlns:a16="http://schemas.microsoft.com/office/drawing/2014/main" id="{2976E43E-85AA-4CBE-83BC-147279F30F55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9" name="文字方塊 9">
          <a:extLst>
            <a:ext uri="{FF2B5EF4-FFF2-40B4-BE49-F238E27FC236}">
              <a16:creationId xmlns:a16="http://schemas.microsoft.com/office/drawing/2014/main" id="{4A773FB4-DDCD-4137-AA8E-C66C05E66F4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1F8AEAE8-FD62-43E7-A320-3C9590B52B8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A32519CA-AE50-44FB-A273-D133180C468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2" name="文字方塊 31">
          <a:extLst>
            <a:ext uri="{FF2B5EF4-FFF2-40B4-BE49-F238E27FC236}">
              <a16:creationId xmlns:a16="http://schemas.microsoft.com/office/drawing/2014/main" id="{08512556-A49C-4144-909E-C101180407D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3" name="文字方塊 32">
          <a:extLst>
            <a:ext uri="{FF2B5EF4-FFF2-40B4-BE49-F238E27FC236}">
              <a16:creationId xmlns:a16="http://schemas.microsoft.com/office/drawing/2014/main" id="{DB2CD5B8-FF29-4753-A1BE-4826F38E1B8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E858147A-916E-47E7-B1D0-060CC5A357F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8101E934-725B-4A8F-877E-8CAB373411E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36" name="文字方塊 8">
          <a:extLst>
            <a:ext uri="{FF2B5EF4-FFF2-40B4-BE49-F238E27FC236}">
              <a16:creationId xmlns:a16="http://schemas.microsoft.com/office/drawing/2014/main" id="{6FAAA110-2368-4143-81AE-072264957ED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37" name="文字方塊 9">
          <a:extLst>
            <a:ext uri="{FF2B5EF4-FFF2-40B4-BE49-F238E27FC236}">
              <a16:creationId xmlns:a16="http://schemas.microsoft.com/office/drawing/2014/main" id="{74B7FC7F-E490-4C38-94D0-296C24837FF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E383A4D3-C8A8-4511-B047-7D76B6EE220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72FB7437-0560-4F7B-B8BD-29E7992ED70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0" name="文字方塊 39">
          <a:extLst>
            <a:ext uri="{FF2B5EF4-FFF2-40B4-BE49-F238E27FC236}">
              <a16:creationId xmlns:a16="http://schemas.microsoft.com/office/drawing/2014/main" id="{94E4C472-FED7-421D-B617-6CBA2389FE7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1" name="文字方塊 40">
          <a:extLst>
            <a:ext uri="{FF2B5EF4-FFF2-40B4-BE49-F238E27FC236}">
              <a16:creationId xmlns:a16="http://schemas.microsoft.com/office/drawing/2014/main" id="{E66F9C7E-D12B-4400-B4A5-487589BC025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50EEDA7E-3A76-4AA4-8972-B5581D29840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7B88E671-AA41-4C52-8683-980D738CBF5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4" name="文字方塊 8">
          <a:extLst>
            <a:ext uri="{FF2B5EF4-FFF2-40B4-BE49-F238E27FC236}">
              <a16:creationId xmlns:a16="http://schemas.microsoft.com/office/drawing/2014/main" id="{5A79EF21-D1DA-46F6-A9C4-0A62DD4DC37B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5" name="文字方塊 9">
          <a:extLst>
            <a:ext uri="{FF2B5EF4-FFF2-40B4-BE49-F238E27FC236}">
              <a16:creationId xmlns:a16="http://schemas.microsoft.com/office/drawing/2014/main" id="{FC834C76-7E72-476D-A1ED-BA917BDFF61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B13FA8AE-DD1E-4126-A2F5-627D9505A42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8F55CE2D-DFFF-41F5-8D0A-181D24713FE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8" name="文字方塊 47">
          <a:extLst>
            <a:ext uri="{FF2B5EF4-FFF2-40B4-BE49-F238E27FC236}">
              <a16:creationId xmlns:a16="http://schemas.microsoft.com/office/drawing/2014/main" id="{C303DD8D-FD35-4B4B-97F6-F09F39216B7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9" name="文字方塊 48">
          <a:extLst>
            <a:ext uri="{FF2B5EF4-FFF2-40B4-BE49-F238E27FC236}">
              <a16:creationId xmlns:a16="http://schemas.microsoft.com/office/drawing/2014/main" id="{33A2FC6A-796F-4E52-A6BB-E9AE571B530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3DDCD6E5-0475-4C69-8583-7E96057A7F5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1" name="文字方塊 8">
          <a:extLst>
            <a:ext uri="{FF2B5EF4-FFF2-40B4-BE49-F238E27FC236}">
              <a16:creationId xmlns:a16="http://schemas.microsoft.com/office/drawing/2014/main" id="{51B0D496-56D6-4225-9DC7-6B6419946E25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2" name="文字方塊 51">
          <a:extLst>
            <a:ext uri="{FF2B5EF4-FFF2-40B4-BE49-F238E27FC236}">
              <a16:creationId xmlns:a16="http://schemas.microsoft.com/office/drawing/2014/main" id="{E797D876-80B7-4FA6-B3A3-6724DA6D264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3" name="文字方塊 52">
          <a:extLst>
            <a:ext uri="{FF2B5EF4-FFF2-40B4-BE49-F238E27FC236}">
              <a16:creationId xmlns:a16="http://schemas.microsoft.com/office/drawing/2014/main" id="{9BAEE597-5E1D-40B7-A33E-917EFAAF3BD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13AFF665-5070-4B8D-A0BD-212A6352A69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5" name="文字方塊 8">
          <a:extLst>
            <a:ext uri="{FF2B5EF4-FFF2-40B4-BE49-F238E27FC236}">
              <a16:creationId xmlns:a16="http://schemas.microsoft.com/office/drawing/2014/main" id="{D7D1AEFB-05A1-40D6-9B1D-4CFFE25C5744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6" name="文字方塊 55">
          <a:extLst>
            <a:ext uri="{FF2B5EF4-FFF2-40B4-BE49-F238E27FC236}">
              <a16:creationId xmlns:a16="http://schemas.microsoft.com/office/drawing/2014/main" id="{E1DEEA81-BF72-446A-8234-9DC9EA5ED23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7" name="文字方塊 56">
          <a:extLst>
            <a:ext uri="{FF2B5EF4-FFF2-40B4-BE49-F238E27FC236}">
              <a16:creationId xmlns:a16="http://schemas.microsoft.com/office/drawing/2014/main" id="{87B2338A-390C-40CF-AE6C-DE229AA9399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2F19C870-CA5D-4375-9468-69A5E8A4087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9" name="文字方塊 8">
          <a:extLst>
            <a:ext uri="{FF2B5EF4-FFF2-40B4-BE49-F238E27FC236}">
              <a16:creationId xmlns:a16="http://schemas.microsoft.com/office/drawing/2014/main" id="{4CFA6F85-8FF4-423D-BB0B-08331DF52F5A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0" name="文字方塊 59">
          <a:extLst>
            <a:ext uri="{FF2B5EF4-FFF2-40B4-BE49-F238E27FC236}">
              <a16:creationId xmlns:a16="http://schemas.microsoft.com/office/drawing/2014/main" id="{B6E3F8D3-0108-46F9-9F52-D28A27AEE67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8CD7DEE1-43AF-4330-BBF2-0F384413627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6E9B8E9F-984A-4546-95D3-51A8D9BF55B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3" name="文字方塊 8">
          <a:extLst>
            <a:ext uri="{FF2B5EF4-FFF2-40B4-BE49-F238E27FC236}">
              <a16:creationId xmlns:a16="http://schemas.microsoft.com/office/drawing/2014/main" id="{9C7ABF27-EF10-4539-B3FD-B457684E9885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4" name="文字方塊 63">
          <a:extLst>
            <a:ext uri="{FF2B5EF4-FFF2-40B4-BE49-F238E27FC236}">
              <a16:creationId xmlns:a16="http://schemas.microsoft.com/office/drawing/2014/main" id="{C8CB5274-2CFE-4205-AB06-F429D322A80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5" name="文字方塊 64">
          <a:extLst>
            <a:ext uri="{FF2B5EF4-FFF2-40B4-BE49-F238E27FC236}">
              <a16:creationId xmlns:a16="http://schemas.microsoft.com/office/drawing/2014/main" id="{122E2AB8-7E29-4186-A0A2-320C6A7FCEC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75D2082F-FCCB-48B6-8B5B-73254A30BA2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7" name="文字方塊 8">
          <a:extLst>
            <a:ext uri="{FF2B5EF4-FFF2-40B4-BE49-F238E27FC236}">
              <a16:creationId xmlns:a16="http://schemas.microsoft.com/office/drawing/2014/main" id="{C313DB42-4613-4AFD-AEDF-84975E6BEE6B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8" name="文字方塊 67">
          <a:extLst>
            <a:ext uri="{FF2B5EF4-FFF2-40B4-BE49-F238E27FC236}">
              <a16:creationId xmlns:a16="http://schemas.microsoft.com/office/drawing/2014/main" id="{EDA6C776-522E-494D-B1C5-387FACEED10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8969868A-6A59-4B1F-892F-DE110B4933F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E0C200B1-20E1-4B96-927A-F46E49BA6A8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1" name="文字方塊 8">
          <a:extLst>
            <a:ext uri="{FF2B5EF4-FFF2-40B4-BE49-F238E27FC236}">
              <a16:creationId xmlns:a16="http://schemas.microsoft.com/office/drawing/2014/main" id="{0B6A2B2C-B9C5-4D46-9E87-9F6C3CD8599A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2" name="文字方塊 71">
          <a:extLst>
            <a:ext uri="{FF2B5EF4-FFF2-40B4-BE49-F238E27FC236}">
              <a16:creationId xmlns:a16="http://schemas.microsoft.com/office/drawing/2014/main" id="{2D246C8E-BDA2-454A-A71C-D7581FF3CDE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3" name="文字方塊 72">
          <a:extLst>
            <a:ext uri="{FF2B5EF4-FFF2-40B4-BE49-F238E27FC236}">
              <a16:creationId xmlns:a16="http://schemas.microsoft.com/office/drawing/2014/main" id="{AF768C90-E46F-4515-974B-1E86C2AB526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4" name="文字方塊 73">
          <a:extLst>
            <a:ext uri="{FF2B5EF4-FFF2-40B4-BE49-F238E27FC236}">
              <a16:creationId xmlns:a16="http://schemas.microsoft.com/office/drawing/2014/main" id="{E2FB6927-9628-445A-BC10-3B4B114FF42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5" name="文字方塊 74">
          <a:extLst>
            <a:ext uri="{FF2B5EF4-FFF2-40B4-BE49-F238E27FC236}">
              <a16:creationId xmlns:a16="http://schemas.microsoft.com/office/drawing/2014/main" id="{0C5E4AA9-C594-4F2C-B564-59240D0AF81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6" name="文字方塊 8">
          <a:extLst>
            <a:ext uri="{FF2B5EF4-FFF2-40B4-BE49-F238E27FC236}">
              <a16:creationId xmlns:a16="http://schemas.microsoft.com/office/drawing/2014/main" id="{B7873A11-482E-4229-BDB1-A0DF83A23C34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CBF945F1-216B-4675-996F-C5AE4040068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8" name="文字方塊 77">
          <a:extLst>
            <a:ext uri="{FF2B5EF4-FFF2-40B4-BE49-F238E27FC236}">
              <a16:creationId xmlns:a16="http://schemas.microsoft.com/office/drawing/2014/main" id="{E2345D9D-1278-4DA2-9445-3596778B6FD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9" name="文字方塊 78">
          <a:extLst>
            <a:ext uri="{FF2B5EF4-FFF2-40B4-BE49-F238E27FC236}">
              <a16:creationId xmlns:a16="http://schemas.microsoft.com/office/drawing/2014/main" id="{753F8ACB-1098-46DD-AA32-14493C1AAC7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0" name="文字方塊 8">
          <a:extLst>
            <a:ext uri="{FF2B5EF4-FFF2-40B4-BE49-F238E27FC236}">
              <a16:creationId xmlns:a16="http://schemas.microsoft.com/office/drawing/2014/main" id="{32D8BD06-AD27-4BEA-ADFD-B433969D30CE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1" name="文字方塊 80">
          <a:extLst>
            <a:ext uri="{FF2B5EF4-FFF2-40B4-BE49-F238E27FC236}">
              <a16:creationId xmlns:a16="http://schemas.microsoft.com/office/drawing/2014/main" id="{6F16694E-5D96-498C-B0DB-AEBD179CB2B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2" name="文字方塊 81">
          <a:extLst>
            <a:ext uri="{FF2B5EF4-FFF2-40B4-BE49-F238E27FC236}">
              <a16:creationId xmlns:a16="http://schemas.microsoft.com/office/drawing/2014/main" id="{BD1A157E-50E0-493A-8A63-F2D67CDD789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3" name="文字方塊 82">
          <a:extLst>
            <a:ext uri="{FF2B5EF4-FFF2-40B4-BE49-F238E27FC236}">
              <a16:creationId xmlns:a16="http://schemas.microsoft.com/office/drawing/2014/main" id="{850D2F54-C809-4447-AC13-797AE974033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4" name="文字方塊 8">
          <a:extLst>
            <a:ext uri="{FF2B5EF4-FFF2-40B4-BE49-F238E27FC236}">
              <a16:creationId xmlns:a16="http://schemas.microsoft.com/office/drawing/2014/main" id="{6B05C54D-F57F-43B1-9B36-1515DAB77E93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5" name="文字方塊 84">
          <a:extLst>
            <a:ext uri="{FF2B5EF4-FFF2-40B4-BE49-F238E27FC236}">
              <a16:creationId xmlns:a16="http://schemas.microsoft.com/office/drawing/2014/main" id="{F3295B68-6FAB-451E-AE90-48F6DFA3752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6" name="文字方塊 85">
          <a:extLst>
            <a:ext uri="{FF2B5EF4-FFF2-40B4-BE49-F238E27FC236}">
              <a16:creationId xmlns:a16="http://schemas.microsoft.com/office/drawing/2014/main" id="{17EB2200-9C3C-4282-840F-03DAB72CE0C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7" name="文字方塊 86">
          <a:extLst>
            <a:ext uri="{FF2B5EF4-FFF2-40B4-BE49-F238E27FC236}">
              <a16:creationId xmlns:a16="http://schemas.microsoft.com/office/drawing/2014/main" id="{FC2BC7DD-71B2-43F9-B561-05524B56717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8" name="文字方塊 8">
          <a:extLst>
            <a:ext uri="{FF2B5EF4-FFF2-40B4-BE49-F238E27FC236}">
              <a16:creationId xmlns:a16="http://schemas.microsoft.com/office/drawing/2014/main" id="{58F485D1-B55E-47DC-B1C9-6ADCE209B198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9" name="文字方塊 88">
          <a:extLst>
            <a:ext uri="{FF2B5EF4-FFF2-40B4-BE49-F238E27FC236}">
              <a16:creationId xmlns:a16="http://schemas.microsoft.com/office/drawing/2014/main" id="{5B47F05E-0347-48C7-B194-52DD5AD49CA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0" name="文字方塊 89">
          <a:extLst>
            <a:ext uri="{FF2B5EF4-FFF2-40B4-BE49-F238E27FC236}">
              <a16:creationId xmlns:a16="http://schemas.microsoft.com/office/drawing/2014/main" id="{4E13879F-CEB7-43EF-8DF7-94A0A1FD13C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1" name="文字方塊 90">
          <a:extLst>
            <a:ext uri="{FF2B5EF4-FFF2-40B4-BE49-F238E27FC236}">
              <a16:creationId xmlns:a16="http://schemas.microsoft.com/office/drawing/2014/main" id="{120DBBC2-27C6-4656-8D18-C7DE347306F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92" name="文字方塊 8">
          <a:extLst>
            <a:ext uri="{FF2B5EF4-FFF2-40B4-BE49-F238E27FC236}">
              <a16:creationId xmlns:a16="http://schemas.microsoft.com/office/drawing/2014/main" id="{BDA1498E-DC38-4BF1-B29A-BF30483BAAED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3" name="文字方塊 92">
          <a:extLst>
            <a:ext uri="{FF2B5EF4-FFF2-40B4-BE49-F238E27FC236}">
              <a16:creationId xmlns:a16="http://schemas.microsoft.com/office/drawing/2014/main" id="{E43FAEDB-ED87-44AC-A73D-30EAB234DA7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4" name="文字方塊 93">
          <a:extLst>
            <a:ext uri="{FF2B5EF4-FFF2-40B4-BE49-F238E27FC236}">
              <a16:creationId xmlns:a16="http://schemas.microsoft.com/office/drawing/2014/main" id="{1A291128-4E18-4214-8889-16934E5336D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5" name="文字方塊 94">
          <a:extLst>
            <a:ext uri="{FF2B5EF4-FFF2-40B4-BE49-F238E27FC236}">
              <a16:creationId xmlns:a16="http://schemas.microsoft.com/office/drawing/2014/main" id="{F9A78490-522F-418F-9F14-A95B81F6143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96" name="文字方塊 8">
          <a:extLst>
            <a:ext uri="{FF2B5EF4-FFF2-40B4-BE49-F238E27FC236}">
              <a16:creationId xmlns:a16="http://schemas.microsoft.com/office/drawing/2014/main" id="{180AAB5A-F132-41D3-83AD-F073B551FE35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7" name="文字方塊 96">
          <a:extLst>
            <a:ext uri="{FF2B5EF4-FFF2-40B4-BE49-F238E27FC236}">
              <a16:creationId xmlns:a16="http://schemas.microsoft.com/office/drawing/2014/main" id="{FBD5F0B0-EBAA-49A0-95A2-73554749557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8" name="文字方塊 97">
          <a:extLst>
            <a:ext uri="{FF2B5EF4-FFF2-40B4-BE49-F238E27FC236}">
              <a16:creationId xmlns:a16="http://schemas.microsoft.com/office/drawing/2014/main" id="{A8000954-07D8-4088-82C4-A39613760A8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9" name="文字方塊 98">
          <a:extLst>
            <a:ext uri="{FF2B5EF4-FFF2-40B4-BE49-F238E27FC236}">
              <a16:creationId xmlns:a16="http://schemas.microsoft.com/office/drawing/2014/main" id="{21767D4E-6D01-4D81-8E87-5014CB4AA86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0" name="文字方塊 8">
          <a:extLst>
            <a:ext uri="{FF2B5EF4-FFF2-40B4-BE49-F238E27FC236}">
              <a16:creationId xmlns:a16="http://schemas.microsoft.com/office/drawing/2014/main" id="{C44A47CF-5EA2-433F-8033-4199EC646521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1" name="文字方塊 100">
          <a:extLst>
            <a:ext uri="{FF2B5EF4-FFF2-40B4-BE49-F238E27FC236}">
              <a16:creationId xmlns:a16="http://schemas.microsoft.com/office/drawing/2014/main" id="{DB19CD7A-FD28-4823-B221-7499FEDF2D9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2" name="文字方塊 101">
          <a:extLst>
            <a:ext uri="{FF2B5EF4-FFF2-40B4-BE49-F238E27FC236}">
              <a16:creationId xmlns:a16="http://schemas.microsoft.com/office/drawing/2014/main" id="{94EA7E7D-06D7-4EA2-A399-7A450C421BF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3" name="文字方塊 102">
          <a:extLst>
            <a:ext uri="{FF2B5EF4-FFF2-40B4-BE49-F238E27FC236}">
              <a16:creationId xmlns:a16="http://schemas.microsoft.com/office/drawing/2014/main" id="{E9E4DB79-9802-4BE1-86B0-4E9530ED16E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04" name="文字方塊 103">
          <a:extLst>
            <a:ext uri="{FF2B5EF4-FFF2-40B4-BE49-F238E27FC236}">
              <a16:creationId xmlns:a16="http://schemas.microsoft.com/office/drawing/2014/main" id="{85397C3A-6600-4FA8-A2DA-C113703B228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5" name="文字方塊 8">
          <a:extLst>
            <a:ext uri="{FF2B5EF4-FFF2-40B4-BE49-F238E27FC236}">
              <a16:creationId xmlns:a16="http://schemas.microsoft.com/office/drawing/2014/main" id="{FB3C286F-1E43-45CD-86A6-2D72BCF05345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06" name="文字方塊 9">
          <a:extLst>
            <a:ext uri="{FF2B5EF4-FFF2-40B4-BE49-F238E27FC236}">
              <a16:creationId xmlns:a16="http://schemas.microsoft.com/office/drawing/2014/main" id="{E2896CB8-6FCB-4662-B0B9-A6B2C27F476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7" name="文字方塊 106">
          <a:extLst>
            <a:ext uri="{FF2B5EF4-FFF2-40B4-BE49-F238E27FC236}">
              <a16:creationId xmlns:a16="http://schemas.microsoft.com/office/drawing/2014/main" id="{534F536C-2E25-48CD-838E-9DA24E1D196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08" name="文字方塊 107">
          <a:extLst>
            <a:ext uri="{FF2B5EF4-FFF2-40B4-BE49-F238E27FC236}">
              <a16:creationId xmlns:a16="http://schemas.microsoft.com/office/drawing/2014/main" id="{FC333699-6072-4E6D-80F2-D93BE4002BE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9" name="文字方塊 108">
          <a:extLst>
            <a:ext uri="{FF2B5EF4-FFF2-40B4-BE49-F238E27FC236}">
              <a16:creationId xmlns:a16="http://schemas.microsoft.com/office/drawing/2014/main" id="{CAD98B49-FF23-4B01-AECE-BDD0E338C56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0" name="文字方塊 109">
          <a:extLst>
            <a:ext uri="{FF2B5EF4-FFF2-40B4-BE49-F238E27FC236}">
              <a16:creationId xmlns:a16="http://schemas.microsoft.com/office/drawing/2014/main" id="{7BF96BC1-195A-4029-AA07-020EE890C58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1" name="文字方塊 110">
          <a:extLst>
            <a:ext uri="{FF2B5EF4-FFF2-40B4-BE49-F238E27FC236}">
              <a16:creationId xmlns:a16="http://schemas.microsoft.com/office/drawing/2014/main" id="{0937A20C-7E68-497A-942B-5A0392A062D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2" name="文字方塊 111">
          <a:extLst>
            <a:ext uri="{FF2B5EF4-FFF2-40B4-BE49-F238E27FC236}">
              <a16:creationId xmlns:a16="http://schemas.microsoft.com/office/drawing/2014/main" id="{A9A988AE-BCF1-48C4-829F-70262565BE8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13" name="文字方塊 8">
          <a:extLst>
            <a:ext uri="{FF2B5EF4-FFF2-40B4-BE49-F238E27FC236}">
              <a16:creationId xmlns:a16="http://schemas.microsoft.com/office/drawing/2014/main" id="{EA62190A-992A-4172-8415-0D34228CE7A1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14" name="文字方塊 9">
          <a:extLst>
            <a:ext uri="{FF2B5EF4-FFF2-40B4-BE49-F238E27FC236}">
              <a16:creationId xmlns:a16="http://schemas.microsoft.com/office/drawing/2014/main" id="{627C08BE-7656-4539-B892-E4D4B62196B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5" name="文字方塊 114">
          <a:extLst>
            <a:ext uri="{FF2B5EF4-FFF2-40B4-BE49-F238E27FC236}">
              <a16:creationId xmlns:a16="http://schemas.microsoft.com/office/drawing/2014/main" id="{499325CB-0A65-4F52-85AD-D1FA76765DE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6" name="文字方塊 115">
          <a:extLst>
            <a:ext uri="{FF2B5EF4-FFF2-40B4-BE49-F238E27FC236}">
              <a16:creationId xmlns:a16="http://schemas.microsoft.com/office/drawing/2014/main" id="{AEBCB6E3-B2A2-435F-813B-61E21095471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7" name="文字方塊 116">
          <a:extLst>
            <a:ext uri="{FF2B5EF4-FFF2-40B4-BE49-F238E27FC236}">
              <a16:creationId xmlns:a16="http://schemas.microsoft.com/office/drawing/2014/main" id="{119AFD9C-A09C-44A7-A309-1592396FD5A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8" name="文字方塊 117">
          <a:extLst>
            <a:ext uri="{FF2B5EF4-FFF2-40B4-BE49-F238E27FC236}">
              <a16:creationId xmlns:a16="http://schemas.microsoft.com/office/drawing/2014/main" id="{CC962592-5633-4B2E-81BF-0B031AF218E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9" name="文字方塊 118">
          <a:extLst>
            <a:ext uri="{FF2B5EF4-FFF2-40B4-BE49-F238E27FC236}">
              <a16:creationId xmlns:a16="http://schemas.microsoft.com/office/drawing/2014/main" id="{2B4FFFCF-D09E-47C7-A7FC-125BF97247A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20" name="文字方塊 119">
          <a:extLst>
            <a:ext uri="{FF2B5EF4-FFF2-40B4-BE49-F238E27FC236}">
              <a16:creationId xmlns:a16="http://schemas.microsoft.com/office/drawing/2014/main" id="{83AADCEE-A77D-47ED-A862-901B3B1C6AD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21" name="文字方塊 8">
          <a:extLst>
            <a:ext uri="{FF2B5EF4-FFF2-40B4-BE49-F238E27FC236}">
              <a16:creationId xmlns:a16="http://schemas.microsoft.com/office/drawing/2014/main" id="{5E3A7134-B019-43DE-A692-4DCD3AC6C3BA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22" name="文字方塊 9">
          <a:extLst>
            <a:ext uri="{FF2B5EF4-FFF2-40B4-BE49-F238E27FC236}">
              <a16:creationId xmlns:a16="http://schemas.microsoft.com/office/drawing/2014/main" id="{E74CE6E2-CC02-4E00-BE86-5B86EB02D69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3" name="文字方塊 122">
          <a:extLst>
            <a:ext uri="{FF2B5EF4-FFF2-40B4-BE49-F238E27FC236}">
              <a16:creationId xmlns:a16="http://schemas.microsoft.com/office/drawing/2014/main" id="{FB774A60-9AF1-47C0-B980-2DBFAFA6855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24" name="文字方塊 123">
          <a:extLst>
            <a:ext uri="{FF2B5EF4-FFF2-40B4-BE49-F238E27FC236}">
              <a16:creationId xmlns:a16="http://schemas.microsoft.com/office/drawing/2014/main" id="{97D46193-3908-49E7-8092-79BD9D06CD9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5" name="文字方塊 124">
          <a:extLst>
            <a:ext uri="{FF2B5EF4-FFF2-40B4-BE49-F238E27FC236}">
              <a16:creationId xmlns:a16="http://schemas.microsoft.com/office/drawing/2014/main" id="{0188852D-37B0-401D-B6EF-3789E857061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26" name="文字方塊 125">
          <a:extLst>
            <a:ext uri="{FF2B5EF4-FFF2-40B4-BE49-F238E27FC236}">
              <a16:creationId xmlns:a16="http://schemas.microsoft.com/office/drawing/2014/main" id="{519FF4BC-3B0F-4927-AF73-2C3A1DC5BBA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7" name="文字方塊 126">
          <a:extLst>
            <a:ext uri="{FF2B5EF4-FFF2-40B4-BE49-F238E27FC236}">
              <a16:creationId xmlns:a16="http://schemas.microsoft.com/office/drawing/2014/main" id="{C1AEBFB7-4DA8-4BB4-8A0F-1C7434BA9B7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28" name="文字方塊 127">
          <a:extLst>
            <a:ext uri="{FF2B5EF4-FFF2-40B4-BE49-F238E27FC236}">
              <a16:creationId xmlns:a16="http://schemas.microsoft.com/office/drawing/2014/main" id="{6056FE2C-D962-4101-9656-06C1AE08282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29" name="文字方塊 8">
          <a:extLst>
            <a:ext uri="{FF2B5EF4-FFF2-40B4-BE49-F238E27FC236}">
              <a16:creationId xmlns:a16="http://schemas.microsoft.com/office/drawing/2014/main" id="{9A7D80A3-8116-4F64-9C6F-62FF2FCADE2C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30" name="文字方塊 9">
          <a:extLst>
            <a:ext uri="{FF2B5EF4-FFF2-40B4-BE49-F238E27FC236}">
              <a16:creationId xmlns:a16="http://schemas.microsoft.com/office/drawing/2014/main" id="{35D5B0D3-7F0C-47B8-B8D3-7BCFB349742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1" name="文字方塊 130">
          <a:extLst>
            <a:ext uri="{FF2B5EF4-FFF2-40B4-BE49-F238E27FC236}">
              <a16:creationId xmlns:a16="http://schemas.microsoft.com/office/drawing/2014/main" id="{99E70226-F1FC-4665-8745-929AE42EC7B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32" name="文字方塊 131">
          <a:extLst>
            <a:ext uri="{FF2B5EF4-FFF2-40B4-BE49-F238E27FC236}">
              <a16:creationId xmlns:a16="http://schemas.microsoft.com/office/drawing/2014/main" id="{55FF1CF5-F725-4C1E-B971-7A43B162AE7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3" name="文字方塊 132">
          <a:extLst>
            <a:ext uri="{FF2B5EF4-FFF2-40B4-BE49-F238E27FC236}">
              <a16:creationId xmlns:a16="http://schemas.microsoft.com/office/drawing/2014/main" id="{79601694-6217-4962-B634-99DC02839CF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34" name="文字方塊 133">
          <a:extLst>
            <a:ext uri="{FF2B5EF4-FFF2-40B4-BE49-F238E27FC236}">
              <a16:creationId xmlns:a16="http://schemas.microsoft.com/office/drawing/2014/main" id="{E25C80C2-4943-4242-A256-153811594EC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5" name="文字方塊 134">
          <a:extLst>
            <a:ext uri="{FF2B5EF4-FFF2-40B4-BE49-F238E27FC236}">
              <a16:creationId xmlns:a16="http://schemas.microsoft.com/office/drawing/2014/main" id="{FE980523-8635-4FAB-8312-A3613043ECF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36" name="文字方塊 135">
          <a:extLst>
            <a:ext uri="{FF2B5EF4-FFF2-40B4-BE49-F238E27FC236}">
              <a16:creationId xmlns:a16="http://schemas.microsoft.com/office/drawing/2014/main" id="{739A86F2-1137-4855-A0D7-C21437541A6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37" name="文字方塊 8">
          <a:extLst>
            <a:ext uri="{FF2B5EF4-FFF2-40B4-BE49-F238E27FC236}">
              <a16:creationId xmlns:a16="http://schemas.microsoft.com/office/drawing/2014/main" id="{5752CD9E-A97A-4431-84A0-6684C097D66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38" name="文字方塊 9">
          <a:extLst>
            <a:ext uri="{FF2B5EF4-FFF2-40B4-BE49-F238E27FC236}">
              <a16:creationId xmlns:a16="http://schemas.microsoft.com/office/drawing/2014/main" id="{292A6395-D30A-4190-8F62-9609555A188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9" name="文字方塊 138">
          <a:extLst>
            <a:ext uri="{FF2B5EF4-FFF2-40B4-BE49-F238E27FC236}">
              <a16:creationId xmlns:a16="http://schemas.microsoft.com/office/drawing/2014/main" id="{5CD13416-B25C-4DAA-9E92-525C74AECEA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40" name="文字方塊 139">
          <a:extLst>
            <a:ext uri="{FF2B5EF4-FFF2-40B4-BE49-F238E27FC236}">
              <a16:creationId xmlns:a16="http://schemas.microsoft.com/office/drawing/2014/main" id="{E1739E77-544E-4EBC-99D0-F46595D7613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1" name="文字方塊 140">
          <a:extLst>
            <a:ext uri="{FF2B5EF4-FFF2-40B4-BE49-F238E27FC236}">
              <a16:creationId xmlns:a16="http://schemas.microsoft.com/office/drawing/2014/main" id="{5BAD2627-1D1B-43C7-851B-4075596AFC4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42" name="文字方塊 141">
          <a:extLst>
            <a:ext uri="{FF2B5EF4-FFF2-40B4-BE49-F238E27FC236}">
              <a16:creationId xmlns:a16="http://schemas.microsoft.com/office/drawing/2014/main" id="{731DF56D-418C-4628-B471-C166C612351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3" name="文字方塊 142">
          <a:extLst>
            <a:ext uri="{FF2B5EF4-FFF2-40B4-BE49-F238E27FC236}">
              <a16:creationId xmlns:a16="http://schemas.microsoft.com/office/drawing/2014/main" id="{83B86BAC-BBE5-4299-9B7B-5C9F7A233F3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44" name="文字方塊 8">
          <a:extLst>
            <a:ext uri="{FF2B5EF4-FFF2-40B4-BE49-F238E27FC236}">
              <a16:creationId xmlns:a16="http://schemas.microsoft.com/office/drawing/2014/main" id="{1AFBFECB-9E40-4933-B3B3-81301C721055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5" name="文字方塊 144">
          <a:extLst>
            <a:ext uri="{FF2B5EF4-FFF2-40B4-BE49-F238E27FC236}">
              <a16:creationId xmlns:a16="http://schemas.microsoft.com/office/drawing/2014/main" id="{7AADFE90-7875-4420-951A-AED7EBF7746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6" name="文字方塊 145">
          <a:extLst>
            <a:ext uri="{FF2B5EF4-FFF2-40B4-BE49-F238E27FC236}">
              <a16:creationId xmlns:a16="http://schemas.microsoft.com/office/drawing/2014/main" id="{DAB53389-EDEA-4218-AE5D-54656FCB992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7" name="文字方塊 146">
          <a:extLst>
            <a:ext uri="{FF2B5EF4-FFF2-40B4-BE49-F238E27FC236}">
              <a16:creationId xmlns:a16="http://schemas.microsoft.com/office/drawing/2014/main" id="{6CFA004A-573E-4B14-96C0-AB3E70749F2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48" name="文字方塊 8">
          <a:extLst>
            <a:ext uri="{FF2B5EF4-FFF2-40B4-BE49-F238E27FC236}">
              <a16:creationId xmlns:a16="http://schemas.microsoft.com/office/drawing/2014/main" id="{E9E16513-20A2-4B8D-BDD6-8369111BCEDC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9" name="文字方塊 148">
          <a:extLst>
            <a:ext uri="{FF2B5EF4-FFF2-40B4-BE49-F238E27FC236}">
              <a16:creationId xmlns:a16="http://schemas.microsoft.com/office/drawing/2014/main" id="{BD8ED094-AEBD-4606-87DD-958195096ED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50" name="文字方塊 149">
          <a:extLst>
            <a:ext uri="{FF2B5EF4-FFF2-40B4-BE49-F238E27FC236}">
              <a16:creationId xmlns:a16="http://schemas.microsoft.com/office/drawing/2014/main" id="{11C34798-E8C7-41A8-999A-C8EDB61685F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51" name="文字方塊 150">
          <a:extLst>
            <a:ext uri="{FF2B5EF4-FFF2-40B4-BE49-F238E27FC236}">
              <a16:creationId xmlns:a16="http://schemas.microsoft.com/office/drawing/2014/main" id="{FDC22D5D-A265-4C1A-A838-DB8C8FA600B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52" name="文字方塊 8">
          <a:extLst>
            <a:ext uri="{FF2B5EF4-FFF2-40B4-BE49-F238E27FC236}">
              <a16:creationId xmlns:a16="http://schemas.microsoft.com/office/drawing/2014/main" id="{A76B73EC-0C57-46D4-A46A-E95F5098F259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53" name="文字方塊 152">
          <a:extLst>
            <a:ext uri="{FF2B5EF4-FFF2-40B4-BE49-F238E27FC236}">
              <a16:creationId xmlns:a16="http://schemas.microsoft.com/office/drawing/2014/main" id="{DDFC1ED3-F49E-4C0B-93F3-193BB02BB61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54" name="文字方塊 153">
          <a:extLst>
            <a:ext uri="{FF2B5EF4-FFF2-40B4-BE49-F238E27FC236}">
              <a16:creationId xmlns:a16="http://schemas.microsoft.com/office/drawing/2014/main" id="{4E8539D9-EB0A-4A4F-9935-B969537ED33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55" name="文字方塊 154">
          <a:extLst>
            <a:ext uri="{FF2B5EF4-FFF2-40B4-BE49-F238E27FC236}">
              <a16:creationId xmlns:a16="http://schemas.microsoft.com/office/drawing/2014/main" id="{BFEA8EF8-F24F-4978-AD0B-64520DA59E8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56" name="文字方塊 8">
          <a:extLst>
            <a:ext uri="{FF2B5EF4-FFF2-40B4-BE49-F238E27FC236}">
              <a16:creationId xmlns:a16="http://schemas.microsoft.com/office/drawing/2014/main" id="{C6F0BC23-2868-469E-83F8-D3AA3E55BB50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57" name="文字方塊 156">
          <a:extLst>
            <a:ext uri="{FF2B5EF4-FFF2-40B4-BE49-F238E27FC236}">
              <a16:creationId xmlns:a16="http://schemas.microsoft.com/office/drawing/2014/main" id="{98CEA49F-0A1F-4F31-B4E2-427879EDC1E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58" name="文字方塊 157">
          <a:extLst>
            <a:ext uri="{FF2B5EF4-FFF2-40B4-BE49-F238E27FC236}">
              <a16:creationId xmlns:a16="http://schemas.microsoft.com/office/drawing/2014/main" id="{BDAED61F-C5E3-47FE-8780-61457A28B59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59" name="文字方塊 158">
          <a:extLst>
            <a:ext uri="{FF2B5EF4-FFF2-40B4-BE49-F238E27FC236}">
              <a16:creationId xmlns:a16="http://schemas.microsoft.com/office/drawing/2014/main" id="{88261149-46F3-49DC-B08E-567A18EC1B3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60" name="文字方塊 8">
          <a:extLst>
            <a:ext uri="{FF2B5EF4-FFF2-40B4-BE49-F238E27FC236}">
              <a16:creationId xmlns:a16="http://schemas.microsoft.com/office/drawing/2014/main" id="{0289B60F-435C-45D7-A84D-DA526497EC7A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1" name="文字方塊 160">
          <a:extLst>
            <a:ext uri="{FF2B5EF4-FFF2-40B4-BE49-F238E27FC236}">
              <a16:creationId xmlns:a16="http://schemas.microsoft.com/office/drawing/2014/main" id="{0BFAC70B-1055-4CA1-ACC3-309413968D6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2" name="文字方塊 161">
          <a:extLst>
            <a:ext uri="{FF2B5EF4-FFF2-40B4-BE49-F238E27FC236}">
              <a16:creationId xmlns:a16="http://schemas.microsoft.com/office/drawing/2014/main" id="{4FACBFB7-5014-401E-BE09-939B1662B64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3" name="文字方塊 162">
          <a:extLst>
            <a:ext uri="{FF2B5EF4-FFF2-40B4-BE49-F238E27FC236}">
              <a16:creationId xmlns:a16="http://schemas.microsoft.com/office/drawing/2014/main" id="{2A91C8DB-7CF7-48B1-AD88-9B1941DEA5F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64" name="文字方塊 8">
          <a:extLst>
            <a:ext uri="{FF2B5EF4-FFF2-40B4-BE49-F238E27FC236}">
              <a16:creationId xmlns:a16="http://schemas.microsoft.com/office/drawing/2014/main" id="{BA9EB90F-F933-4C6A-9A98-C22D1E2FF614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5" name="文字方塊 164">
          <a:extLst>
            <a:ext uri="{FF2B5EF4-FFF2-40B4-BE49-F238E27FC236}">
              <a16:creationId xmlns:a16="http://schemas.microsoft.com/office/drawing/2014/main" id="{E127A561-B991-4461-A1EB-09291C42826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6" name="文字方塊 165">
          <a:extLst>
            <a:ext uri="{FF2B5EF4-FFF2-40B4-BE49-F238E27FC236}">
              <a16:creationId xmlns:a16="http://schemas.microsoft.com/office/drawing/2014/main" id="{5FFCBC2B-981E-49BA-A63D-13D43A82FB8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7" name="文字方塊 166">
          <a:extLst>
            <a:ext uri="{FF2B5EF4-FFF2-40B4-BE49-F238E27FC236}">
              <a16:creationId xmlns:a16="http://schemas.microsoft.com/office/drawing/2014/main" id="{21511BBC-D2B2-415F-ACB7-3BFBE8C7FEA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8" name="文字方塊 167">
          <a:extLst>
            <a:ext uri="{FF2B5EF4-FFF2-40B4-BE49-F238E27FC236}">
              <a16:creationId xmlns:a16="http://schemas.microsoft.com/office/drawing/2014/main" id="{41DFC96A-1E4E-48FC-B40E-38894207E76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69" name="文字方塊 8">
          <a:extLst>
            <a:ext uri="{FF2B5EF4-FFF2-40B4-BE49-F238E27FC236}">
              <a16:creationId xmlns:a16="http://schemas.microsoft.com/office/drawing/2014/main" id="{2BF18287-A428-4326-8453-F5BCA42C03AB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70" name="文字方塊 169">
          <a:extLst>
            <a:ext uri="{FF2B5EF4-FFF2-40B4-BE49-F238E27FC236}">
              <a16:creationId xmlns:a16="http://schemas.microsoft.com/office/drawing/2014/main" id="{43DB8771-5F9D-49AA-91D0-A37E5883F92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71" name="文字方塊 170">
          <a:extLst>
            <a:ext uri="{FF2B5EF4-FFF2-40B4-BE49-F238E27FC236}">
              <a16:creationId xmlns:a16="http://schemas.microsoft.com/office/drawing/2014/main" id="{AA6762AD-7F73-4D6B-91FE-96EB96B43A7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72" name="文字方塊 171">
          <a:extLst>
            <a:ext uri="{FF2B5EF4-FFF2-40B4-BE49-F238E27FC236}">
              <a16:creationId xmlns:a16="http://schemas.microsoft.com/office/drawing/2014/main" id="{979D61DF-6BEC-4F14-AA19-1273073CD55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73" name="文字方塊 8">
          <a:extLst>
            <a:ext uri="{FF2B5EF4-FFF2-40B4-BE49-F238E27FC236}">
              <a16:creationId xmlns:a16="http://schemas.microsoft.com/office/drawing/2014/main" id="{F009DA4E-7164-4509-9530-90B96345B299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74" name="文字方塊 173">
          <a:extLst>
            <a:ext uri="{FF2B5EF4-FFF2-40B4-BE49-F238E27FC236}">
              <a16:creationId xmlns:a16="http://schemas.microsoft.com/office/drawing/2014/main" id="{3FD515CB-4BC0-47EE-9E6A-8E1757BB90B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75" name="文字方塊 174">
          <a:extLst>
            <a:ext uri="{FF2B5EF4-FFF2-40B4-BE49-F238E27FC236}">
              <a16:creationId xmlns:a16="http://schemas.microsoft.com/office/drawing/2014/main" id="{E0A61B5B-C9C7-4F2B-9831-DEAC3A8F4AC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76" name="文字方塊 175">
          <a:extLst>
            <a:ext uri="{FF2B5EF4-FFF2-40B4-BE49-F238E27FC236}">
              <a16:creationId xmlns:a16="http://schemas.microsoft.com/office/drawing/2014/main" id="{44B6FAF4-C0F7-48DB-8857-A2708426C82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77" name="文字方塊 8">
          <a:extLst>
            <a:ext uri="{FF2B5EF4-FFF2-40B4-BE49-F238E27FC236}">
              <a16:creationId xmlns:a16="http://schemas.microsoft.com/office/drawing/2014/main" id="{2AFB8563-FDF5-4C67-A150-FD3E135BB81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78" name="文字方塊 177">
          <a:extLst>
            <a:ext uri="{FF2B5EF4-FFF2-40B4-BE49-F238E27FC236}">
              <a16:creationId xmlns:a16="http://schemas.microsoft.com/office/drawing/2014/main" id="{9FED1BB1-E0C8-42C4-A741-4BFCEF3CEB0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79" name="文字方塊 178">
          <a:extLst>
            <a:ext uri="{FF2B5EF4-FFF2-40B4-BE49-F238E27FC236}">
              <a16:creationId xmlns:a16="http://schemas.microsoft.com/office/drawing/2014/main" id="{7F5ED7D6-18D0-476B-9F9A-53F129953FA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0" name="文字方塊 179">
          <a:extLst>
            <a:ext uri="{FF2B5EF4-FFF2-40B4-BE49-F238E27FC236}">
              <a16:creationId xmlns:a16="http://schemas.microsoft.com/office/drawing/2014/main" id="{6E861BF1-2642-4B7B-8AFA-46F83D714AA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81" name="文字方塊 8">
          <a:extLst>
            <a:ext uri="{FF2B5EF4-FFF2-40B4-BE49-F238E27FC236}">
              <a16:creationId xmlns:a16="http://schemas.microsoft.com/office/drawing/2014/main" id="{A6EEA5F2-D1F1-4B9E-8362-79220CB988CE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2" name="文字方塊 181">
          <a:extLst>
            <a:ext uri="{FF2B5EF4-FFF2-40B4-BE49-F238E27FC236}">
              <a16:creationId xmlns:a16="http://schemas.microsoft.com/office/drawing/2014/main" id="{0C7BB85D-920A-42B7-ADBA-A801A114AAD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3" name="文字方塊 182">
          <a:extLst>
            <a:ext uri="{FF2B5EF4-FFF2-40B4-BE49-F238E27FC236}">
              <a16:creationId xmlns:a16="http://schemas.microsoft.com/office/drawing/2014/main" id="{18ED563E-B584-403E-88F0-35528414A13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4" name="文字方塊 183">
          <a:extLst>
            <a:ext uri="{FF2B5EF4-FFF2-40B4-BE49-F238E27FC236}">
              <a16:creationId xmlns:a16="http://schemas.microsoft.com/office/drawing/2014/main" id="{A1902C44-6619-493D-A545-D69DD9D5933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85" name="文字方塊 8">
          <a:extLst>
            <a:ext uri="{FF2B5EF4-FFF2-40B4-BE49-F238E27FC236}">
              <a16:creationId xmlns:a16="http://schemas.microsoft.com/office/drawing/2014/main" id="{F221C29C-53E5-4F84-8B75-8831E1E97CD7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6" name="文字方塊 185">
          <a:extLst>
            <a:ext uri="{FF2B5EF4-FFF2-40B4-BE49-F238E27FC236}">
              <a16:creationId xmlns:a16="http://schemas.microsoft.com/office/drawing/2014/main" id="{9A6FAFD0-388C-48F9-A6F1-E0B3DF4AB18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7" name="文字方塊 186">
          <a:extLst>
            <a:ext uri="{FF2B5EF4-FFF2-40B4-BE49-F238E27FC236}">
              <a16:creationId xmlns:a16="http://schemas.microsoft.com/office/drawing/2014/main" id="{B31434ED-33F0-4CB5-ACC6-423D694E2AE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8" name="文字方塊 187">
          <a:extLst>
            <a:ext uri="{FF2B5EF4-FFF2-40B4-BE49-F238E27FC236}">
              <a16:creationId xmlns:a16="http://schemas.microsoft.com/office/drawing/2014/main" id="{53A7A330-4876-452A-868B-99B6B6E29FF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89" name="文字方塊 8">
          <a:extLst>
            <a:ext uri="{FF2B5EF4-FFF2-40B4-BE49-F238E27FC236}">
              <a16:creationId xmlns:a16="http://schemas.microsoft.com/office/drawing/2014/main" id="{D93A0854-0884-4B33-9D25-62FCF4FA147A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90" name="文字方塊 189">
          <a:extLst>
            <a:ext uri="{FF2B5EF4-FFF2-40B4-BE49-F238E27FC236}">
              <a16:creationId xmlns:a16="http://schemas.microsoft.com/office/drawing/2014/main" id="{F982381C-5982-427D-B66A-6FDCD61D657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91" name="文字方塊 190">
          <a:extLst>
            <a:ext uri="{FF2B5EF4-FFF2-40B4-BE49-F238E27FC236}">
              <a16:creationId xmlns:a16="http://schemas.microsoft.com/office/drawing/2014/main" id="{74106902-45C3-4010-93B5-DB3C34F7B3D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92" name="文字方塊 191">
          <a:extLst>
            <a:ext uri="{FF2B5EF4-FFF2-40B4-BE49-F238E27FC236}">
              <a16:creationId xmlns:a16="http://schemas.microsoft.com/office/drawing/2014/main" id="{A829405F-026F-40D8-8916-F25E0D50403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93" name="文字方塊 8">
          <a:extLst>
            <a:ext uri="{FF2B5EF4-FFF2-40B4-BE49-F238E27FC236}">
              <a16:creationId xmlns:a16="http://schemas.microsoft.com/office/drawing/2014/main" id="{7D2E7FDD-311A-4580-9D3A-56C3FE2B3CEE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94" name="文字方塊 193">
          <a:extLst>
            <a:ext uri="{FF2B5EF4-FFF2-40B4-BE49-F238E27FC236}">
              <a16:creationId xmlns:a16="http://schemas.microsoft.com/office/drawing/2014/main" id="{E8AAB001-28F8-4684-8115-D69F446971B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95" name="文字方塊 194">
          <a:extLst>
            <a:ext uri="{FF2B5EF4-FFF2-40B4-BE49-F238E27FC236}">
              <a16:creationId xmlns:a16="http://schemas.microsoft.com/office/drawing/2014/main" id="{73ABAD05-6B56-4850-B42F-E5C89374F7C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24669750" y="1642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>
          <a:spLocks noChangeAspect="1"/>
        </xdr:cNvSpPr>
      </xdr:nvSpPr>
      <xdr:spPr>
        <a:xfrm>
          <a:off x="24669750" y="107005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twoCellAnchor editAs="oneCell">
    <xdr:from>
      <xdr:col>3</xdr:col>
      <xdr:colOff>123269</xdr:colOff>
      <xdr:row>1</xdr:row>
      <xdr:rowOff>56021</xdr:rowOff>
    </xdr:from>
    <xdr:to>
      <xdr:col>5</xdr:col>
      <xdr:colOff>669622</xdr:colOff>
      <xdr:row>4</xdr:row>
      <xdr:rowOff>64717</xdr:rowOff>
    </xdr:to>
    <xdr:sp macro="[0]!auto_length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Aspect="1"/>
        </xdr:cNvSpPr>
      </xdr:nvSpPr>
      <xdr:spPr>
        <a:xfrm>
          <a:off x="951944" y="360821"/>
          <a:ext cx="2165603" cy="551621"/>
        </a:xfrm>
        <a:prstGeom prst="rect">
          <a:avLst/>
        </a:prstGeom>
        <a:solidFill>
          <a:schemeClr val="bg1"/>
        </a:solidFill>
        <a:ln w="38100">
          <a:solidFill>
            <a:schemeClr val="accent2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2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計算長度</a:t>
          </a:r>
        </a:p>
      </xdr:txBody>
    </xdr:sp>
    <xdr:clientData/>
  </xdr:twoCellAnchor>
  <xdr:oneCellAnchor>
    <xdr:from>
      <xdr:col>13</xdr:col>
      <xdr:colOff>134475</xdr:colOff>
      <xdr:row>1</xdr:row>
      <xdr:rowOff>56021</xdr:rowOff>
    </xdr:from>
    <xdr:ext cx="2160000" cy="360000"/>
    <xdr:sp macro="[0]!auto_angle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Aspect="1"/>
        </xdr:cNvSpPr>
      </xdr:nvSpPr>
      <xdr:spPr>
        <a:xfrm>
          <a:off x="6240000" y="360821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4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計算角度</a:t>
          </a:r>
          <a:r>
            <a:rPr lang="en-US" altLang="zh-TW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(°)</a:t>
          </a:r>
          <a:endParaRPr lang="zh-TW" altLang="en-US" sz="1600" b="1">
            <a:solidFill>
              <a:schemeClr val="accent4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oneCellAnchor>
  <xdr:oneCellAnchor>
    <xdr:from>
      <xdr:col>24</xdr:col>
      <xdr:colOff>134475</xdr:colOff>
      <xdr:row>1</xdr:row>
      <xdr:rowOff>56022</xdr:rowOff>
    </xdr:from>
    <xdr:ext cx="2160000" cy="360000"/>
    <xdr:sp macro="[0]!auto_area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>
          <a:spLocks noChangeAspect="1"/>
        </xdr:cNvSpPr>
      </xdr:nvSpPr>
      <xdr:spPr>
        <a:xfrm>
          <a:off x="11793075" y="360822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6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計算面積</a:t>
          </a:r>
        </a:p>
      </xdr:txBody>
    </xdr:sp>
    <xdr:clientData/>
  </xdr:oneCellAnchor>
  <xdr:twoCellAnchor editAs="oneCell">
    <xdr:from>
      <xdr:col>6</xdr:col>
      <xdr:colOff>85169</xdr:colOff>
      <xdr:row>1</xdr:row>
      <xdr:rowOff>51539</xdr:rowOff>
    </xdr:from>
    <xdr:to>
      <xdr:col>7</xdr:col>
      <xdr:colOff>718346</xdr:colOff>
      <xdr:row>4</xdr:row>
      <xdr:rowOff>60235</xdr:rowOff>
    </xdr:to>
    <xdr:sp macro="[0]!clear_length" textlink="">
      <xdr:nvSpPr>
        <xdr:cNvPr id="7" name="矩形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/>
        </xdr:cNvSpPr>
      </xdr:nvSpPr>
      <xdr:spPr>
        <a:xfrm>
          <a:off x="3342719" y="356339"/>
          <a:ext cx="1442802" cy="551621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twoCellAnchor>
  <xdr:oneCellAnchor>
    <xdr:from>
      <xdr:col>16</xdr:col>
      <xdr:colOff>85169</xdr:colOff>
      <xdr:row>1</xdr:row>
      <xdr:rowOff>51539</xdr:rowOff>
    </xdr:from>
    <xdr:ext cx="1440000" cy="360000"/>
    <xdr:sp macro="[0]!clear_angle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/>
        </xdr:cNvSpPr>
      </xdr:nvSpPr>
      <xdr:spPr>
        <a:xfrm>
          <a:off x="8619569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27</xdr:col>
      <xdr:colOff>85169</xdr:colOff>
      <xdr:row>1</xdr:row>
      <xdr:rowOff>51539</xdr:rowOff>
    </xdr:from>
    <xdr:ext cx="1440000" cy="360000"/>
    <xdr:sp macro="[0]!clear_area" textlink="">
      <xdr:nvSpPr>
        <xdr:cNvPr id="9" name="矩形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>
          <a:spLocks/>
        </xdr:cNvSpPr>
      </xdr:nvSpPr>
      <xdr:spPr>
        <a:xfrm>
          <a:off x="14172644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42</xdr:col>
      <xdr:colOff>0</xdr:colOff>
      <xdr:row>8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6211761A-93E0-4C3D-A3C4-75FC82199534}"/>
            </a:ext>
          </a:extLst>
        </xdr:cNvPr>
        <xdr:cNvSpPr txBox="1"/>
      </xdr:nvSpPr>
      <xdr:spPr>
        <a:xfrm>
          <a:off x="7924800" y="184090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5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0E7CC83F-80F4-4A9E-9061-53E58C8E48FA}"/>
            </a:ext>
          </a:extLst>
        </xdr:cNvPr>
        <xdr:cNvSpPr txBox="1">
          <a:spLocks noChangeAspect="1"/>
        </xdr:cNvSpPr>
      </xdr:nvSpPr>
      <xdr:spPr>
        <a:xfrm>
          <a:off x="7924800" y="12510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161C6408-4A2F-4EF3-9A72-EF48E54EDFD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822ACA5A-1390-4A3D-990D-F9715C9DBD17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8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8BB8C207-B481-4C60-A1D6-5BF6AE352A0B}"/>
            </a:ext>
          </a:extLst>
        </xdr:cNvPr>
        <xdr:cNvSpPr txBox="1"/>
      </xdr:nvSpPr>
      <xdr:spPr>
        <a:xfrm>
          <a:off x="7924800" y="1896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5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760699B7-9E4A-470A-9A7B-E5EA4C767C03}"/>
            </a:ext>
          </a:extLst>
        </xdr:cNvPr>
        <xdr:cNvSpPr txBox="1">
          <a:spLocks noChangeAspect="1"/>
        </xdr:cNvSpPr>
      </xdr:nvSpPr>
      <xdr:spPr>
        <a:xfrm>
          <a:off x="7924800" y="12764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" name="文字方塊 15">
          <a:extLst>
            <a:ext uri="{FF2B5EF4-FFF2-40B4-BE49-F238E27FC236}">
              <a16:creationId xmlns:a16="http://schemas.microsoft.com/office/drawing/2014/main" id="{28E75797-380C-49AF-AAED-6A096A4C674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7" name="文字方塊 16">
          <a:extLst>
            <a:ext uri="{FF2B5EF4-FFF2-40B4-BE49-F238E27FC236}">
              <a16:creationId xmlns:a16="http://schemas.microsoft.com/office/drawing/2014/main" id="{C23ED7CD-F46A-4E7B-B4DB-E63E51BF37F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5872F93A-7ECB-47E7-87DC-31F8B9AEDD7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423CFCA8-D554-44F5-AB05-32057EEA033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0" name="文字方塊 8">
          <a:extLst>
            <a:ext uri="{FF2B5EF4-FFF2-40B4-BE49-F238E27FC236}">
              <a16:creationId xmlns:a16="http://schemas.microsoft.com/office/drawing/2014/main" id="{008B616C-B8B2-4752-9A21-51BF3E05840C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1" name="文字方塊 9">
          <a:extLst>
            <a:ext uri="{FF2B5EF4-FFF2-40B4-BE49-F238E27FC236}">
              <a16:creationId xmlns:a16="http://schemas.microsoft.com/office/drawing/2014/main" id="{7637508B-AADC-4661-8E55-4DC63F1AA88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21974160-B9AF-4B6D-B40A-D182BA398BE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641F5F7D-4B76-48B0-9F79-38DD9B71325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4" name="文字方塊 23">
          <a:extLst>
            <a:ext uri="{FF2B5EF4-FFF2-40B4-BE49-F238E27FC236}">
              <a16:creationId xmlns:a16="http://schemas.microsoft.com/office/drawing/2014/main" id="{4B335A4D-30F1-4F78-A5BD-69F31660DB3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5" name="文字方塊 24">
          <a:extLst>
            <a:ext uri="{FF2B5EF4-FFF2-40B4-BE49-F238E27FC236}">
              <a16:creationId xmlns:a16="http://schemas.microsoft.com/office/drawing/2014/main" id="{8D1A563F-490C-4ABD-B09D-BE7E084BDA7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74A29FD1-CC3C-49EA-BD53-67295AC0C2F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D296A4E3-7716-40A0-90FD-0F833C0C911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8" name="文字方塊 8">
          <a:extLst>
            <a:ext uri="{FF2B5EF4-FFF2-40B4-BE49-F238E27FC236}">
              <a16:creationId xmlns:a16="http://schemas.microsoft.com/office/drawing/2014/main" id="{E457AF46-6A28-4983-9FC1-72341FB04CFE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9" name="文字方塊 9">
          <a:extLst>
            <a:ext uri="{FF2B5EF4-FFF2-40B4-BE49-F238E27FC236}">
              <a16:creationId xmlns:a16="http://schemas.microsoft.com/office/drawing/2014/main" id="{140727F0-6724-4D97-9914-6038F373074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54B36543-0F85-407F-B6DA-E1553138FA8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4C099F63-41BE-41F6-93C6-4A090719973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2" name="文字方塊 31">
          <a:extLst>
            <a:ext uri="{FF2B5EF4-FFF2-40B4-BE49-F238E27FC236}">
              <a16:creationId xmlns:a16="http://schemas.microsoft.com/office/drawing/2014/main" id="{129435B6-946E-4772-9675-FB40A324AD5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3" name="文字方塊 32">
          <a:extLst>
            <a:ext uri="{FF2B5EF4-FFF2-40B4-BE49-F238E27FC236}">
              <a16:creationId xmlns:a16="http://schemas.microsoft.com/office/drawing/2014/main" id="{421240E2-F13B-4FFB-9FE5-A9075065B6A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312B2ECA-EB08-47E5-A25C-CD81CB3D411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98C7FF49-ADE3-4A2D-8857-66F494E7819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36" name="文字方塊 8">
          <a:extLst>
            <a:ext uri="{FF2B5EF4-FFF2-40B4-BE49-F238E27FC236}">
              <a16:creationId xmlns:a16="http://schemas.microsoft.com/office/drawing/2014/main" id="{27AC7F15-4A56-4AD7-85B6-884A6350D1C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37" name="文字方塊 9">
          <a:extLst>
            <a:ext uri="{FF2B5EF4-FFF2-40B4-BE49-F238E27FC236}">
              <a16:creationId xmlns:a16="http://schemas.microsoft.com/office/drawing/2014/main" id="{7A37ACFE-A44F-44AD-BFEA-978ECA54DA6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7C377085-FA5C-447A-9548-D14DCCD1BC9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35E15BB5-26D2-461A-9477-EF7670FED61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0" name="文字方塊 39">
          <a:extLst>
            <a:ext uri="{FF2B5EF4-FFF2-40B4-BE49-F238E27FC236}">
              <a16:creationId xmlns:a16="http://schemas.microsoft.com/office/drawing/2014/main" id="{13A09AB3-B26B-46B3-B01B-0F9163ABC12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1" name="文字方塊 40">
          <a:extLst>
            <a:ext uri="{FF2B5EF4-FFF2-40B4-BE49-F238E27FC236}">
              <a16:creationId xmlns:a16="http://schemas.microsoft.com/office/drawing/2014/main" id="{26DC4661-63E9-482E-8426-9E69FE682EB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405D3DC2-6220-45FE-9EB4-4A666E33001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EA701F69-4697-4449-98C1-A8989FC28E0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4" name="文字方塊 8">
          <a:extLst>
            <a:ext uri="{FF2B5EF4-FFF2-40B4-BE49-F238E27FC236}">
              <a16:creationId xmlns:a16="http://schemas.microsoft.com/office/drawing/2014/main" id="{F2CA63E2-EBD7-460C-A880-6CF4696BFBE3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5" name="文字方塊 9">
          <a:extLst>
            <a:ext uri="{FF2B5EF4-FFF2-40B4-BE49-F238E27FC236}">
              <a16:creationId xmlns:a16="http://schemas.microsoft.com/office/drawing/2014/main" id="{5A33174A-DE51-49FB-B8A2-2F50465579D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01BAFB4B-9CE2-45E3-8938-1AA6B727337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1F6AE400-2281-462D-8EEB-B269A36E14F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8" name="文字方塊 47">
          <a:extLst>
            <a:ext uri="{FF2B5EF4-FFF2-40B4-BE49-F238E27FC236}">
              <a16:creationId xmlns:a16="http://schemas.microsoft.com/office/drawing/2014/main" id="{40AD57E5-0C9E-4938-9850-170867CF0FF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9" name="文字方塊 48">
          <a:extLst>
            <a:ext uri="{FF2B5EF4-FFF2-40B4-BE49-F238E27FC236}">
              <a16:creationId xmlns:a16="http://schemas.microsoft.com/office/drawing/2014/main" id="{DB12658D-B9D2-47B5-A45D-4AFF0750F60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C3C408C1-DDF1-4467-AF64-BB4CCF38CB9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E13A3147-BF67-45F9-97DA-4073AEDC0C3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2" name="文字方塊 8">
          <a:extLst>
            <a:ext uri="{FF2B5EF4-FFF2-40B4-BE49-F238E27FC236}">
              <a16:creationId xmlns:a16="http://schemas.microsoft.com/office/drawing/2014/main" id="{352314DE-C9F9-44FC-AA08-7807874FE2FD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53" name="文字方塊 9">
          <a:extLst>
            <a:ext uri="{FF2B5EF4-FFF2-40B4-BE49-F238E27FC236}">
              <a16:creationId xmlns:a16="http://schemas.microsoft.com/office/drawing/2014/main" id="{727121CD-FE6D-4F17-BBE7-DF638E8A814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170CCC3D-492A-4424-A61C-60229507AC9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3CDEA615-AE7E-41CD-B757-BB535E20F01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6" name="文字方塊 55">
          <a:extLst>
            <a:ext uri="{FF2B5EF4-FFF2-40B4-BE49-F238E27FC236}">
              <a16:creationId xmlns:a16="http://schemas.microsoft.com/office/drawing/2014/main" id="{32E6E7A5-0566-49C2-8210-ED823EB2D93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7" name="文字方塊 56">
          <a:extLst>
            <a:ext uri="{FF2B5EF4-FFF2-40B4-BE49-F238E27FC236}">
              <a16:creationId xmlns:a16="http://schemas.microsoft.com/office/drawing/2014/main" id="{88B1D7A1-6D3E-413A-8EF6-58648485346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7F003D26-A015-4D5E-AAF4-F3DF16FA2EA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9" name="文字方塊 8">
          <a:extLst>
            <a:ext uri="{FF2B5EF4-FFF2-40B4-BE49-F238E27FC236}">
              <a16:creationId xmlns:a16="http://schemas.microsoft.com/office/drawing/2014/main" id="{C4B677F8-F227-40E2-A672-4A2A7405569D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0" name="文字方塊 59">
          <a:extLst>
            <a:ext uri="{FF2B5EF4-FFF2-40B4-BE49-F238E27FC236}">
              <a16:creationId xmlns:a16="http://schemas.microsoft.com/office/drawing/2014/main" id="{C1EE15A1-0232-4420-938E-AC8F5B3120D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E4061517-CFC9-4612-9BEE-240178C3476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DF389AC6-3A3C-4516-B71E-E5CE1D01D62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3" name="文字方塊 8">
          <a:extLst>
            <a:ext uri="{FF2B5EF4-FFF2-40B4-BE49-F238E27FC236}">
              <a16:creationId xmlns:a16="http://schemas.microsoft.com/office/drawing/2014/main" id="{43D92E80-695C-4823-BCB0-0570F2FF4686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4" name="文字方塊 63">
          <a:extLst>
            <a:ext uri="{FF2B5EF4-FFF2-40B4-BE49-F238E27FC236}">
              <a16:creationId xmlns:a16="http://schemas.microsoft.com/office/drawing/2014/main" id="{DF22FE86-B947-4B5D-86C0-7FA9D483913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5" name="文字方塊 64">
          <a:extLst>
            <a:ext uri="{FF2B5EF4-FFF2-40B4-BE49-F238E27FC236}">
              <a16:creationId xmlns:a16="http://schemas.microsoft.com/office/drawing/2014/main" id="{09516FA5-1EBA-423C-B442-8B2842C44AF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600904C1-5296-40B6-AF94-1256FD39FD4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7" name="文字方塊 8">
          <a:extLst>
            <a:ext uri="{FF2B5EF4-FFF2-40B4-BE49-F238E27FC236}">
              <a16:creationId xmlns:a16="http://schemas.microsoft.com/office/drawing/2014/main" id="{7F0DF0E2-7DB2-434B-9D91-5932C1C4678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8" name="文字方塊 67">
          <a:extLst>
            <a:ext uri="{FF2B5EF4-FFF2-40B4-BE49-F238E27FC236}">
              <a16:creationId xmlns:a16="http://schemas.microsoft.com/office/drawing/2014/main" id="{D33E3063-1493-419D-9562-453E4B458F5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3398DEE8-9A3B-465F-8E28-2FA9DAB840C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D03FC68D-1181-4394-B977-2E27FD30C59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1" name="文字方塊 8">
          <a:extLst>
            <a:ext uri="{FF2B5EF4-FFF2-40B4-BE49-F238E27FC236}">
              <a16:creationId xmlns:a16="http://schemas.microsoft.com/office/drawing/2014/main" id="{2012DE17-FA6E-489A-80DE-9C11035B6C39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2" name="文字方塊 71">
          <a:extLst>
            <a:ext uri="{FF2B5EF4-FFF2-40B4-BE49-F238E27FC236}">
              <a16:creationId xmlns:a16="http://schemas.microsoft.com/office/drawing/2014/main" id="{70E57C10-59DB-41BB-A3EF-91A5CA5E0DF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3" name="文字方塊 72">
          <a:extLst>
            <a:ext uri="{FF2B5EF4-FFF2-40B4-BE49-F238E27FC236}">
              <a16:creationId xmlns:a16="http://schemas.microsoft.com/office/drawing/2014/main" id="{22C30C4D-8B74-4F38-AF02-7F502C250A1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4" name="文字方塊 73">
          <a:extLst>
            <a:ext uri="{FF2B5EF4-FFF2-40B4-BE49-F238E27FC236}">
              <a16:creationId xmlns:a16="http://schemas.microsoft.com/office/drawing/2014/main" id="{DE1155D4-C005-43A4-990A-0480EBC1BAB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5" name="文字方塊 8">
          <a:extLst>
            <a:ext uri="{FF2B5EF4-FFF2-40B4-BE49-F238E27FC236}">
              <a16:creationId xmlns:a16="http://schemas.microsoft.com/office/drawing/2014/main" id="{F757AEBD-967E-46FE-B06A-3613618C291C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6" name="文字方塊 75">
          <a:extLst>
            <a:ext uri="{FF2B5EF4-FFF2-40B4-BE49-F238E27FC236}">
              <a16:creationId xmlns:a16="http://schemas.microsoft.com/office/drawing/2014/main" id="{717AA971-8025-44EB-814C-733DF94C727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5A3BDA8B-8A93-4071-BFA0-7D5F8AF17BA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8" name="文字方塊 77">
          <a:extLst>
            <a:ext uri="{FF2B5EF4-FFF2-40B4-BE49-F238E27FC236}">
              <a16:creationId xmlns:a16="http://schemas.microsoft.com/office/drawing/2014/main" id="{29E2A696-DD3B-41CA-B06A-5AAA06C21BA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9" name="文字方塊 8">
          <a:extLst>
            <a:ext uri="{FF2B5EF4-FFF2-40B4-BE49-F238E27FC236}">
              <a16:creationId xmlns:a16="http://schemas.microsoft.com/office/drawing/2014/main" id="{834BCCC5-A1F7-4353-9ADF-FAC21F75EF98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0" name="文字方塊 79">
          <a:extLst>
            <a:ext uri="{FF2B5EF4-FFF2-40B4-BE49-F238E27FC236}">
              <a16:creationId xmlns:a16="http://schemas.microsoft.com/office/drawing/2014/main" id="{55022157-9964-4B6F-82BF-3A03197EE4C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1" name="文字方塊 80">
          <a:extLst>
            <a:ext uri="{FF2B5EF4-FFF2-40B4-BE49-F238E27FC236}">
              <a16:creationId xmlns:a16="http://schemas.microsoft.com/office/drawing/2014/main" id="{3DCB668F-721D-4288-AEE0-E7EF1DE4FCC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2" name="文字方塊 81">
          <a:extLst>
            <a:ext uri="{FF2B5EF4-FFF2-40B4-BE49-F238E27FC236}">
              <a16:creationId xmlns:a16="http://schemas.microsoft.com/office/drawing/2014/main" id="{D9B67286-4613-432E-AEE4-11D0B48E53A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3" name="文字方塊 82">
          <a:extLst>
            <a:ext uri="{FF2B5EF4-FFF2-40B4-BE49-F238E27FC236}">
              <a16:creationId xmlns:a16="http://schemas.microsoft.com/office/drawing/2014/main" id="{D4821F79-9766-4393-B718-6386D99E304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4" name="文字方塊 8">
          <a:extLst>
            <a:ext uri="{FF2B5EF4-FFF2-40B4-BE49-F238E27FC236}">
              <a16:creationId xmlns:a16="http://schemas.microsoft.com/office/drawing/2014/main" id="{666C5B96-29C6-434C-AB3C-4A75EDB668C6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5" name="文字方塊 84">
          <a:extLst>
            <a:ext uri="{FF2B5EF4-FFF2-40B4-BE49-F238E27FC236}">
              <a16:creationId xmlns:a16="http://schemas.microsoft.com/office/drawing/2014/main" id="{28CC34A5-F448-4B29-89BF-EA06786DA6A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6" name="文字方塊 85">
          <a:extLst>
            <a:ext uri="{FF2B5EF4-FFF2-40B4-BE49-F238E27FC236}">
              <a16:creationId xmlns:a16="http://schemas.microsoft.com/office/drawing/2014/main" id="{3CB0D92E-E8C7-494B-9388-12451AD78DF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7" name="文字方塊 86">
          <a:extLst>
            <a:ext uri="{FF2B5EF4-FFF2-40B4-BE49-F238E27FC236}">
              <a16:creationId xmlns:a16="http://schemas.microsoft.com/office/drawing/2014/main" id="{1D689054-8163-4C20-9BF2-05A2376DF2F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8" name="文字方塊 8">
          <a:extLst>
            <a:ext uri="{FF2B5EF4-FFF2-40B4-BE49-F238E27FC236}">
              <a16:creationId xmlns:a16="http://schemas.microsoft.com/office/drawing/2014/main" id="{03EC6265-278C-43C0-B4F1-D5DEACBEA803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9" name="文字方塊 88">
          <a:extLst>
            <a:ext uri="{FF2B5EF4-FFF2-40B4-BE49-F238E27FC236}">
              <a16:creationId xmlns:a16="http://schemas.microsoft.com/office/drawing/2014/main" id="{D8D891C0-7C58-4887-BE79-5ACD35D2845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0" name="文字方塊 89">
          <a:extLst>
            <a:ext uri="{FF2B5EF4-FFF2-40B4-BE49-F238E27FC236}">
              <a16:creationId xmlns:a16="http://schemas.microsoft.com/office/drawing/2014/main" id="{0E109A62-745A-43B8-BD54-2FC524CDFF6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1" name="文字方塊 90">
          <a:extLst>
            <a:ext uri="{FF2B5EF4-FFF2-40B4-BE49-F238E27FC236}">
              <a16:creationId xmlns:a16="http://schemas.microsoft.com/office/drawing/2014/main" id="{42696EB7-088B-4E8D-B178-2F0CEE77A31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92" name="文字方塊 8">
          <a:extLst>
            <a:ext uri="{FF2B5EF4-FFF2-40B4-BE49-F238E27FC236}">
              <a16:creationId xmlns:a16="http://schemas.microsoft.com/office/drawing/2014/main" id="{DA4FE5FB-D59C-4CCF-BFEE-25D3C87C90B9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3" name="文字方塊 92">
          <a:extLst>
            <a:ext uri="{FF2B5EF4-FFF2-40B4-BE49-F238E27FC236}">
              <a16:creationId xmlns:a16="http://schemas.microsoft.com/office/drawing/2014/main" id="{E1758EE1-8B9C-45AC-9B33-18AFC19CDF0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4" name="文字方塊 93">
          <a:extLst>
            <a:ext uri="{FF2B5EF4-FFF2-40B4-BE49-F238E27FC236}">
              <a16:creationId xmlns:a16="http://schemas.microsoft.com/office/drawing/2014/main" id="{A6100901-6D14-4F48-BE09-160F526E355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5" name="文字方塊 94">
          <a:extLst>
            <a:ext uri="{FF2B5EF4-FFF2-40B4-BE49-F238E27FC236}">
              <a16:creationId xmlns:a16="http://schemas.microsoft.com/office/drawing/2014/main" id="{547C7916-4099-41EB-BF5B-B114E366689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96" name="文字方塊 8">
          <a:extLst>
            <a:ext uri="{FF2B5EF4-FFF2-40B4-BE49-F238E27FC236}">
              <a16:creationId xmlns:a16="http://schemas.microsoft.com/office/drawing/2014/main" id="{86AE2E0E-2E5D-4012-8900-909BDBC5EC58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7" name="文字方塊 96">
          <a:extLst>
            <a:ext uri="{FF2B5EF4-FFF2-40B4-BE49-F238E27FC236}">
              <a16:creationId xmlns:a16="http://schemas.microsoft.com/office/drawing/2014/main" id="{E3CD400D-53CB-4B46-85D1-4BC6480D4BA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8" name="文字方塊 97">
          <a:extLst>
            <a:ext uri="{FF2B5EF4-FFF2-40B4-BE49-F238E27FC236}">
              <a16:creationId xmlns:a16="http://schemas.microsoft.com/office/drawing/2014/main" id="{65A6984C-EFD6-4C6B-ACB4-7D15CED1FB1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9" name="文字方塊 98">
          <a:extLst>
            <a:ext uri="{FF2B5EF4-FFF2-40B4-BE49-F238E27FC236}">
              <a16:creationId xmlns:a16="http://schemas.microsoft.com/office/drawing/2014/main" id="{A7ACDC17-A6B5-4488-AA07-AA8BE0FC53A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0" name="文字方塊 8">
          <a:extLst>
            <a:ext uri="{FF2B5EF4-FFF2-40B4-BE49-F238E27FC236}">
              <a16:creationId xmlns:a16="http://schemas.microsoft.com/office/drawing/2014/main" id="{A83A9F62-BA09-4E93-8209-2C10C7859904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1" name="文字方塊 100">
          <a:extLst>
            <a:ext uri="{FF2B5EF4-FFF2-40B4-BE49-F238E27FC236}">
              <a16:creationId xmlns:a16="http://schemas.microsoft.com/office/drawing/2014/main" id="{7F7D941D-1EAA-43C8-A7B3-AF45B279244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2" name="文字方塊 101">
          <a:extLst>
            <a:ext uri="{FF2B5EF4-FFF2-40B4-BE49-F238E27FC236}">
              <a16:creationId xmlns:a16="http://schemas.microsoft.com/office/drawing/2014/main" id="{11EA6F2D-FE8C-4B07-AD3F-539DB34ABB3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3" name="文字方塊 102">
          <a:extLst>
            <a:ext uri="{FF2B5EF4-FFF2-40B4-BE49-F238E27FC236}">
              <a16:creationId xmlns:a16="http://schemas.microsoft.com/office/drawing/2014/main" id="{EA9A6165-D6A9-46EB-B453-A9478930E47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4" name="文字方塊 8">
          <a:extLst>
            <a:ext uri="{FF2B5EF4-FFF2-40B4-BE49-F238E27FC236}">
              <a16:creationId xmlns:a16="http://schemas.microsoft.com/office/drawing/2014/main" id="{BE7A22ED-D911-4BC6-9AFF-D9DB0056EC31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5" name="文字方塊 104">
          <a:extLst>
            <a:ext uri="{FF2B5EF4-FFF2-40B4-BE49-F238E27FC236}">
              <a16:creationId xmlns:a16="http://schemas.microsoft.com/office/drawing/2014/main" id="{7DCD9D85-D77E-4CE0-A502-F9C71BB9661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6" name="文字方塊 105">
          <a:extLst>
            <a:ext uri="{FF2B5EF4-FFF2-40B4-BE49-F238E27FC236}">
              <a16:creationId xmlns:a16="http://schemas.microsoft.com/office/drawing/2014/main" id="{B9F0D8B1-8B44-489C-B72F-CB7836D9C0B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7" name="文字方塊 106">
          <a:extLst>
            <a:ext uri="{FF2B5EF4-FFF2-40B4-BE49-F238E27FC236}">
              <a16:creationId xmlns:a16="http://schemas.microsoft.com/office/drawing/2014/main" id="{297E2AB5-0D8C-435D-BD76-8A478DB5787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8" name="文字方塊 8">
          <a:extLst>
            <a:ext uri="{FF2B5EF4-FFF2-40B4-BE49-F238E27FC236}">
              <a16:creationId xmlns:a16="http://schemas.microsoft.com/office/drawing/2014/main" id="{DBB7DE75-95B5-4AA9-A44F-9976ED1988FD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9" name="文字方塊 108">
          <a:extLst>
            <a:ext uri="{FF2B5EF4-FFF2-40B4-BE49-F238E27FC236}">
              <a16:creationId xmlns:a16="http://schemas.microsoft.com/office/drawing/2014/main" id="{13D65AA6-C04B-49A5-B47A-F1FE170A527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0" name="文字方塊 109">
          <a:extLst>
            <a:ext uri="{FF2B5EF4-FFF2-40B4-BE49-F238E27FC236}">
              <a16:creationId xmlns:a16="http://schemas.microsoft.com/office/drawing/2014/main" id="{DE0442B5-9464-4C6F-984A-0A89D147438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24669750" y="1642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>
          <a:spLocks noChangeAspect="1"/>
        </xdr:cNvSpPr>
      </xdr:nvSpPr>
      <xdr:spPr>
        <a:xfrm>
          <a:off x="24669750" y="107005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twoCellAnchor editAs="oneCell">
    <xdr:from>
      <xdr:col>3</xdr:col>
      <xdr:colOff>123269</xdr:colOff>
      <xdr:row>1</xdr:row>
      <xdr:rowOff>56021</xdr:rowOff>
    </xdr:from>
    <xdr:to>
      <xdr:col>5</xdr:col>
      <xdr:colOff>669622</xdr:colOff>
      <xdr:row>4</xdr:row>
      <xdr:rowOff>64717</xdr:rowOff>
    </xdr:to>
    <xdr:sp macro="[0]!auto_length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spect="1"/>
        </xdr:cNvSpPr>
      </xdr:nvSpPr>
      <xdr:spPr>
        <a:xfrm>
          <a:off x="951944" y="360821"/>
          <a:ext cx="2165603" cy="551621"/>
        </a:xfrm>
        <a:prstGeom prst="rect">
          <a:avLst/>
        </a:prstGeom>
        <a:solidFill>
          <a:schemeClr val="bg1"/>
        </a:solidFill>
        <a:ln w="38100">
          <a:solidFill>
            <a:schemeClr val="accent2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2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計算長度</a:t>
          </a:r>
        </a:p>
      </xdr:txBody>
    </xdr:sp>
    <xdr:clientData/>
  </xdr:twoCellAnchor>
  <xdr:oneCellAnchor>
    <xdr:from>
      <xdr:col>13</xdr:col>
      <xdr:colOff>134475</xdr:colOff>
      <xdr:row>1</xdr:row>
      <xdr:rowOff>56021</xdr:rowOff>
    </xdr:from>
    <xdr:ext cx="2160000" cy="360000"/>
    <xdr:sp macro="[0]!auto_angle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 noChangeAspect="1"/>
        </xdr:cNvSpPr>
      </xdr:nvSpPr>
      <xdr:spPr>
        <a:xfrm>
          <a:off x="6240000" y="360821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4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計算角度</a:t>
          </a:r>
          <a:r>
            <a:rPr lang="en-US" altLang="zh-TW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(°)</a:t>
          </a:r>
          <a:endParaRPr lang="zh-TW" altLang="en-US" sz="1600" b="1">
            <a:solidFill>
              <a:schemeClr val="accent4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oneCellAnchor>
  <xdr:oneCellAnchor>
    <xdr:from>
      <xdr:col>24</xdr:col>
      <xdr:colOff>134475</xdr:colOff>
      <xdr:row>1</xdr:row>
      <xdr:rowOff>56022</xdr:rowOff>
    </xdr:from>
    <xdr:ext cx="2160000" cy="360000"/>
    <xdr:sp macro="[0]!auto_area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>
          <a:spLocks noChangeAspect="1"/>
        </xdr:cNvSpPr>
      </xdr:nvSpPr>
      <xdr:spPr>
        <a:xfrm>
          <a:off x="11793075" y="360822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6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計算面積</a:t>
          </a:r>
        </a:p>
      </xdr:txBody>
    </xdr:sp>
    <xdr:clientData/>
  </xdr:oneCellAnchor>
  <xdr:twoCellAnchor editAs="oneCell">
    <xdr:from>
      <xdr:col>6</xdr:col>
      <xdr:colOff>85169</xdr:colOff>
      <xdr:row>1</xdr:row>
      <xdr:rowOff>51539</xdr:rowOff>
    </xdr:from>
    <xdr:to>
      <xdr:col>7</xdr:col>
      <xdr:colOff>718346</xdr:colOff>
      <xdr:row>4</xdr:row>
      <xdr:rowOff>60235</xdr:rowOff>
    </xdr:to>
    <xdr:sp macro="[0]!clear_length" textlink="">
      <xdr:nvSpPr>
        <xdr:cNvPr id="7" name="矩形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>
          <a:spLocks/>
        </xdr:cNvSpPr>
      </xdr:nvSpPr>
      <xdr:spPr>
        <a:xfrm>
          <a:off x="3342719" y="356339"/>
          <a:ext cx="1442802" cy="551621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twoCellAnchor>
  <xdr:oneCellAnchor>
    <xdr:from>
      <xdr:col>16</xdr:col>
      <xdr:colOff>85169</xdr:colOff>
      <xdr:row>1</xdr:row>
      <xdr:rowOff>51539</xdr:rowOff>
    </xdr:from>
    <xdr:ext cx="1440000" cy="360000"/>
    <xdr:sp macro="[0]!clear_angle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>
          <a:spLocks/>
        </xdr:cNvSpPr>
      </xdr:nvSpPr>
      <xdr:spPr>
        <a:xfrm>
          <a:off x="8619569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27</xdr:col>
      <xdr:colOff>85169</xdr:colOff>
      <xdr:row>1</xdr:row>
      <xdr:rowOff>51539</xdr:rowOff>
    </xdr:from>
    <xdr:ext cx="1440000" cy="360000"/>
    <xdr:sp macro="[0]!clear_area" textlink="">
      <xdr:nvSpPr>
        <xdr:cNvPr id="9" name="矩形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>
          <a:spLocks/>
        </xdr:cNvSpPr>
      </xdr:nvSpPr>
      <xdr:spPr>
        <a:xfrm>
          <a:off x="14172644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366291DD-515C-4558-940C-9550A674624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2361FFB8-29F9-4FA9-8368-2F58712D006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2" name="文字方塊 8">
          <a:extLst>
            <a:ext uri="{FF2B5EF4-FFF2-40B4-BE49-F238E27FC236}">
              <a16:creationId xmlns:a16="http://schemas.microsoft.com/office/drawing/2014/main" id="{38688F1D-0AE3-4F97-B306-60FA0A493F40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3" name="文字方塊 9">
          <a:extLst>
            <a:ext uri="{FF2B5EF4-FFF2-40B4-BE49-F238E27FC236}">
              <a16:creationId xmlns:a16="http://schemas.microsoft.com/office/drawing/2014/main" id="{905A4685-2062-4FBF-8DC9-E83680D3270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E17E5217-A048-4DEC-A38B-91EE8E1994B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0700CDBF-221D-4A1B-A620-2FBC0428AC1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" name="文字方塊 15">
          <a:extLst>
            <a:ext uri="{FF2B5EF4-FFF2-40B4-BE49-F238E27FC236}">
              <a16:creationId xmlns:a16="http://schemas.microsoft.com/office/drawing/2014/main" id="{DED2FBB1-E0CB-417D-8DC3-AEE727AB549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7" name="文字方塊 16">
          <a:extLst>
            <a:ext uri="{FF2B5EF4-FFF2-40B4-BE49-F238E27FC236}">
              <a16:creationId xmlns:a16="http://schemas.microsoft.com/office/drawing/2014/main" id="{123B2C59-F495-4C93-871D-CEEE9576ECE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53A4D979-D73F-43F3-A542-22797B26A68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F83AA8EA-2E7C-4525-9FF9-652D3728F97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0" name="文字方塊 8">
          <a:extLst>
            <a:ext uri="{FF2B5EF4-FFF2-40B4-BE49-F238E27FC236}">
              <a16:creationId xmlns:a16="http://schemas.microsoft.com/office/drawing/2014/main" id="{6206EF79-3738-4323-996B-1069FF4FFA9A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1" name="文字方塊 9">
          <a:extLst>
            <a:ext uri="{FF2B5EF4-FFF2-40B4-BE49-F238E27FC236}">
              <a16:creationId xmlns:a16="http://schemas.microsoft.com/office/drawing/2014/main" id="{784AAD66-8437-469F-B231-7FDBCF69CC6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6A2C7E2A-D1D2-4538-A1FA-16BFFA58D2E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D35D3199-5444-4971-9654-A2962AD8F85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4" name="文字方塊 23">
          <a:extLst>
            <a:ext uri="{FF2B5EF4-FFF2-40B4-BE49-F238E27FC236}">
              <a16:creationId xmlns:a16="http://schemas.microsoft.com/office/drawing/2014/main" id="{683DFD60-5F82-4964-AAAD-2F05B64FB6B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5" name="文字方塊 24">
          <a:extLst>
            <a:ext uri="{FF2B5EF4-FFF2-40B4-BE49-F238E27FC236}">
              <a16:creationId xmlns:a16="http://schemas.microsoft.com/office/drawing/2014/main" id="{CB2E960C-3D7C-4F4F-967D-1493C577D2C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AEB3CB5B-CE75-4C5E-9706-DF6F1147B04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ECEEC4D9-0ECF-4908-8239-E49FA8219D6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8" name="文字方塊 8">
          <a:extLst>
            <a:ext uri="{FF2B5EF4-FFF2-40B4-BE49-F238E27FC236}">
              <a16:creationId xmlns:a16="http://schemas.microsoft.com/office/drawing/2014/main" id="{C5E5710F-17FC-4F3E-91F4-EB8B22BDC60A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9" name="文字方塊 9">
          <a:extLst>
            <a:ext uri="{FF2B5EF4-FFF2-40B4-BE49-F238E27FC236}">
              <a16:creationId xmlns:a16="http://schemas.microsoft.com/office/drawing/2014/main" id="{C7B422DA-C64E-4D7A-9768-0638B697DEC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BED4EF97-42D9-44D6-AF88-F796A5CD0AC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FE1DAF30-599E-43DC-A27E-695E37AC16B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2" name="文字方塊 31">
          <a:extLst>
            <a:ext uri="{FF2B5EF4-FFF2-40B4-BE49-F238E27FC236}">
              <a16:creationId xmlns:a16="http://schemas.microsoft.com/office/drawing/2014/main" id="{9783D2EB-D616-4138-BFF4-6FF0ED7A33F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3" name="文字方塊 32">
          <a:extLst>
            <a:ext uri="{FF2B5EF4-FFF2-40B4-BE49-F238E27FC236}">
              <a16:creationId xmlns:a16="http://schemas.microsoft.com/office/drawing/2014/main" id="{A5BC1D54-0AF7-430A-902A-1DEC1531B74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B0CE6DE2-A9B3-4643-9FA9-4BD04B6FA50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0970B7F4-B9BB-427A-BAF1-981C80176FD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36" name="文字方塊 8">
          <a:extLst>
            <a:ext uri="{FF2B5EF4-FFF2-40B4-BE49-F238E27FC236}">
              <a16:creationId xmlns:a16="http://schemas.microsoft.com/office/drawing/2014/main" id="{BAE9FB33-38B8-4277-B3E9-8911D7793A03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37" name="文字方塊 9">
          <a:extLst>
            <a:ext uri="{FF2B5EF4-FFF2-40B4-BE49-F238E27FC236}">
              <a16:creationId xmlns:a16="http://schemas.microsoft.com/office/drawing/2014/main" id="{B9919D90-E4D2-4110-A600-68015681D2D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40BCDE9E-6E85-4ACA-831C-76A758A04CF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3CF008EE-D743-4437-9A3F-EB7E6367854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0" name="文字方塊 39">
          <a:extLst>
            <a:ext uri="{FF2B5EF4-FFF2-40B4-BE49-F238E27FC236}">
              <a16:creationId xmlns:a16="http://schemas.microsoft.com/office/drawing/2014/main" id="{3EFD82C3-0771-4404-8F93-BF64D0379D0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1" name="文字方塊 40">
          <a:extLst>
            <a:ext uri="{FF2B5EF4-FFF2-40B4-BE49-F238E27FC236}">
              <a16:creationId xmlns:a16="http://schemas.microsoft.com/office/drawing/2014/main" id="{C363933E-0D9E-4E2A-8488-EB6B7727071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72256B0D-8EC2-4BDF-ACD9-46AB4D8C289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EA561DB7-4787-4B57-BE90-D498FD1036C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4" name="文字方塊 8">
          <a:extLst>
            <a:ext uri="{FF2B5EF4-FFF2-40B4-BE49-F238E27FC236}">
              <a16:creationId xmlns:a16="http://schemas.microsoft.com/office/drawing/2014/main" id="{C719CD70-EE79-40C4-BED0-93E612AC43BB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5" name="文字方塊 9">
          <a:extLst>
            <a:ext uri="{FF2B5EF4-FFF2-40B4-BE49-F238E27FC236}">
              <a16:creationId xmlns:a16="http://schemas.microsoft.com/office/drawing/2014/main" id="{AEF8D339-C826-4D71-BFCD-E79E3FC5ADC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52A8199D-F43C-4324-A962-303BBAFB2DB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77D96187-DE53-48A6-9079-A38E609E66D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8" name="文字方塊 47">
          <a:extLst>
            <a:ext uri="{FF2B5EF4-FFF2-40B4-BE49-F238E27FC236}">
              <a16:creationId xmlns:a16="http://schemas.microsoft.com/office/drawing/2014/main" id="{E1269633-6A9B-4AFC-B527-DA850B970C2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9" name="文字方塊 48">
          <a:extLst>
            <a:ext uri="{FF2B5EF4-FFF2-40B4-BE49-F238E27FC236}">
              <a16:creationId xmlns:a16="http://schemas.microsoft.com/office/drawing/2014/main" id="{FBDBDEF4-9709-4567-82B4-3D12AB54901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78CD8157-6E0E-4AF5-B8B8-CF5621B964F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1" name="文字方塊 8">
          <a:extLst>
            <a:ext uri="{FF2B5EF4-FFF2-40B4-BE49-F238E27FC236}">
              <a16:creationId xmlns:a16="http://schemas.microsoft.com/office/drawing/2014/main" id="{59520AF4-00A9-424E-B5EE-0AB5F8DC1FB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2" name="文字方塊 51">
          <a:extLst>
            <a:ext uri="{FF2B5EF4-FFF2-40B4-BE49-F238E27FC236}">
              <a16:creationId xmlns:a16="http://schemas.microsoft.com/office/drawing/2014/main" id="{1A1B91A2-4786-4201-85E3-2CABAA74723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3" name="文字方塊 52">
          <a:extLst>
            <a:ext uri="{FF2B5EF4-FFF2-40B4-BE49-F238E27FC236}">
              <a16:creationId xmlns:a16="http://schemas.microsoft.com/office/drawing/2014/main" id="{3D756DD2-7CC5-44F7-902E-06B11B37ADE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E73F3C0C-BCA2-4A6A-8130-7F9D6A9180B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5" name="文字方塊 8">
          <a:extLst>
            <a:ext uri="{FF2B5EF4-FFF2-40B4-BE49-F238E27FC236}">
              <a16:creationId xmlns:a16="http://schemas.microsoft.com/office/drawing/2014/main" id="{B7D9BE0C-69B3-4589-85CB-AFB146C9D2FC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6" name="文字方塊 55">
          <a:extLst>
            <a:ext uri="{FF2B5EF4-FFF2-40B4-BE49-F238E27FC236}">
              <a16:creationId xmlns:a16="http://schemas.microsoft.com/office/drawing/2014/main" id="{6232296A-EFAF-478B-B11D-34DFCBB9B17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7" name="文字方塊 56">
          <a:extLst>
            <a:ext uri="{FF2B5EF4-FFF2-40B4-BE49-F238E27FC236}">
              <a16:creationId xmlns:a16="http://schemas.microsoft.com/office/drawing/2014/main" id="{A2B9E22D-40B3-4DA7-A39F-283B8A9E88C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D371DBC9-BC2E-49A0-BF48-04260014A88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9" name="文字方塊 8">
          <a:extLst>
            <a:ext uri="{FF2B5EF4-FFF2-40B4-BE49-F238E27FC236}">
              <a16:creationId xmlns:a16="http://schemas.microsoft.com/office/drawing/2014/main" id="{C4E2D12E-966C-4EF7-9529-45B26B5C09D5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0" name="文字方塊 59">
          <a:extLst>
            <a:ext uri="{FF2B5EF4-FFF2-40B4-BE49-F238E27FC236}">
              <a16:creationId xmlns:a16="http://schemas.microsoft.com/office/drawing/2014/main" id="{2FF40F19-6127-4A9B-B5C5-03233E3DF64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2E8D0647-37C7-4551-9A68-EBF71DAA8D8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0BD8C198-47B3-4FF0-8B95-131713A3C50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3" name="文字方塊 8">
          <a:extLst>
            <a:ext uri="{FF2B5EF4-FFF2-40B4-BE49-F238E27FC236}">
              <a16:creationId xmlns:a16="http://schemas.microsoft.com/office/drawing/2014/main" id="{419C943A-3D5F-4BCC-ABAB-F1F323F6B109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4" name="文字方塊 63">
          <a:extLst>
            <a:ext uri="{FF2B5EF4-FFF2-40B4-BE49-F238E27FC236}">
              <a16:creationId xmlns:a16="http://schemas.microsoft.com/office/drawing/2014/main" id="{05185A62-B677-4C86-A64A-E5B89D852CB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5" name="文字方塊 64">
          <a:extLst>
            <a:ext uri="{FF2B5EF4-FFF2-40B4-BE49-F238E27FC236}">
              <a16:creationId xmlns:a16="http://schemas.microsoft.com/office/drawing/2014/main" id="{51EBADF5-B84A-4507-ABF3-2BFF5C283ED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6211174E-3C89-44F0-BAE3-B56612B4957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7" name="文字方塊 8">
          <a:extLst>
            <a:ext uri="{FF2B5EF4-FFF2-40B4-BE49-F238E27FC236}">
              <a16:creationId xmlns:a16="http://schemas.microsoft.com/office/drawing/2014/main" id="{C7C2A3E4-BBF9-416D-8C66-D97B64F10460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8" name="文字方塊 67">
          <a:extLst>
            <a:ext uri="{FF2B5EF4-FFF2-40B4-BE49-F238E27FC236}">
              <a16:creationId xmlns:a16="http://schemas.microsoft.com/office/drawing/2014/main" id="{0EE6DB84-9015-442E-B1E2-22CFEDBF8BC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E691ACB5-621B-47BD-A3A2-6E742A7F784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9EDA708E-0ABA-495E-A1C5-F84C6AC2628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1" name="文字方塊 8">
          <a:extLst>
            <a:ext uri="{FF2B5EF4-FFF2-40B4-BE49-F238E27FC236}">
              <a16:creationId xmlns:a16="http://schemas.microsoft.com/office/drawing/2014/main" id="{5855B239-AD41-42D1-BE3F-BF31D2C8CC8C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2" name="文字方塊 71">
          <a:extLst>
            <a:ext uri="{FF2B5EF4-FFF2-40B4-BE49-F238E27FC236}">
              <a16:creationId xmlns:a16="http://schemas.microsoft.com/office/drawing/2014/main" id="{E1999D75-B896-4997-A784-096AA6BDCD8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3" name="文字方塊 72">
          <a:extLst>
            <a:ext uri="{FF2B5EF4-FFF2-40B4-BE49-F238E27FC236}">
              <a16:creationId xmlns:a16="http://schemas.microsoft.com/office/drawing/2014/main" id="{D81B9A0A-2CA7-4859-864A-390566A52BE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4" name="文字方塊 73">
          <a:extLst>
            <a:ext uri="{FF2B5EF4-FFF2-40B4-BE49-F238E27FC236}">
              <a16:creationId xmlns:a16="http://schemas.microsoft.com/office/drawing/2014/main" id="{17F92E16-CA4F-44F2-8050-9CECC62D47B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5" name="文字方塊 74">
          <a:extLst>
            <a:ext uri="{FF2B5EF4-FFF2-40B4-BE49-F238E27FC236}">
              <a16:creationId xmlns:a16="http://schemas.microsoft.com/office/drawing/2014/main" id="{B56F1EAC-CC19-474D-852E-EA76330C580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6" name="文字方塊 8">
          <a:extLst>
            <a:ext uri="{FF2B5EF4-FFF2-40B4-BE49-F238E27FC236}">
              <a16:creationId xmlns:a16="http://schemas.microsoft.com/office/drawing/2014/main" id="{D7147ED7-7239-49FC-A3FD-173B58816F42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99E34BAD-8A09-4EC1-8BBE-1840C80B0E3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8" name="文字方塊 77">
          <a:extLst>
            <a:ext uri="{FF2B5EF4-FFF2-40B4-BE49-F238E27FC236}">
              <a16:creationId xmlns:a16="http://schemas.microsoft.com/office/drawing/2014/main" id="{63827C33-7CE3-4DEB-AD27-9F5E38B7C7D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9" name="文字方塊 78">
          <a:extLst>
            <a:ext uri="{FF2B5EF4-FFF2-40B4-BE49-F238E27FC236}">
              <a16:creationId xmlns:a16="http://schemas.microsoft.com/office/drawing/2014/main" id="{BF7CAC47-4964-4AE1-9205-655BA50FE20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0" name="文字方塊 8">
          <a:extLst>
            <a:ext uri="{FF2B5EF4-FFF2-40B4-BE49-F238E27FC236}">
              <a16:creationId xmlns:a16="http://schemas.microsoft.com/office/drawing/2014/main" id="{7E78D141-6162-4050-B42B-747A8459DB1E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1" name="文字方塊 80">
          <a:extLst>
            <a:ext uri="{FF2B5EF4-FFF2-40B4-BE49-F238E27FC236}">
              <a16:creationId xmlns:a16="http://schemas.microsoft.com/office/drawing/2014/main" id="{18D0D3E4-5F6D-40C2-9142-92C1A53B691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2" name="文字方塊 81">
          <a:extLst>
            <a:ext uri="{FF2B5EF4-FFF2-40B4-BE49-F238E27FC236}">
              <a16:creationId xmlns:a16="http://schemas.microsoft.com/office/drawing/2014/main" id="{6634F6F1-10CF-4A21-B3E5-60E2A21D016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3" name="文字方塊 82">
          <a:extLst>
            <a:ext uri="{FF2B5EF4-FFF2-40B4-BE49-F238E27FC236}">
              <a16:creationId xmlns:a16="http://schemas.microsoft.com/office/drawing/2014/main" id="{017D17D3-EFEE-4F33-8741-136A0E40D03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4" name="文字方塊 8">
          <a:extLst>
            <a:ext uri="{FF2B5EF4-FFF2-40B4-BE49-F238E27FC236}">
              <a16:creationId xmlns:a16="http://schemas.microsoft.com/office/drawing/2014/main" id="{B052AC99-E686-4C22-ADD9-CA2845F0B92A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5" name="文字方塊 84">
          <a:extLst>
            <a:ext uri="{FF2B5EF4-FFF2-40B4-BE49-F238E27FC236}">
              <a16:creationId xmlns:a16="http://schemas.microsoft.com/office/drawing/2014/main" id="{044C308D-16C7-4A0A-A7AF-3B0CF8BC247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6" name="文字方塊 85">
          <a:extLst>
            <a:ext uri="{FF2B5EF4-FFF2-40B4-BE49-F238E27FC236}">
              <a16:creationId xmlns:a16="http://schemas.microsoft.com/office/drawing/2014/main" id="{B98C2902-064D-4047-BE42-E37C3D6234B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7" name="文字方塊 86">
          <a:extLst>
            <a:ext uri="{FF2B5EF4-FFF2-40B4-BE49-F238E27FC236}">
              <a16:creationId xmlns:a16="http://schemas.microsoft.com/office/drawing/2014/main" id="{AFF63A7D-FA44-4803-A254-745B003872C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8" name="文字方塊 8">
          <a:extLst>
            <a:ext uri="{FF2B5EF4-FFF2-40B4-BE49-F238E27FC236}">
              <a16:creationId xmlns:a16="http://schemas.microsoft.com/office/drawing/2014/main" id="{3CBE05A6-63D9-493A-9DCB-F861A937C7BB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9" name="文字方塊 88">
          <a:extLst>
            <a:ext uri="{FF2B5EF4-FFF2-40B4-BE49-F238E27FC236}">
              <a16:creationId xmlns:a16="http://schemas.microsoft.com/office/drawing/2014/main" id="{FD00770F-7A77-4DA8-8081-0A5BF0E8790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0" name="文字方塊 89">
          <a:extLst>
            <a:ext uri="{FF2B5EF4-FFF2-40B4-BE49-F238E27FC236}">
              <a16:creationId xmlns:a16="http://schemas.microsoft.com/office/drawing/2014/main" id="{911770E2-63B1-45E9-8D23-0EA874CD82A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1" name="文字方塊 90">
          <a:extLst>
            <a:ext uri="{FF2B5EF4-FFF2-40B4-BE49-F238E27FC236}">
              <a16:creationId xmlns:a16="http://schemas.microsoft.com/office/drawing/2014/main" id="{774976E2-B689-4E48-A921-57FF61AEA56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92" name="文字方塊 8">
          <a:extLst>
            <a:ext uri="{FF2B5EF4-FFF2-40B4-BE49-F238E27FC236}">
              <a16:creationId xmlns:a16="http://schemas.microsoft.com/office/drawing/2014/main" id="{925AA9F6-97AB-4FD5-A706-8AF2A448F4D5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3" name="文字方塊 92">
          <a:extLst>
            <a:ext uri="{FF2B5EF4-FFF2-40B4-BE49-F238E27FC236}">
              <a16:creationId xmlns:a16="http://schemas.microsoft.com/office/drawing/2014/main" id="{B6875C4B-C7D0-4E20-9A8A-76CE812DB24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4" name="文字方塊 93">
          <a:extLst>
            <a:ext uri="{FF2B5EF4-FFF2-40B4-BE49-F238E27FC236}">
              <a16:creationId xmlns:a16="http://schemas.microsoft.com/office/drawing/2014/main" id="{D2118A07-81A0-45D7-B0AC-E3B3C9FF990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5" name="文字方塊 94">
          <a:extLst>
            <a:ext uri="{FF2B5EF4-FFF2-40B4-BE49-F238E27FC236}">
              <a16:creationId xmlns:a16="http://schemas.microsoft.com/office/drawing/2014/main" id="{592A75CF-CF2F-4BC1-8AC2-057690B5758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96" name="文字方塊 8">
          <a:extLst>
            <a:ext uri="{FF2B5EF4-FFF2-40B4-BE49-F238E27FC236}">
              <a16:creationId xmlns:a16="http://schemas.microsoft.com/office/drawing/2014/main" id="{0EAC0D6B-6AAA-4B04-AF92-16B27FF0A8FC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7" name="文字方塊 96">
          <a:extLst>
            <a:ext uri="{FF2B5EF4-FFF2-40B4-BE49-F238E27FC236}">
              <a16:creationId xmlns:a16="http://schemas.microsoft.com/office/drawing/2014/main" id="{A8E95A44-495A-45C9-B6CC-858C9DBEAA9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8" name="文字方塊 97">
          <a:extLst>
            <a:ext uri="{FF2B5EF4-FFF2-40B4-BE49-F238E27FC236}">
              <a16:creationId xmlns:a16="http://schemas.microsoft.com/office/drawing/2014/main" id="{C416C43A-4EE5-49CC-84A7-095300B1906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9" name="文字方塊 98">
          <a:extLst>
            <a:ext uri="{FF2B5EF4-FFF2-40B4-BE49-F238E27FC236}">
              <a16:creationId xmlns:a16="http://schemas.microsoft.com/office/drawing/2014/main" id="{A3BDE772-FF53-4EA5-A141-373E70BD45C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0" name="文字方塊 8">
          <a:extLst>
            <a:ext uri="{FF2B5EF4-FFF2-40B4-BE49-F238E27FC236}">
              <a16:creationId xmlns:a16="http://schemas.microsoft.com/office/drawing/2014/main" id="{AEA19661-447D-409E-9C0D-2E5333434DF4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1" name="文字方塊 100">
          <a:extLst>
            <a:ext uri="{FF2B5EF4-FFF2-40B4-BE49-F238E27FC236}">
              <a16:creationId xmlns:a16="http://schemas.microsoft.com/office/drawing/2014/main" id="{1081F312-F180-4130-B240-F19DA2F5D97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2" name="文字方塊 101">
          <a:extLst>
            <a:ext uri="{FF2B5EF4-FFF2-40B4-BE49-F238E27FC236}">
              <a16:creationId xmlns:a16="http://schemas.microsoft.com/office/drawing/2014/main" id="{5BA51563-EDB0-43D9-B447-DC7454E8D9C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24669750" y="1642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>
          <a:spLocks noChangeAspect="1"/>
        </xdr:cNvSpPr>
      </xdr:nvSpPr>
      <xdr:spPr>
        <a:xfrm>
          <a:off x="24669750" y="107005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twoCellAnchor editAs="oneCell">
    <xdr:from>
      <xdr:col>3</xdr:col>
      <xdr:colOff>123269</xdr:colOff>
      <xdr:row>1</xdr:row>
      <xdr:rowOff>56021</xdr:rowOff>
    </xdr:from>
    <xdr:to>
      <xdr:col>5</xdr:col>
      <xdr:colOff>669622</xdr:colOff>
      <xdr:row>4</xdr:row>
      <xdr:rowOff>64717</xdr:rowOff>
    </xdr:to>
    <xdr:sp macro="[0]!auto_length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Aspect="1"/>
        </xdr:cNvSpPr>
      </xdr:nvSpPr>
      <xdr:spPr>
        <a:xfrm>
          <a:off x="951944" y="360821"/>
          <a:ext cx="2165603" cy="551621"/>
        </a:xfrm>
        <a:prstGeom prst="rect">
          <a:avLst/>
        </a:prstGeom>
        <a:solidFill>
          <a:schemeClr val="bg1"/>
        </a:solidFill>
        <a:ln w="38100">
          <a:solidFill>
            <a:schemeClr val="accent2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2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計算長度</a:t>
          </a:r>
        </a:p>
      </xdr:txBody>
    </xdr:sp>
    <xdr:clientData/>
  </xdr:twoCellAnchor>
  <xdr:oneCellAnchor>
    <xdr:from>
      <xdr:col>13</xdr:col>
      <xdr:colOff>134475</xdr:colOff>
      <xdr:row>1</xdr:row>
      <xdr:rowOff>56021</xdr:rowOff>
    </xdr:from>
    <xdr:ext cx="2160000" cy="360000"/>
    <xdr:sp macro="[0]!auto_angle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Aspect="1"/>
        </xdr:cNvSpPr>
      </xdr:nvSpPr>
      <xdr:spPr>
        <a:xfrm>
          <a:off x="6240000" y="360821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4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計算角度</a:t>
          </a:r>
          <a:r>
            <a:rPr lang="en-US" altLang="zh-TW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(°)</a:t>
          </a:r>
          <a:endParaRPr lang="zh-TW" altLang="en-US" sz="1600" b="1">
            <a:solidFill>
              <a:schemeClr val="accent4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oneCellAnchor>
  <xdr:oneCellAnchor>
    <xdr:from>
      <xdr:col>24</xdr:col>
      <xdr:colOff>134475</xdr:colOff>
      <xdr:row>1</xdr:row>
      <xdr:rowOff>56022</xdr:rowOff>
    </xdr:from>
    <xdr:ext cx="2160000" cy="360000"/>
    <xdr:sp macro="[0]!auto_area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Aspect="1"/>
        </xdr:cNvSpPr>
      </xdr:nvSpPr>
      <xdr:spPr>
        <a:xfrm>
          <a:off x="11793075" y="360822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6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計算面積</a:t>
          </a:r>
        </a:p>
      </xdr:txBody>
    </xdr:sp>
    <xdr:clientData/>
  </xdr:oneCellAnchor>
  <xdr:twoCellAnchor editAs="oneCell">
    <xdr:from>
      <xdr:col>6</xdr:col>
      <xdr:colOff>85169</xdr:colOff>
      <xdr:row>1</xdr:row>
      <xdr:rowOff>51539</xdr:rowOff>
    </xdr:from>
    <xdr:to>
      <xdr:col>7</xdr:col>
      <xdr:colOff>718346</xdr:colOff>
      <xdr:row>4</xdr:row>
      <xdr:rowOff>60235</xdr:rowOff>
    </xdr:to>
    <xdr:sp macro="[0]!clear_length" textlink="">
      <xdr:nvSpPr>
        <xdr:cNvPr id="7" name="矩形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>
          <a:spLocks/>
        </xdr:cNvSpPr>
      </xdr:nvSpPr>
      <xdr:spPr>
        <a:xfrm>
          <a:off x="3342719" y="356339"/>
          <a:ext cx="1442802" cy="551621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twoCellAnchor>
  <xdr:oneCellAnchor>
    <xdr:from>
      <xdr:col>16</xdr:col>
      <xdr:colOff>85169</xdr:colOff>
      <xdr:row>1</xdr:row>
      <xdr:rowOff>51539</xdr:rowOff>
    </xdr:from>
    <xdr:ext cx="1440000" cy="360000"/>
    <xdr:sp macro="[0]!clear_angle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/>
        </xdr:cNvSpPr>
      </xdr:nvSpPr>
      <xdr:spPr>
        <a:xfrm>
          <a:off x="8619569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27</xdr:col>
      <xdr:colOff>85169</xdr:colOff>
      <xdr:row>1</xdr:row>
      <xdr:rowOff>51539</xdr:rowOff>
    </xdr:from>
    <xdr:ext cx="1440000" cy="360000"/>
    <xdr:sp macro="[0]!clear_area" textlink="">
      <xdr:nvSpPr>
        <xdr:cNvPr id="9" name="矩形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/>
        </xdr:cNvSpPr>
      </xdr:nvSpPr>
      <xdr:spPr>
        <a:xfrm>
          <a:off x="14172644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F3FE7A61-92F2-45F6-A647-FB2C42C3A8A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2DCEF839-5DB6-49B8-BFF6-9DA067E762A9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D67F9E37-2289-4441-81FA-C306C7C4392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813BF94A-1CA8-4706-BA2E-4A246F9721D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A6B39318-6C64-451F-A48A-72A348C1A57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40CE4968-D9C6-4C6A-B03C-F57F7E44FF2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6" name="文字方塊 8">
          <a:extLst>
            <a:ext uri="{FF2B5EF4-FFF2-40B4-BE49-F238E27FC236}">
              <a16:creationId xmlns:a16="http://schemas.microsoft.com/office/drawing/2014/main" id="{062A3DB6-368B-4DFF-8E8D-1024553E9576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7" name="文字方塊 9">
          <a:extLst>
            <a:ext uri="{FF2B5EF4-FFF2-40B4-BE49-F238E27FC236}">
              <a16:creationId xmlns:a16="http://schemas.microsoft.com/office/drawing/2014/main" id="{CCFFB0BC-3268-4927-A8E5-EA90CF78E23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B2D09540-6A2E-4337-B99F-0FD7E3CC3CF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602E7E29-ABAB-49BB-AE3E-EE7E9411BE2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C930FC52-AE86-4D01-A1F1-07F7124F5D7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286D0516-5B33-4628-9385-E644D5F0EB8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13C927CA-65DC-49D0-8385-A671F8057BA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3FAABBAC-F406-4DCA-929C-4C7DD22E50B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4" name="文字方塊 8">
          <a:extLst>
            <a:ext uri="{FF2B5EF4-FFF2-40B4-BE49-F238E27FC236}">
              <a16:creationId xmlns:a16="http://schemas.microsoft.com/office/drawing/2014/main" id="{C920D9DB-8CBE-4FBE-8ECF-8CD4210A45F5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5" name="文字方塊 9">
          <a:extLst>
            <a:ext uri="{FF2B5EF4-FFF2-40B4-BE49-F238E27FC236}">
              <a16:creationId xmlns:a16="http://schemas.microsoft.com/office/drawing/2014/main" id="{3181D240-2D23-4ACB-AF94-0BF9A70CD4E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705C0533-BB4E-4542-B4FE-850C3DD8771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EC3F3FC3-45CC-41B7-91F4-4BE5CF6DD72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0EA55094-3933-4763-B283-B4AE3A80A7B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73E2E0E6-801D-4B51-B773-E48E43CBB3D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8EC3CCD9-14CF-4566-A015-DAAB21525DB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19BE2E98-03C2-4728-BC8A-E2C1ACF0139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32" name="文字方塊 8">
          <a:extLst>
            <a:ext uri="{FF2B5EF4-FFF2-40B4-BE49-F238E27FC236}">
              <a16:creationId xmlns:a16="http://schemas.microsoft.com/office/drawing/2014/main" id="{FF1F89AD-4989-44F6-A126-07E739DEE9D6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33" name="文字方塊 9">
          <a:extLst>
            <a:ext uri="{FF2B5EF4-FFF2-40B4-BE49-F238E27FC236}">
              <a16:creationId xmlns:a16="http://schemas.microsoft.com/office/drawing/2014/main" id="{B9F12CCB-84C6-428E-AF53-72807A3A8B4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F58D0C85-C9E8-4E9D-930A-D461322689F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C632C5FC-6C7F-4438-8B85-DDDD76CFFD6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6" name="文字方塊 35">
          <a:extLst>
            <a:ext uri="{FF2B5EF4-FFF2-40B4-BE49-F238E27FC236}">
              <a16:creationId xmlns:a16="http://schemas.microsoft.com/office/drawing/2014/main" id="{C085A9EA-DA43-4D57-8B45-EED3E28EEA3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0C77BFC5-6BF4-4614-9889-4BAAAFDAF07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5FDCB616-7EB3-4137-BB5C-B6CA38AB74E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08E0CC43-5B4D-49CE-BAC2-8963AB96A29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0" name="文字方塊 8">
          <a:extLst>
            <a:ext uri="{FF2B5EF4-FFF2-40B4-BE49-F238E27FC236}">
              <a16:creationId xmlns:a16="http://schemas.microsoft.com/office/drawing/2014/main" id="{F7FFE690-D050-497B-BAD5-EA964D7CE829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1" name="文字方塊 9">
          <a:extLst>
            <a:ext uri="{FF2B5EF4-FFF2-40B4-BE49-F238E27FC236}">
              <a16:creationId xmlns:a16="http://schemas.microsoft.com/office/drawing/2014/main" id="{C01B6365-4E89-4E5F-B8DD-07AD058CD88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BBE19568-B523-40C4-8535-0214E1AE6AD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BFBC1238-60A2-4DF0-9488-E6019CC63AF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018C266F-910C-4FC9-B4C6-1D429B42E58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5" name="文字方塊 44">
          <a:extLst>
            <a:ext uri="{FF2B5EF4-FFF2-40B4-BE49-F238E27FC236}">
              <a16:creationId xmlns:a16="http://schemas.microsoft.com/office/drawing/2014/main" id="{1A7C1704-84BE-41C4-97AE-68D59555D8C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FD233FF6-0E47-4C2C-930C-CBADF562AE3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DCCD5712-4287-461E-A75D-2D298FAC649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8" name="文字方塊 8">
          <a:extLst>
            <a:ext uri="{FF2B5EF4-FFF2-40B4-BE49-F238E27FC236}">
              <a16:creationId xmlns:a16="http://schemas.microsoft.com/office/drawing/2014/main" id="{0EB58FB9-5164-41A2-961E-AD7402E65872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9" name="文字方塊 9">
          <a:extLst>
            <a:ext uri="{FF2B5EF4-FFF2-40B4-BE49-F238E27FC236}">
              <a16:creationId xmlns:a16="http://schemas.microsoft.com/office/drawing/2014/main" id="{C9500CCF-1E12-4E61-A213-2B557B05F1C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9392A88E-8D90-4683-8ADD-AA60671716B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7DB55D7E-2D6B-406F-95C9-82E1CDB3F78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2" name="文字方塊 51">
          <a:extLst>
            <a:ext uri="{FF2B5EF4-FFF2-40B4-BE49-F238E27FC236}">
              <a16:creationId xmlns:a16="http://schemas.microsoft.com/office/drawing/2014/main" id="{E7B8BC76-6AF6-4F85-BA0B-31206539937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3" name="文字方塊 52">
          <a:extLst>
            <a:ext uri="{FF2B5EF4-FFF2-40B4-BE49-F238E27FC236}">
              <a16:creationId xmlns:a16="http://schemas.microsoft.com/office/drawing/2014/main" id="{CCEED30B-77C9-45B1-8940-0B2BDBF0367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10E8ED28-A1B3-4989-8B7B-C8DA32C1AC2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5" name="文字方塊 8">
          <a:extLst>
            <a:ext uri="{FF2B5EF4-FFF2-40B4-BE49-F238E27FC236}">
              <a16:creationId xmlns:a16="http://schemas.microsoft.com/office/drawing/2014/main" id="{39DE1388-B05C-477A-B995-3F50F945E7C9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6" name="文字方塊 55">
          <a:extLst>
            <a:ext uri="{FF2B5EF4-FFF2-40B4-BE49-F238E27FC236}">
              <a16:creationId xmlns:a16="http://schemas.microsoft.com/office/drawing/2014/main" id="{46E10958-9ED3-410D-A09C-00E4F7EF9DB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7" name="文字方塊 56">
          <a:extLst>
            <a:ext uri="{FF2B5EF4-FFF2-40B4-BE49-F238E27FC236}">
              <a16:creationId xmlns:a16="http://schemas.microsoft.com/office/drawing/2014/main" id="{A54FD55F-93CF-48ED-ACF0-F3DE2C0D85E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3F013D59-C775-435C-B014-559A6FA7661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9" name="文字方塊 8">
          <a:extLst>
            <a:ext uri="{FF2B5EF4-FFF2-40B4-BE49-F238E27FC236}">
              <a16:creationId xmlns:a16="http://schemas.microsoft.com/office/drawing/2014/main" id="{E6C5C075-3CED-4F3C-AD9B-A00E23711461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0" name="文字方塊 59">
          <a:extLst>
            <a:ext uri="{FF2B5EF4-FFF2-40B4-BE49-F238E27FC236}">
              <a16:creationId xmlns:a16="http://schemas.microsoft.com/office/drawing/2014/main" id="{3E42B911-350B-4A46-8183-A8ACBC1677C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3FA09E08-348B-4DC6-A1BC-50E439C208D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FB8D6D7A-22C6-4CF2-AC52-DECDBE0F9A8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3" name="文字方塊 8">
          <a:extLst>
            <a:ext uri="{FF2B5EF4-FFF2-40B4-BE49-F238E27FC236}">
              <a16:creationId xmlns:a16="http://schemas.microsoft.com/office/drawing/2014/main" id="{845C77B1-4B44-4120-95EF-6D61678C9362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4" name="文字方塊 63">
          <a:extLst>
            <a:ext uri="{FF2B5EF4-FFF2-40B4-BE49-F238E27FC236}">
              <a16:creationId xmlns:a16="http://schemas.microsoft.com/office/drawing/2014/main" id="{57530C4C-5E8C-489C-8A95-E4D7B97F961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5" name="文字方塊 64">
          <a:extLst>
            <a:ext uri="{FF2B5EF4-FFF2-40B4-BE49-F238E27FC236}">
              <a16:creationId xmlns:a16="http://schemas.microsoft.com/office/drawing/2014/main" id="{C8DE62ED-A84F-447F-976C-AFB20DE5423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6CD8336D-A5F6-41B3-B1BE-091F954BA9F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7" name="文字方塊 8">
          <a:extLst>
            <a:ext uri="{FF2B5EF4-FFF2-40B4-BE49-F238E27FC236}">
              <a16:creationId xmlns:a16="http://schemas.microsoft.com/office/drawing/2014/main" id="{9F6A7ACE-E4BD-452A-8453-19075F158872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8" name="文字方塊 67">
          <a:extLst>
            <a:ext uri="{FF2B5EF4-FFF2-40B4-BE49-F238E27FC236}">
              <a16:creationId xmlns:a16="http://schemas.microsoft.com/office/drawing/2014/main" id="{F2AFF31E-FB3A-4ECB-B984-14707FDF9C3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D62ABEA5-B2F9-4A8B-B40C-AC78CD9DFE4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B1239B1A-DEDF-4B79-92D0-305566CE65E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1" name="文字方塊 8">
          <a:extLst>
            <a:ext uri="{FF2B5EF4-FFF2-40B4-BE49-F238E27FC236}">
              <a16:creationId xmlns:a16="http://schemas.microsoft.com/office/drawing/2014/main" id="{D63F2E09-0F99-4D7D-A225-A28541165D4B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2" name="文字方塊 71">
          <a:extLst>
            <a:ext uri="{FF2B5EF4-FFF2-40B4-BE49-F238E27FC236}">
              <a16:creationId xmlns:a16="http://schemas.microsoft.com/office/drawing/2014/main" id="{A2B0D3D7-9B3B-417B-A4FF-7FECE4FB244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3" name="文字方塊 72">
          <a:extLst>
            <a:ext uri="{FF2B5EF4-FFF2-40B4-BE49-F238E27FC236}">
              <a16:creationId xmlns:a16="http://schemas.microsoft.com/office/drawing/2014/main" id="{03198C40-3CB0-4E31-97B5-1F15D69F6AB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4" name="文字方塊 73">
          <a:extLst>
            <a:ext uri="{FF2B5EF4-FFF2-40B4-BE49-F238E27FC236}">
              <a16:creationId xmlns:a16="http://schemas.microsoft.com/office/drawing/2014/main" id="{9D8727EB-C929-4143-BCB2-7D618AF4A5C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5" name="文字方塊 8">
          <a:extLst>
            <a:ext uri="{FF2B5EF4-FFF2-40B4-BE49-F238E27FC236}">
              <a16:creationId xmlns:a16="http://schemas.microsoft.com/office/drawing/2014/main" id="{71892536-0EF1-492B-980E-0C497E3AF02A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6" name="文字方塊 75">
          <a:extLst>
            <a:ext uri="{FF2B5EF4-FFF2-40B4-BE49-F238E27FC236}">
              <a16:creationId xmlns:a16="http://schemas.microsoft.com/office/drawing/2014/main" id="{4F28FA23-658D-47CA-87CC-B0FA9C9A9AE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446F60F3-7CDC-4BD0-A2AC-767A85902E8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8" name="文字方塊 77">
          <a:extLst>
            <a:ext uri="{FF2B5EF4-FFF2-40B4-BE49-F238E27FC236}">
              <a16:creationId xmlns:a16="http://schemas.microsoft.com/office/drawing/2014/main" id="{BADA8D01-F903-47BC-B18A-8C42A6CC416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9" name="文字方塊 78">
          <a:extLst>
            <a:ext uri="{FF2B5EF4-FFF2-40B4-BE49-F238E27FC236}">
              <a16:creationId xmlns:a16="http://schemas.microsoft.com/office/drawing/2014/main" id="{9F515612-120A-43BC-AFB6-D6E57B1B208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0" name="文字方塊 8">
          <a:extLst>
            <a:ext uri="{FF2B5EF4-FFF2-40B4-BE49-F238E27FC236}">
              <a16:creationId xmlns:a16="http://schemas.microsoft.com/office/drawing/2014/main" id="{32948A10-4647-42A9-8CAE-51F1EA2281F3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1" name="文字方塊 80">
          <a:extLst>
            <a:ext uri="{FF2B5EF4-FFF2-40B4-BE49-F238E27FC236}">
              <a16:creationId xmlns:a16="http://schemas.microsoft.com/office/drawing/2014/main" id="{503A2211-EECE-4257-A25D-45D501C9C12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2" name="文字方塊 81">
          <a:extLst>
            <a:ext uri="{FF2B5EF4-FFF2-40B4-BE49-F238E27FC236}">
              <a16:creationId xmlns:a16="http://schemas.microsoft.com/office/drawing/2014/main" id="{04487059-1242-4059-A5C7-CA966CF108C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3" name="文字方塊 82">
          <a:extLst>
            <a:ext uri="{FF2B5EF4-FFF2-40B4-BE49-F238E27FC236}">
              <a16:creationId xmlns:a16="http://schemas.microsoft.com/office/drawing/2014/main" id="{EE9E8EB3-A62D-458E-B9B9-218D1ECACDF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4" name="文字方塊 8">
          <a:extLst>
            <a:ext uri="{FF2B5EF4-FFF2-40B4-BE49-F238E27FC236}">
              <a16:creationId xmlns:a16="http://schemas.microsoft.com/office/drawing/2014/main" id="{BB17FE50-1C44-41F8-B6E0-64675F867491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5" name="文字方塊 84">
          <a:extLst>
            <a:ext uri="{FF2B5EF4-FFF2-40B4-BE49-F238E27FC236}">
              <a16:creationId xmlns:a16="http://schemas.microsoft.com/office/drawing/2014/main" id="{FF21EB33-FCFB-42CD-855F-5F360CB9939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6" name="文字方塊 85">
          <a:extLst>
            <a:ext uri="{FF2B5EF4-FFF2-40B4-BE49-F238E27FC236}">
              <a16:creationId xmlns:a16="http://schemas.microsoft.com/office/drawing/2014/main" id="{BA2028E7-A2AC-427B-B320-F2C8549DD7A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7" name="文字方塊 86">
          <a:extLst>
            <a:ext uri="{FF2B5EF4-FFF2-40B4-BE49-F238E27FC236}">
              <a16:creationId xmlns:a16="http://schemas.microsoft.com/office/drawing/2014/main" id="{C59A7D9D-B562-41E8-B3CC-093AD6778EF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8" name="文字方塊 8">
          <a:extLst>
            <a:ext uri="{FF2B5EF4-FFF2-40B4-BE49-F238E27FC236}">
              <a16:creationId xmlns:a16="http://schemas.microsoft.com/office/drawing/2014/main" id="{4A07BD62-4FDF-4333-975C-C64F91380406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9" name="文字方塊 88">
          <a:extLst>
            <a:ext uri="{FF2B5EF4-FFF2-40B4-BE49-F238E27FC236}">
              <a16:creationId xmlns:a16="http://schemas.microsoft.com/office/drawing/2014/main" id="{6C383842-45AF-4BD3-A59F-A12A4DFE5A7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0" name="文字方塊 89">
          <a:extLst>
            <a:ext uri="{FF2B5EF4-FFF2-40B4-BE49-F238E27FC236}">
              <a16:creationId xmlns:a16="http://schemas.microsoft.com/office/drawing/2014/main" id="{BCBB1AF3-D260-4522-927A-5864022070B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1" name="文字方塊 90">
          <a:extLst>
            <a:ext uri="{FF2B5EF4-FFF2-40B4-BE49-F238E27FC236}">
              <a16:creationId xmlns:a16="http://schemas.microsoft.com/office/drawing/2014/main" id="{B5AC1C88-FE0C-42C2-934F-15D2AB21E58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92" name="文字方塊 8">
          <a:extLst>
            <a:ext uri="{FF2B5EF4-FFF2-40B4-BE49-F238E27FC236}">
              <a16:creationId xmlns:a16="http://schemas.microsoft.com/office/drawing/2014/main" id="{EEE887AB-0BF1-475D-BA2A-3BA442EAB54B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3" name="文字方塊 92">
          <a:extLst>
            <a:ext uri="{FF2B5EF4-FFF2-40B4-BE49-F238E27FC236}">
              <a16:creationId xmlns:a16="http://schemas.microsoft.com/office/drawing/2014/main" id="{AE3CB6EF-C015-4A0F-AF46-DE8F1A3553C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4" name="文字方塊 93">
          <a:extLst>
            <a:ext uri="{FF2B5EF4-FFF2-40B4-BE49-F238E27FC236}">
              <a16:creationId xmlns:a16="http://schemas.microsoft.com/office/drawing/2014/main" id="{6CF39806-2A27-4A69-A464-7568ECDFC77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5" name="文字方塊 94">
          <a:extLst>
            <a:ext uri="{FF2B5EF4-FFF2-40B4-BE49-F238E27FC236}">
              <a16:creationId xmlns:a16="http://schemas.microsoft.com/office/drawing/2014/main" id="{94E1FF3F-4A1F-45EC-AC6B-0C7421FD471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96" name="文字方塊 8">
          <a:extLst>
            <a:ext uri="{FF2B5EF4-FFF2-40B4-BE49-F238E27FC236}">
              <a16:creationId xmlns:a16="http://schemas.microsoft.com/office/drawing/2014/main" id="{1C35994F-8F13-485C-83C0-4B5455019965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7" name="文字方塊 96">
          <a:extLst>
            <a:ext uri="{FF2B5EF4-FFF2-40B4-BE49-F238E27FC236}">
              <a16:creationId xmlns:a16="http://schemas.microsoft.com/office/drawing/2014/main" id="{9E86ECA3-CEC5-47FA-AD72-1BFCC4760BB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8" name="文字方塊 97">
          <a:extLst>
            <a:ext uri="{FF2B5EF4-FFF2-40B4-BE49-F238E27FC236}">
              <a16:creationId xmlns:a16="http://schemas.microsoft.com/office/drawing/2014/main" id="{CD792B6B-4BF4-4789-84AD-BADD972A583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9" name="文字方塊 98">
          <a:extLst>
            <a:ext uri="{FF2B5EF4-FFF2-40B4-BE49-F238E27FC236}">
              <a16:creationId xmlns:a16="http://schemas.microsoft.com/office/drawing/2014/main" id="{EF8F2762-71C9-4778-A689-8716EAB6AD0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0" name="文字方塊 8">
          <a:extLst>
            <a:ext uri="{FF2B5EF4-FFF2-40B4-BE49-F238E27FC236}">
              <a16:creationId xmlns:a16="http://schemas.microsoft.com/office/drawing/2014/main" id="{BC627319-6B72-4729-960C-5308D58E7D63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1" name="文字方塊 100">
          <a:extLst>
            <a:ext uri="{FF2B5EF4-FFF2-40B4-BE49-F238E27FC236}">
              <a16:creationId xmlns:a16="http://schemas.microsoft.com/office/drawing/2014/main" id="{84DAD335-076C-497A-9DE2-B21333A1659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2" name="文字方塊 101">
          <a:extLst>
            <a:ext uri="{FF2B5EF4-FFF2-40B4-BE49-F238E27FC236}">
              <a16:creationId xmlns:a16="http://schemas.microsoft.com/office/drawing/2014/main" id="{43627E71-C183-435A-A18B-EDF5D968723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3" name="文字方塊 102">
          <a:extLst>
            <a:ext uri="{FF2B5EF4-FFF2-40B4-BE49-F238E27FC236}">
              <a16:creationId xmlns:a16="http://schemas.microsoft.com/office/drawing/2014/main" id="{D7C78B8A-1677-40BE-B641-3B4C4E671B7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4" name="文字方塊 8">
          <a:extLst>
            <a:ext uri="{FF2B5EF4-FFF2-40B4-BE49-F238E27FC236}">
              <a16:creationId xmlns:a16="http://schemas.microsoft.com/office/drawing/2014/main" id="{42C36526-B7BC-4C5C-8B5D-7DCB6F1C7377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5" name="文字方塊 104">
          <a:extLst>
            <a:ext uri="{FF2B5EF4-FFF2-40B4-BE49-F238E27FC236}">
              <a16:creationId xmlns:a16="http://schemas.microsoft.com/office/drawing/2014/main" id="{42C771FA-A8F8-4C64-BFAB-98A69183B73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6" name="文字方塊 105">
          <a:extLst>
            <a:ext uri="{FF2B5EF4-FFF2-40B4-BE49-F238E27FC236}">
              <a16:creationId xmlns:a16="http://schemas.microsoft.com/office/drawing/2014/main" id="{F0628FC8-22BF-4308-B930-6DC1185615C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7" name="文字方塊 106">
          <a:extLst>
            <a:ext uri="{FF2B5EF4-FFF2-40B4-BE49-F238E27FC236}">
              <a16:creationId xmlns:a16="http://schemas.microsoft.com/office/drawing/2014/main" id="{B9E34178-4192-47A0-AA88-BE7BD86BDCC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08" name="文字方塊 107">
          <a:extLst>
            <a:ext uri="{FF2B5EF4-FFF2-40B4-BE49-F238E27FC236}">
              <a16:creationId xmlns:a16="http://schemas.microsoft.com/office/drawing/2014/main" id="{5C927C18-2702-41EB-8C1A-EDCCAB1EAB3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9" name="文字方塊 108">
          <a:extLst>
            <a:ext uri="{FF2B5EF4-FFF2-40B4-BE49-F238E27FC236}">
              <a16:creationId xmlns:a16="http://schemas.microsoft.com/office/drawing/2014/main" id="{9186E1DF-8C80-49C5-BF23-3C5BDF546A9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0" name="文字方塊 109">
          <a:extLst>
            <a:ext uri="{FF2B5EF4-FFF2-40B4-BE49-F238E27FC236}">
              <a16:creationId xmlns:a16="http://schemas.microsoft.com/office/drawing/2014/main" id="{42A24CA5-FF4C-49BC-BDCB-AB85A1455FC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11" name="文字方塊 8">
          <a:extLst>
            <a:ext uri="{FF2B5EF4-FFF2-40B4-BE49-F238E27FC236}">
              <a16:creationId xmlns:a16="http://schemas.microsoft.com/office/drawing/2014/main" id="{F99DE7CA-293B-42D7-899C-0FAA90B00662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12" name="文字方塊 9">
          <a:extLst>
            <a:ext uri="{FF2B5EF4-FFF2-40B4-BE49-F238E27FC236}">
              <a16:creationId xmlns:a16="http://schemas.microsoft.com/office/drawing/2014/main" id="{15414743-4AB5-412D-BBD7-1033BEC6FD5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3" name="文字方塊 112">
          <a:extLst>
            <a:ext uri="{FF2B5EF4-FFF2-40B4-BE49-F238E27FC236}">
              <a16:creationId xmlns:a16="http://schemas.microsoft.com/office/drawing/2014/main" id="{EF075FD2-B446-4307-89E9-930BFE951D3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4" name="文字方塊 113">
          <a:extLst>
            <a:ext uri="{FF2B5EF4-FFF2-40B4-BE49-F238E27FC236}">
              <a16:creationId xmlns:a16="http://schemas.microsoft.com/office/drawing/2014/main" id="{CCFB7DE2-5B5C-4834-BBFF-615110B1591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5" name="文字方塊 114">
          <a:extLst>
            <a:ext uri="{FF2B5EF4-FFF2-40B4-BE49-F238E27FC236}">
              <a16:creationId xmlns:a16="http://schemas.microsoft.com/office/drawing/2014/main" id="{CEBCBF8C-E23B-41F1-9161-E06F0886F7C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6" name="文字方塊 115">
          <a:extLst>
            <a:ext uri="{FF2B5EF4-FFF2-40B4-BE49-F238E27FC236}">
              <a16:creationId xmlns:a16="http://schemas.microsoft.com/office/drawing/2014/main" id="{C93BD12E-BC9F-4914-B196-32095FD1606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7" name="文字方塊 116">
          <a:extLst>
            <a:ext uri="{FF2B5EF4-FFF2-40B4-BE49-F238E27FC236}">
              <a16:creationId xmlns:a16="http://schemas.microsoft.com/office/drawing/2014/main" id="{6CCBDB8D-AF8A-4A12-BF96-71AF8CF2E39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8" name="文字方塊 117">
          <a:extLst>
            <a:ext uri="{FF2B5EF4-FFF2-40B4-BE49-F238E27FC236}">
              <a16:creationId xmlns:a16="http://schemas.microsoft.com/office/drawing/2014/main" id="{6C88CD97-61DF-4C53-BD69-51ABD6F243E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19" name="文字方塊 8">
          <a:extLst>
            <a:ext uri="{FF2B5EF4-FFF2-40B4-BE49-F238E27FC236}">
              <a16:creationId xmlns:a16="http://schemas.microsoft.com/office/drawing/2014/main" id="{1101D0D8-A4FA-4B66-B98D-2F905B902C94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20" name="文字方塊 9">
          <a:extLst>
            <a:ext uri="{FF2B5EF4-FFF2-40B4-BE49-F238E27FC236}">
              <a16:creationId xmlns:a16="http://schemas.microsoft.com/office/drawing/2014/main" id="{648F4098-66CE-491A-ADF0-4D5380C1D50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1" name="文字方塊 120">
          <a:extLst>
            <a:ext uri="{FF2B5EF4-FFF2-40B4-BE49-F238E27FC236}">
              <a16:creationId xmlns:a16="http://schemas.microsoft.com/office/drawing/2014/main" id="{FBEA72EE-2A32-4204-A230-30403017023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22" name="文字方塊 121">
          <a:extLst>
            <a:ext uri="{FF2B5EF4-FFF2-40B4-BE49-F238E27FC236}">
              <a16:creationId xmlns:a16="http://schemas.microsoft.com/office/drawing/2014/main" id="{C691636D-2090-420E-A1F7-08AC6EB8CF8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3" name="文字方塊 122">
          <a:extLst>
            <a:ext uri="{FF2B5EF4-FFF2-40B4-BE49-F238E27FC236}">
              <a16:creationId xmlns:a16="http://schemas.microsoft.com/office/drawing/2014/main" id="{2A6668C2-CE29-480B-B6F5-05637F835EF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24" name="文字方塊 123">
          <a:extLst>
            <a:ext uri="{FF2B5EF4-FFF2-40B4-BE49-F238E27FC236}">
              <a16:creationId xmlns:a16="http://schemas.microsoft.com/office/drawing/2014/main" id="{58A83D59-C6E4-4624-B254-8F5F0DBDC16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5" name="文字方塊 124">
          <a:extLst>
            <a:ext uri="{FF2B5EF4-FFF2-40B4-BE49-F238E27FC236}">
              <a16:creationId xmlns:a16="http://schemas.microsoft.com/office/drawing/2014/main" id="{0BA3CF6B-5221-46F3-B80C-FD450F32A46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26" name="文字方塊 125">
          <a:extLst>
            <a:ext uri="{FF2B5EF4-FFF2-40B4-BE49-F238E27FC236}">
              <a16:creationId xmlns:a16="http://schemas.microsoft.com/office/drawing/2014/main" id="{792C2BFF-240F-4574-B5B6-AF9391E4357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27" name="文字方塊 8">
          <a:extLst>
            <a:ext uri="{FF2B5EF4-FFF2-40B4-BE49-F238E27FC236}">
              <a16:creationId xmlns:a16="http://schemas.microsoft.com/office/drawing/2014/main" id="{526E6C28-2619-4DDA-BB31-F84EAC7F9B8C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28" name="文字方塊 9">
          <a:extLst>
            <a:ext uri="{FF2B5EF4-FFF2-40B4-BE49-F238E27FC236}">
              <a16:creationId xmlns:a16="http://schemas.microsoft.com/office/drawing/2014/main" id="{2700A8F9-91A6-4990-9FFD-C3DA9ECD0EB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9" name="文字方塊 128">
          <a:extLst>
            <a:ext uri="{FF2B5EF4-FFF2-40B4-BE49-F238E27FC236}">
              <a16:creationId xmlns:a16="http://schemas.microsoft.com/office/drawing/2014/main" id="{7266D6A6-175F-40E5-9AF1-518ECDEB4AA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30" name="文字方塊 129">
          <a:extLst>
            <a:ext uri="{FF2B5EF4-FFF2-40B4-BE49-F238E27FC236}">
              <a16:creationId xmlns:a16="http://schemas.microsoft.com/office/drawing/2014/main" id="{79B214D4-B633-47E9-904F-DF6DEBD0024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1" name="文字方塊 130">
          <a:extLst>
            <a:ext uri="{FF2B5EF4-FFF2-40B4-BE49-F238E27FC236}">
              <a16:creationId xmlns:a16="http://schemas.microsoft.com/office/drawing/2014/main" id="{F2B8B384-C045-4702-AC07-AD8F8554A53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32" name="文字方塊 131">
          <a:extLst>
            <a:ext uri="{FF2B5EF4-FFF2-40B4-BE49-F238E27FC236}">
              <a16:creationId xmlns:a16="http://schemas.microsoft.com/office/drawing/2014/main" id="{C197B8F4-A0E1-4592-9E12-0DEAD79A4E0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3" name="文字方塊 132">
          <a:extLst>
            <a:ext uri="{FF2B5EF4-FFF2-40B4-BE49-F238E27FC236}">
              <a16:creationId xmlns:a16="http://schemas.microsoft.com/office/drawing/2014/main" id="{43C73FA5-091B-4F58-BBED-01C4155398E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34" name="文字方塊 133">
          <a:extLst>
            <a:ext uri="{FF2B5EF4-FFF2-40B4-BE49-F238E27FC236}">
              <a16:creationId xmlns:a16="http://schemas.microsoft.com/office/drawing/2014/main" id="{5D0EDDC0-80E4-4C45-9991-96FDA63D53E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35" name="文字方塊 8">
          <a:extLst>
            <a:ext uri="{FF2B5EF4-FFF2-40B4-BE49-F238E27FC236}">
              <a16:creationId xmlns:a16="http://schemas.microsoft.com/office/drawing/2014/main" id="{29250E8E-C554-4BD1-856B-A778CD7190E3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36" name="文字方塊 9">
          <a:extLst>
            <a:ext uri="{FF2B5EF4-FFF2-40B4-BE49-F238E27FC236}">
              <a16:creationId xmlns:a16="http://schemas.microsoft.com/office/drawing/2014/main" id="{AFC0227A-E265-42B0-A68E-E7D04D07EAD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7" name="文字方塊 136">
          <a:extLst>
            <a:ext uri="{FF2B5EF4-FFF2-40B4-BE49-F238E27FC236}">
              <a16:creationId xmlns:a16="http://schemas.microsoft.com/office/drawing/2014/main" id="{AA6B082A-2A44-4DB4-9D2F-42A465ABA57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38" name="文字方塊 137">
          <a:extLst>
            <a:ext uri="{FF2B5EF4-FFF2-40B4-BE49-F238E27FC236}">
              <a16:creationId xmlns:a16="http://schemas.microsoft.com/office/drawing/2014/main" id="{8199B6E5-6E0E-4D62-A26A-D47D8EFF302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9" name="文字方塊 138">
          <a:extLst>
            <a:ext uri="{FF2B5EF4-FFF2-40B4-BE49-F238E27FC236}">
              <a16:creationId xmlns:a16="http://schemas.microsoft.com/office/drawing/2014/main" id="{CD80A201-4FA5-4B4A-AE28-D1C028225D9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40" name="文字方塊 139">
          <a:extLst>
            <a:ext uri="{FF2B5EF4-FFF2-40B4-BE49-F238E27FC236}">
              <a16:creationId xmlns:a16="http://schemas.microsoft.com/office/drawing/2014/main" id="{239DD83A-10BC-46CA-B65A-CF455E6FBF9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1" name="文字方塊 140">
          <a:extLst>
            <a:ext uri="{FF2B5EF4-FFF2-40B4-BE49-F238E27FC236}">
              <a16:creationId xmlns:a16="http://schemas.microsoft.com/office/drawing/2014/main" id="{0DC59929-A61E-4519-982F-DA338278DD6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42" name="文字方塊 141">
          <a:extLst>
            <a:ext uri="{FF2B5EF4-FFF2-40B4-BE49-F238E27FC236}">
              <a16:creationId xmlns:a16="http://schemas.microsoft.com/office/drawing/2014/main" id="{D370DC3B-B8F8-4F09-A0CE-A1E47F65F49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43" name="文字方塊 8">
          <a:extLst>
            <a:ext uri="{FF2B5EF4-FFF2-40B4-BE49-F238E27FC236}">
              <a16:creationId xmlns:a16="http://schemas.microsoft.com/office/drawing/2014/main" id="{55164170-CECB-489F-8F7F-157537672A12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44" name="文字方塊 9">
          <a:extLst>
            <a:ext uri="{FF2B5EF4-FFF2-40B4-BE49-F238E27FC236}">
              <a16:creationId xmlns:a16="http://schemas.microsoft.com/office/drawing/2014/main" id="{D5553F30-FC29-4E44-ACAE-CBAEEC14E32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5" name="文字方塊 144">
          <a:extLst>
            <a:ext uri="{FF2B5EF4-FFF2-40B4-BE49-F238E27FC236}">
              <a16:creationId xmlns:a16="http://schemas.microsoft.com/office/drawing/2014/main" id="{1CA9012B-ED15-4F73-A8D0-C3D033568EC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46" name="文字方塊 145">
          <a:extLst>
            <a:ext uri="{FF2B5EF4-FFF2-40B4-BE49-F238E27FC236}">
              <a16:creationId xmlns:a16="http://schemas.microsoft.com/office/drawing/2014/main" id="{542CE434-4D5B-47CA-B4E8-6A96A4BBB9B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7" name="文字方塊 146">
          <a:extLst>
            <a:ext uri="{FF2B5EF4-FFF2-40B4-BE49-F238E27FC236}">
              <a16:creationId xmlns:a16="http://schemas.microsoft.com/office/drawing/2014/main" id="{297274D0-8D3B-44C4-AC29-11F2205DDD6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48" name="文字方塊 147">
          <a:extLst>
            <a:ext uri="{FF2B5EF4-FFF2-40B4-BE49-F238E27FC236}">
              <a16:creationId xmlns:a16="http://schemas.microsoft.com/office/drawing/2014/main" id="{3F622A76-C354-46E1-BA8C-2298A3DC3E8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9" name="文字方塊 148">
          <a:extLst>
            <a:ext uri="{FF2B5EF4-FFF2-40B4-BE49-F238E27FC236}">
              <a16:creationId xmlns:a16="http://schemas.microsoft.com/office/drawing/2014/main" id="{C2BBC11B-C716-47C2-A0AC-098AF800EB7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50" name="文字方塊 8">
          <a:extLst>
            <a:ext uri="{FF2B5EF4-FFF2-40B4-BE49-F238E27FC236}">
              <a16:creationId xmlns:a16="http://schemas.microsoft.com/office/drawing/2014/main" id="{624A819A-341F-4AD2-BC9F-9912B8A6622D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51" name="文字方塊 150">
          <a:extLst>
            <a:ext uri="{FF2B5EF4-FFF2-40B4-BE49-F238E27FC236}">
              <a16:creationId xmlns:a16="http://schemas.microsoft.com/office/drawing/2014/main" id="{0DBF9070-A025-4F1D-85B6-9835D8A494F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52" name="文字方塊 151">
          <a:extLst>
            <a:ext uri="{FF2B5EF4-FFF2-40B4-BE49-F238E27FC236}">
              <a16:creationId xmlns:a16="http://schemas.microsoft.com/office/drawing/2014/main" id="{BA4DCD7F-390E-4E94-BD13-8946E3B33EE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53" name="文字方塊 152">
          <a:extLst>
            <a:ext uri="{FF2B5EF4-FFF2-40B4-BE49-F238E27FC236}">
              <a16:creationId xmlns:a16="http://schemas.microsoft.com/office/drawing/2014/main" id="{88A71C97-053F-432B-86EE-31FB3504BBF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54" name="文字方塊 8">
          <a:extLst>
            <a:ext uri="{FF2B5EF4-FFF2-40B4-BE49-F238E27FC236}">
              <a16:creationId xmlns:a16="http://schemas.microsoft.com/office/drawing/2014/main" id="{B9A857D5-26E5-4E31-B1BE-66D09DCF3FA1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55" name="文字方塊 154">
          <a:extLst>
            <a:ext uri="{FF2B5EF4-FFF2-40B4-BE49-F238E27FC236}">
              <a16:creationId xmlns:a16="http://schemas.microsoft.com/office/drawing/2014/main" id="{2B649B64-26AB-40BC-A5BD-41F576C763D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56" name="文字方塊 155">
          <a:extLst>
            <a:ext uri="{FF2B5EF4-FFF2-40B4-BE49-F238E27FC236}">
              <a16:creationId xmlns:a16="http://schemas.microsoft.com/office/drawing/2014/main" id="{D4D64078-FB14-4A8B-81FE-19D613DBA31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57" name="文字方塊 156">
          <a:extLst>
            <a:ext uri="{FF2B5EF4-FFF2-40B4-BE49-F238E27FC236}">
              <a16:creationId xmlns:a16="http://schemas.microsoft.com/office/drawing/2014/main" id="{26C7E20B-6108-408A-BEBE-40FBE92FEDA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58" name="文字方塊 8">
          <a:extLst>
            <a:ext uri="{FF2B5EF4-FFF2-40B4-BE49-F238E27FC236}">
              <a16:creationId xmlns:a16="http://schemas.microsoft.com/office/drawing/2014/main" id="{4C7E1D4D-2826-4776-8D9E-AEAFB5CDDAD2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59" name="文字方塊 158">
          <a:extLst>
            <a:ext uri="{FF2B5EF4-FFF2-40B4-BE49-F238E27FC236}">
              <a16:creationId xmlns:a16="http://schemas.microsoft.com/office/drawing/2014/main" id="{FB1D036C-DC1E-43B4-B3E0-CAFDEF9CB54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0" name="文字方塊 159">
          <a:extLst>
            <a:ext uri="{FF2B5EF4-FFF2-40B4-BE49-F238E27FC236}">
              <a16:creationId xmlns:a16="http://schemas.microsoft.com/office/drawing/2014/main" id="{FF870F97-AB31-4587-9FDE-1BF35AEF7D4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1" name="文字方塊 160">
          <a:extLst>
            <a:ext uri="{FF2B5EF4-FFF2-40B4-BE49-F238E27FC236}">
              <a16:creationId xmlns:a16="http://schemas.microsoft.com/office/drawing/2014/main" id="{F5B5173F-0930-41D9-A36E-A1DB1E2BAD6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62" name="文字方塊 8">
          <a:extLst>
            <a:ext uri="{FF2B5EF4-FFF2-40B4-BE49-F238E27FC236}">
              <a16:creationId xmlns:a16="http://schemas.microsoft.com/office/drawing/2014/main" id="{CF8E4C74-9FA4-4C4D-B4F9-5B96AA3239DB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3" name="文字方塊 162">
          <a:extLst>
            <a:ext uri="{FF2B5EF4-FFF2-40B4-BE49-F238E27FC236}">
              <a16:creationId xmlns:a16="http://schemas.microsoft.com/office/drawing/2014/main" id="{3D3A264D-9B82-4292-9C1C-3DF984C5D49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4" name="文字方塊 163">
          <a:extLst>
            <a:ext uri="{FF2B5EF4-FFF2-40B4-BE49-F238E27FC236}">
              <a16:creationId xmlns:a16="http://schemas.microsoft.com/office/drawing/2014/main" id="{2A0F8B71-A674-4404-A35E-499C5F7616F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5" name="文字方塊 164">
          <a:extLst>
            <a:ext uri="{FF2B5EF4-FFF2-40B4-BE49-F238E27FC236}">
              <a16:creationId xmlns:a16="http://schemas.microsoft.com/office/drawing/2014/main" id="{6B0A5A77-198C-4AD8-9941-7A4C592CD4A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66" name="文字方塊 8">
          <a:extLst>
            <a:ext uri="{FF2B5EF4-FFF2-40B4-BE49-F238E27FC236}">
              <a16:creationId xmlns:a16="http://schemas.microsoft.com/office/drawing/2014/main" id="{536074DE-EDB4-48DE-BE3D-A87D17F21BD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7" name="文字方塊 166">
          <a:extLst>
            <a:ext uri="{FF2B5EF4-FFF2-40B4-BE49-F238E27FC236}">
              <a16:creationId xmlns:a16="http://schemas.microsoft.com/office/drawing/2014/main" id="{AFF11F76-02DB-44B2-A4F9-13A91BC4E36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8" name="文字方塊 167">
          <a:extLst>
            <a:ext uri="{FF2B5EF4-FFF2-40B4-BE49-F238E27FC236}">
              <a16:creationId xmlns:a16="http://schemas.microsoft.com/office/drawing/2014/main" id="{E80C3877-5393-4AD5-9A8C-F30B764B17A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9" name="文字方塊 168">
          <a:extLst>
            <a:ext uri="{FF2B5EF4-FFF2-40B4-BE49-F238E27FC236}">
              <a16:creationId xmlns:a16="http://schemas.microsoft.com/office/drawing/2014/main" id="{7B9207A2-FACD-4A08-9341-FFE2243FF19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70" name="文字方塊 8">
          <a:extLst>
            <a:ext uri="{FF2B5EF4-FFF2-40B4-BE49-F238E27FC236}">
              <a16:creationId xmlns:a16="http://schemas.microsoft.com/office/drawing/2014/main" id="{B44E1F69-D88D-4415-9F15-0700CBAFDB63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71" name="文字方塊 170">
          <a:extLst>
            <a:ext uri="{FF2B5EF4-FFF2-40B4-BE49-F238E27FC236}">
              <a16:creationId xmlns:a16="http://schemas.microsoft.com/office/drawing/2014/main" id="{9D1362D4-F9CA-4DE4-B843-C84466027D0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72" name="文字方塊 171">
          <a:extLst>
            <a:ext uri="{FF2B5EF4-FFF2-40B4-BE49-F238E27FC236}">
              <a16:creationId xmlns:a16="http://schemas.microsoft.com/office/drawing/2014/main" id="{85609B51-8DFD-4993-90E7-F3141820F12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73" name="文字方塊 172">
          <a:extLst>
            <a:ext uri="{FF2B5EF4-FFF2-40B4-BE49-F238E27FC236}">
              <a16:creationId xmlns:a16="http://schemas.microsoft.com/office/drawing/2014/main" id="{DF493F0C-40AF-443D-86A8-5EDE855C17A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74" name="文字方塊 173">
          <a:extLst>
            <a:ext uri="{FF2B5EF4-FFF2-40B4-BE49-F238E27FC236}">
              <a16:creationId xmlns:a16="http://schemas.microsoft.com/office/drawing/2014/main" id="{108905D2-A82F-46B5-973D-9D92D138563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75" name="文字方塊 8">
          <a:extLst>
            <a:ext uri="{FF2B5EF4-FFF2-40B4-BE49-F238E27FC236}">
              <a16:creationId xmlns:a16="http://schemas.microsoft.com/office/drawing/2014/main" id="{D395D8CF-4E81-4907-A0B8-FAFAD1BFFA07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76" name="文字方塊 175">
          <a:extLst>
            <a:ext uri="{FF2B5EF4-FFF2-40B4-BE49-F238E27FC236}">
              <a16:creationId xmlns:a16="http://schemas.microsoft.com/office/drawing/2014/main" id="{785E08F4-EC62-475C-AE8F-E03C993E726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77" name="文字方塊 176">
          <a:extLst>
            <a:ext uri="{FF2B5EF4-FFF2-40B4-BE49-F238E27FC236}">
              <a16:creationId xmlns:a16="http://schemas.microsoft.com/office/drawing/2014/main" id="{A7E00F9E-4161-4551-8070-F402B9D4D4C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78" name="文字方塊 177">
          <a:extLst>
            <a:ext uri="{FF2B5EF4-FFF2-40B4-BE49-F238E27FC236}">
              <a16:creationId xmlns:a16="http://schemas.microsoft.com/office/drawing/2014/main" id="{B2C12701-7E12-4767-9CD4-9A41CD6FE6B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79" name="文字方塊 8">
          <a:extLst>
            <a:ext uri="{FF2B5EF4-FFF2-40B4-BE49-F238E27FC236}">
              <a16:creationId xmlns:a16="http://schemas.microsoft.com/office/drawing/2014/main" id="{FD2E59BE-DD80-4B68-BB5F-FD026FE7C7BB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0" name="文字方塊 179">
          <a:extLst>
            <a:ext uri="{FF2B5EF4-FFF2-40B4-BE49-F238E27FC236}">
              <a16:creationId xmlns:a16="http://schemas.microsoft.com/office/drawing/2014/main" id="{2400A4E7-A0D6-4224-B8D1-BB75D50F00A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1" name="文字方塊 180">
          <a:extLst>
            <a:ext uri="{FF2B5EF4-FFF2-40B4-BE49-F238E27FC236}">
              <a16:creationId xmlns:a16="http://schemas.microsoft.com/office/drawing/2014/main" id="{55DEB3B5-B850-49BC-BE73-D00497A4804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2" name="文字方塊 181">
          <a:extLst>
            <a:ext uri="{FF2B5EF4-FFF2-40B4-BE49-F238E27FC236}">
              <a16:creationId xmlns:a16="http://schemas.microsoft.com/office/drawing/2014/main" id="{E7A9F64C-6344-460C-95B0-F3FAECA5F5C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83" name="文字方塊 8">
          <a:extLst>
            <a:ext uri="{FF2B5EF4-FFF2-40B4-BE49-F238E27FC236}">
              <a16:creationId xmlns:a16="http://schemas.microsoft.com/office/drawing/2014/main" id="{B6BB4ECC-AFD3-4EDD-B2A4-6BB05443056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4" name="文字方塊 183">
          <a:extLst>
            <a:ext uri="{FF2B5EF4-FFF2-40B4-BE49-F238E27FC236}">
              <a16:creationId xmlns:a16="http://schemas.microsoft.com/office/drawing/2014/main" id="{3CD5BD0A-F60F-499B-9EF2-C6EE7A9D3FB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5" name="文字方塊 184">
          <a:extLst>
            <a:ext uri="{FF2B5EF4-FFF2-40B4-BE49-F238E27FC236}">
              <a16:creationId xmlns:a16="http://schemas.microsoft.com/office/drawing/2014/main" id="{D93F6CAD-2F4C-4659-8466-8E6223F06B0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6" name="文字方塊 185">
          <a:extLst>
            <a:ext uri="{FF2B5EF4-FFF2-40B4-BE49-F238E27FC236}">
              <a16:creationId xmlns:a16="http://schemas.microsoft.com/office/drawing/2014/main" id="{F65CA9F2-17A8-4173-B41E-F078B41E06F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87" name="文字方塊 8">
          <a:extLst>
            <a:ext uri="{FF2B5EF4-FFF2-40B4-BE49-F238E27FC236}">
              <a16:creationId xmlns:a16="http://schemas.microsoft.com/office/drawing/2014/main" id="{03ED4DFC-2C32-47C5-8E71-83A7F7B17862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8" name="文字方塊 187">
          <a:extLst>
            <a:ext uri="{FF2B5EF4-FFF2-40B4-BE49-F238E27FC236}">
              <a16:creationId xmlns:a16="http://schemas.microsoft.com/office/drawing/2014/main" id="{C3D8C33F-D58B-4293-8A06-17DB81E8364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9" name="文字方塊 188">
          <a:extLst>
            <a:ext uri="{FF2B5EF4-FFF2-40B4-BE49-F238E27FC236}">
              <a16:creationId xmlns:a16="http://schemas.microsoft.com/office/drawing/2014/main" id="{F6B2F4CB-AE46-49BC-950C-38D98CF4F9C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90" name="文字方塊 189">
          <a:extLst>
            <a:ext uri="{FF2B5EF4-FFF2-40B4-BE49-F238E27FC236}">
              <a16:creationId xmlns:a16="http://schemas.microsoft.com/office/drawing/2014/main" id="{96B216FF-0A06-46A9-87E7-993A5000E9C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91" name="文字方塊 8">
          <a:extLst>
            <a:ext uri="{FF2B5EF4-FFF2-40B4-BE49-F238E27FC236}">
              <a16:creationId xmlns:a16="http://schemas.microsoft.com/office/drawing/2014/main" id="{4E11E845-4B2B-45FF-AF33-1163382D0D17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92" name="文字方塊 191">
          <a:extLst>
            <a:ext uri="{FF2B5EF4-FFF2-40B4-BE49-F238E27FC236}">
              <a16:creationId xmlns:a16="http://schemas.microsoft.com/office/drawing/2014/main" id="{D4B39ACB-2892-4F14-87F5-BBBB7BF2751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93" name="文字方塊 192">
          <a:extLst>
            <a:ext uri="{FF2B5EF4-FFF2-40B4-BE49-F238E27FC236}">
              <a16:creationId xmlns:a16="http://schemas.microsoft.com/office/drawing/2014/main" id="{C6A4525A-A780-442D-8D00-098F4AE5972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94" name="文字方塊 193">
          <a:extLst>
            <a:ext uri="{FF2B5EF4-FFF2-40B4-BE49-F238E27FC236}">
              <a16:creationId xmlns:a16="http://schemas.microsoft.com/office/drawing/2014/main" id="{3C854643-353B-46DF-9A02-4888EA69BD1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95" name="文字方塊 8">
          <a:extLst>
            <a:ext uri="{FF2B5EF4-FFF2-40B4-BE49-F238E27FC236}">
              <a16:creationId xmlns:a16="http://schemas.microsoft.com/office/drawing/2014/main" id="{32A2C11C-67D8-4074-A235-9C196B02DC75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96" name="文字方塊 195">
          <a:extLst>
            <a:ext uri="{FF2B5EF4-FFF2-40B4-BE49-F238E27FC236}">
              <a16:creationId xmlns:a16="http://schemas.microsoft.com/office/drawing/2014/main" id="{4D3DF608-FCF7-4F7D-8ED5-564B63C4F49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97" name="文字方塊 196">
          <a:extLst>
            <a:ext uri="{FF2B5EF4-FFF2-40B4-BE49-F238E27FC236}">
              <a16:creationId xmlns:a16="http://schemas.microsoft.com/office/drawing/2014/main" id="{DA7D9CFB-D88A-4BBE-9058-2DC0EEAB333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98" name="文字方塊 197">
          <a:extLst>
            <a:ext uri="{FF2B5EF4-FFF2-40B4-BE49-F238E27FC236}">
              <a16:creationId xmlns:a16="http://schemas.microsoft.com/office/drawing/2014/main" id="{0B0E02FD-83EB-41F7-A570-17F7817AB80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99" name="文字方塊 8">
          <a:extLst>
            <a:ext uri="{FF2B5EF4-FFF2-40B4-BE49-F238E27FC236}">
              <a16:creationId xmlns:a16="http://schemas.microsoft.com/office/drawing/2014/main" id="{76209DC1-35A9-4344-AC68-E5EA40A967FE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0" name="文字方塊 199">
          <a:extLst>
            <a:ext uri="{FF2B5EF4-FFF2-40B4-BE49-F238E27FC236}">
              <a16:creationId xmlns:a16="http://schemas.microsoft.com/office/drawing/2014/main" id="{B19B2FEF-F468-4CCB-9613-A91D5D9F051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1" name="文字方塊 200">
          <a:extLst>
            <a:ext uri="{FF2B5EF4-FFF2-40B4-BE49-F238E27FC236}">
              <a16:creationId xmlns:a16="http://schemas.microsoft.com/office/drawing/2014/main" id="{F8AC624F-4552-4E17-84D5-BAE36835556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2" name="文字方塊 201">
          <a:extLst>
            <a:ext uri="{FF2B5EF4-FFF2-40B4-BE49-F238E27FC236}">
              <a16:creationId xmlns:a16="http://schemas.microsoft.com/office/drawing/2014/main" id="{065511D4-6D6A-4940-8A2C-8354DD42636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03" name="文字方塊 202">
          <a:extLst>
            <a:ext uri="{FF2B5EF4-FFF2-40B4-BE49-F238E27FC236}">
              <a16:creationId xmlns:a16="http://schemas.microsoft.com/office/drawing/2014/main" id="{AF39C5E7-12A4-4344-AF21-B38B3A2548A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4" name="文字方塊 203">
          <a:extLst>
            <a:ext uri="{FF2B5EF4-FFF2-40B4-BE49-F238E27FC236}">
              <a16:creationId xmlns:a16="http://schemas.microsoft.com/office/drawing/2014/main" id="{19FCD123-D274-4E4C-A292-2CDCD159D17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05" name="文字方塊 204">
          <a:extLst>
            <a:ext uri="{FF2B5EF4-FFF2-40B4-BE49-F238E27FC236}">
              <a16:creationId xmlns:a16="http://schemas.microsoft.com/office/drawing/2014/main" id="{5BD25F0A-BBFD-4CB4-858C-40DE00808E4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06" name="文字方塊 8">
          <a:extLst>
            <a:ext uri="{FF2B5EF4-FFF2-40B4-BE49-F238E27FC236}">
              <a16:creationId xmlns:a16="http://schemas.microsoft.com/office/drawing/2014/main" id="{248F3704-F272-4A6A-AF23-1801DBFBD902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07" name="文字方塊 9">
          <a:extLst>
            <a:ext uri="{FF2B5EF4-FFF2-40B4-BE49-F238E27FC236}">
              <a16:creationId xmlns:a16="http://schemas.microsoft.com/office/drawing/2014/main" id="{2AD73FE6-0EB5-4499-A2C4-52F63279CA2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8" name="文字方塊 207">
          <a:extLst>
            <a:ext uri="{FF2B5EF4-FFF2-40B4-BE49-F238E27FC236}">
              <a16:creationId xmlns:a16="http://schemas.microsoft.com/office/drawing/2014/main" id="{BBC696A0-0A37-47CA-9A3B-08311D280CA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09" name="文字方塊 208">
          <a:extLst>
            <a:ext uri="{FF2B5EF4-FFF2-40B4-BE49-F238E27FC236}">
              <a16:creationId xmlns:a16="http://schemas.microsoft.com/office/drawing/2014/main" id="{0F60CD1A-1386-45BA-9EA1-54148D7F664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10" name="文字方塊 209">
          <a:extLst>
            <a:ext uri="{FF2B5EF4-FFF2-40B4-BE49-F238E27FC236}">
              <a16:creationId xmlns:a16="http://schemas.microsoft.com/office/drawing/2014/main" id="{88F62AD6-A4BA-44BC-B66B-8718B09DFC3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11" name="文字方塊 210">
          <a:extLst>
            <a:ext uri="{FF2B5EF4-FFF2-40B4-BE49-F238E27FC236}">
              <a16:creationId xmlns:a16="http://schemas.microsoft.com/office/drawing/2014/main" id="{6839A22F-4DC2-47B8-B75D-590CF5AFA4B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12" name="文字方塊 211">
          <a:extLst>
            <a:ext uri="{FF2B5EF4-FFF2-40B4-BE49-F238E27FC236}">
              <a16:creationId xmlns:a16="http://schemas.microsoft.com/office/drawing/2014/main" id="{E41ED769-B4C9-4956-8B93-398279814F0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13" name="文字方塊 212">
          <a:extLst>
            <a:ext uri="{FF2B5EF4-FFF2-40B4-BE49-F238E27FC236}">
              <a16:creationId xmlns:a16="http://schemas.microsoft.com/office/drawing/2014/main" id="{5C71571C-7F3D-4C97-838D-2451A58681A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14" name="文字方塊 8">
          <a:extLst>
            <a:ext uri="{FF2B5EF4-FFF2-40B4-BE49-F238E27FC236}">
              <a16:creationId xmlns:a16="http://schemas.microsoft.com/office/drawing/2014/main" id="{09AAC648-7844-4BFF-9D57-684FBEF6D601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15" name="文字方塊 9">
          <a:extLst>
            <a:ext uri="{FF2B5EF4-FFF2-40B4-BE49-F238E27FC236}">
              <a16:creationId xmlns:a16="http://schemas.microsoft.com/office/drawing/2014/main" id="{12FB54BC-FA07-4826-8BA0-6681D31D889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16" name="文字方塊 215">
          <a:extLst>
            <a:ext uri="{FF2B5EF4-FFF2-40B4-BE49-F238E27FC236}">
              <a16:creationId xmlns:a16="http://schemas.microsoft.com/office/drawing/2014/main" id="{AEB34FF1-F62F-4689-BDEC-FC14720F1EB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17" name="文字方塊 216">
          <a:extLst>
            <a:ext uri="{FF2B5EF4-FFF2-40B4-BE49-F238E27FC236}">
              <a16:creationId xmlns:a16="http://schemas.microsoft.com/office/drawing/2014/main" id="{EBCEE79C-B2F5-40BC-959F-0D83AE64580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18" name="文字方塊 217">
          <a:extLst>
            <a:ext uri="{FF2B5EF4-FFF2-40B4-BE49-F238E27FC236}">
              <a16:creationId xmlns:a16="http://schemas.microsoft.com/office/drawing/2014/main" id="{A819791D-3A86-430A-9B9D-10F077BC5E0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19" name="文字方塊 218">
          <a:extLst>
            <a:ext uri="{FF2B5EF4-FFF2-40B4-BE49-F238E27FC236}">
              <a16:creationId xmlns:a16="http://schemas.microsoft.com/office/drawing/2014/main" id="{62708AE1-890B-42F7-B9AB-8BC50A69277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0" name="文字方塊 219">
          <a:extLst>
            <a:ext uri="{FF2B5EF4-FFF2-40B4-BE49-F238E27FC236}">
              <a16:creationId xmlns:a16="http://schemas.microsoft.com/office/drawing/2014/main" id="{DEF83736-9F7C-4DC4-92A7-0555B9C4645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21" name="文字方塊 220">
          <a:extLst>
            <a:ext uri="{FF2B5EF4-FFF2-40B4-BE49-F238E27FC236}">
              <a16:creationId xmlns:a16="http://schemas.microsoft.com/office/drawing/2014/main" id="{458EC217-FE1B-4E7F-9B11-CDE95F97C71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22" name="文字方塊 8">
          <a:extLst>
            <a:ext uri="{FF2B5EF4-FFF2-40B4-BE49-F238E27FC236}">
              <a16:creationId xmlns:a16="http://schemas.microsoft.com/office/drawing/2014/main" id="{89145194-2129-4F20-A77A-EF2DC4FDB866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23" name="文字方塊 9">
          <a:extLst>
            <a:ext uri="{FF2B5EF4-FFF2-40B4-BE49-F238E27FC236}">
              <a16:creationId xmlns:a16="http://schemas.microsoft.com/office/drawing/2014/main" id="{B685F581-C20C-44F7-9CFB-92196FFBBF1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4" name="文字方塊 223">
          <a:extLst>
            <a:ext uri="{FF2B5EF4-FFF2-40B4-BE49-F238E27FC236}">
              <a16:creationId xmlns:a16="http://schemas.microsoft.com/office/drawing/2014/main" id="{885B70E5-BB85-425B-82C0-DC2C6F2CFAD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25" name="文字方塊 224">
          <a:extLst>
            <a:ext uri="{FF2B5EF4-FFF2-40B4-BE49-F238E27FC236}">
              <a16:creationId xmlns:a16="http://schemas.microsoft.com/office/drawing/2014/main" id="{BF90F9DE-2053-4032-8FA1-E203C4EBE01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6" name="文字方塊 225">
          <a:extLst>
            <a:ext uri="{FF2B5EF4-FFF2-40B4-BE49-F238E27FC236}">
              <a16:creationId xmlns:a16="http://schemas.microsoft.com/office/drawing/2014/main" id="{F936B7B6-42B7-44D1-8E42-3AEEDE594C2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27" name="文字方塊 226">
          <a:extLst>
            <a:ext uri="{FF2B5EF4-FFF2-40B4-BE49-F238E27FC236}">
              <a16:creationId xmlns:a16="http://schemas.microsoft.com/office/drawing/2014/main" id="{3CD1E0A1-BBFA-4876-9DF9-30D6A9435A9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8" name="文字方塊 227">
          <a:extLst>
            <a:ext uri="{FF2B5EF4-FFF2-40B4-BE49-F238E27FC236}">
              <a16:creationId xmlns:a16="http://schemas.microsoft.com/office/drawing/2014/main" id="{BAEEBCE4-BA33-4FBB-943C-8FD798B730A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29" name="文字方塊 228">
          <a:extLst>
            <a:ext uri="{FF2B5EF4-FFF2-40B4-BE49-F238E27FC236}">
              <a16:creationId xmlns:a16="http://schemas.microsoft.com/office/drawing/2014/main" id="{DBB8B73B-7867-4379-836C-2D6FA46E2B1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30" name="文字方塊 8">
          <a:extLst>
            <a:ext uri="{FF2B5EF4-FFF2-40B4-BE49-F238E27FC236}">
              <a16:creationId xmlns:a16="http://schemas.microsoft.com/office/drawing/2014/main" id="{B740F903-6912-4F54-A4DB-ABD214FB8AD2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31" name="文字方塊 9">
          <a:extLst>
            <a:ext uri="{FF2B5EF4-FFF2-40B4-BE49-F238E27FC236}">
              <a16:creationId xmlns:a16="http://schemas.microsoft.com/office/drawing/2014/main" id="{D17B8DE4-8547-47F2-B94C-B0AEBB91D92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32" name="文字方塊 231">
          <a:extLst>
            <a:ext uri="{FF2B5EF4-FFF2-40B4-BE49-F238E27FC236}">
              <a16:creationId xmlns:a16="http://schemas.microsoft.com/office/drawing/2014/main" id="{7F5B38CF-78C7-4E9A-96FF-0B3DFEFE62C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33" name="文字方塊 232">
          <a:extLst>
            <a:ext uri="{FF2B5EF4-FFF2-40B4-BE49-F238E27FC236}">
              <a16:creationId xmlns:a16="http://schemas.microsoft.com/office/drawing/2014/main" id="{477970E4-627F-4862-AE15-FECC249A844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34" name="文字方塊 233">
          <a:extLst>
            <a:ext uri="{FF2B5EF4-FFF2-40B4-BE49-F238E27FC236}">
              <a16:creationId xmlns:a16="http://schemas.microsoft.com/office/drawing/2014/main" id="{EF291829-6CC3-417E-8D2B-11855EABD84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35" name="文字方塊 234">
          <a:extLst>
            <a:ext uri="{FF2B5EF4-FFF2-40B4-BE49-F238E27FC236}">
              <a16:creationId xmlns:a16="http://schemas.microsoft.com/office/drawing/2014/main" id="{F48A1DCC-81A4-42AF-9733-B3D4D2CA1E2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36" name="文字方塊 235">
          <a:extLst>
            <a:ext uri="{FF2B5EF4-FFF2-40B4-BE49-F238E27FC236}">
              <a16:creationId xmlns:a16="http://schemas.microsoft.com/office/drawing/2014/main" id="{A2BD4A6E-059B-4E64-8056-B92A70BE6AA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37" name="文字方塊 236">
          <a:extLst>
            <a:ext uri="{FF2B5EF4-FFF2-40B4-BE49-F238E27FC236}">
              <a16:creationId xmlns:a16="http://schemas.microsoft.com/office/drawing/2014/main" id="{2AB26160-B8E5-41C6-906E-D1351B5298B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38" name="文字方塊 8">
          <a:extLst>
            <a:ext uri="{FF2B5EF4-FFF2-40B4-BE49-F238E27FC236}">
              <a16:creationId xmlns:a16="http://schemas.microsoft.com/office/drawing/2014/main" id="{7208CF60-06E8-4EC0-8264-833A6E45BC04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39" name="文字方塊 9">
          <a:extLst>
            <a:ext uri="{FF2B5EF4-FFF2-40B4-BE49-F238E27FC236}">
              <a16:creationId xmlns:a16="http://schemas.microsoft.com/office/drawing/2014/main" id="{71E4123B-1292-42D9-9728-B5BA2EFA469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40" name="文字方塊 239">
          <a:extLst>
            <a:ext uri="{FF2B5EF4-FFF2-40B4-BE49-F238E27FC236}">
              <a16:creationId xmlns:a16="http://schemas.microsoft.com/office/drawing/2014/main" id="{F9E7A3A6-436A-4AAF-AD0D-4A2C37C26ED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41" name="文字方塊 240">
          <a:extLst>
            <a:ext uri="{FF2B5EF4-FFF2-40B4-BE49-F238E27FC236}">
              <a16:creationId xmlns:a16="http://schemas.microsoft.com/office/drawing/2014/main" id="{D8B300CE-E3E7-4483-BCE2-0751A3F8993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42" name="文字方塊 241">
          <a:extLst>
            <a:ext uri="{FF2B5EF4-FFF2-40B4-BE49-F238E27FC236}">
              <a16:creationId xmlns:a16="http://schemas.microsoft.com/office/drawing/2014/main" id="{849F9B5D-53BB-4CF5-B683-3231A8809FA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43" name="文字方塊 242">
          <a:extLst>
            <a:ext uri="{FF2B5EF4-FFF2-40B4-BE49-F238E27FC236}">
              <a16:creationId xmlns:a16="http://schemas.microsoft.com/office/drawing/2014/main" id="{6DF8D2D7-3657-4F2C-900C-0915F70CC15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44" name="文字方塊 243">
          <a:extLst>
            <a:ext uri="{FF2B5EF4-FFF2-40B4-BE49-F238E27FC236}">
              <a16:creationId xmlns:a16="http://schemas.microsoft.com/office/drawing/2014/main" id="{756BAAE3-A4CD-45F6-B8C0-0A895A3F912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45" name="文字方塊 8">
          <a:extLst>
            <a:ext uri="{FF2B5EF4-FFF2-40B4-BE49-F238E27FC236}">
              <a16:creationId xmlns:a16="http://schemas.microsoft.com/office/drawing/2014/main" id="{E75B0F67-C2AF-42F2-A688-6CDCF0176194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46" name="文字方塊 245">
          <a:extLst>
            <a:ext uri="{FF2B5EF4-FFF2-40B4-BE49-F238E27FC236}">
              <a16:creationId xmlns:a16="http://schemas.microsoft.com/office/drawing/2014/main" id="{9E78774A-A50C-4C2D-822D-F23DD8AF221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47" name="文字方塊 246">
          <a:extLst>
            <a:ext uri="{FF2B5EF4-FFF2-40B4-BE49-F238E27FC236}">
              <a16:creationId xmlns:a16="http://schemas.microsoft.com/office/drawing/2014/main" id="{7E3455CB-3212-4D20-A7EB-67222AABF66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48" name="文字方塊 247">
          <a:extLst>
            <a:ext uri="{FF2B5EF4-FFF2-40B4-BE49-F238E27FC236}">
              <a16:creationId xmlns:a16="http://schemas.microsoft.com/office/drawing/2014/main" id="{DD5358CA-8DB2-4BC1-9055-5D30ED2A299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49" name="文字方塊 8">
          <a:extLst>
            <a:ext uri="{FF2B5EF4-FFF2-40B4-BE49-F238E27FC236}">
              <a16:creationId xmlns:a16="http://schemas.microsoft.com/office/drawing/2014/main" id="{25A188BA-1042-4BF3-AAE0-8D76B1FA7E15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50" name="文字方塊 249">
          <a:extLst>
            <a:ext uri="{FF2B5EF4-FFF2-40B4-BE49-F238E27FC236}">
              <a16:creationId xmlns:a16="http://schemas.microsoft.com/office/drawing/2014/main" id="{AFE7DF9A-EA2F-4BD0-ABDA-75F247008A6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51" name="文字方塊 250">
          <a:extLst>
            <a:ext uri="{FF2B5EF4-FFF2-40B4-BE49-F238E27FC236}">
              <a16:creationId xmlns:a16="http://schemas.microsoft.com/office/drawing/2014/main" id="{4B03DAB3-D2E2-4DA0-8A60-4A5CDFD529A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52" name="文字方塊 251">
          <a:extLst>
            <a:ext uri="{FF2B5EF4-FFF2-40B4-BE49-F238E27FC236}">
              <a16:creationId xmlns:a16="http://schemas.microsoft.com/office/drawing/2014/main" id="{F7C0FDB8-BDF7-4263-A3B1-DB80CF85196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53" name="文字方塊 8">
          <a:extLst>
            <a:ext uri="{FF2B5EF4-FFF2-40B4-BE49-F238E27FC236}">
              <a16:creationId xmlns:a16="http://schemas.microsoft.com/office/drawing/2014/main" id="{E3154132-06AC-48AB-821A-75BC64E60FDA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54" name="文字方塊 253">
          <a:extLst>
            <a:ext uri="{FF2B5EF4-FFF2-40B4-BE49-F238E27FC236}">
              <a16:creationId xmlns:a16="http://schemas.microsoft.com/office/drawing/2014/main" id="{B86EA8A9-D5C0-4E5A-9DBE-C4C5CE85B23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55" name="文字方塊 254">
          <a:extLst>
            <a:ext uri="{FF2B5EF4-FFF2-40B4-BE49-F238E27FC236}">
              <a16:creationId xmlns:a16="http://schemas.microsoft.com/office/drawing/2014/main" id="{2EEF88B4-D778-4EF3-9DB5-5B27408BD1A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56" name="文字方塊 255">
          <a:extLst>
            <a:ext uri="{FF2B5EF4-FFF2-40B4-BE49-F238E27FC236}">
              <a16:creationId xmlns:a16="http://schemas.microsoft.com/office/drawing/2014/main" id="{13CAD7FD-B013-4C55-8E8D-63174EB0220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57" name="文字方塊 8">
          <a:extLst>
            <a:ext uri="{FF2B5EF4-FFF2-40B4-BE49-F238E27FC236}">
              <a16:creationId xmlns:a16="http://schemas.microsoft.com/office/drawing/2014/main" id="{6CC18D02-8383-4122-B9E3-CB57CBD2FD96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58" name="文字方塊 257">
          <a:extLst>
            <a:ext uri="{FF2B5EF4-FFF2-40B4-BE49-F238E27FC236}">
              <a16:creationId xmlns:a16="http://schemas.microsoft.com/office/drawing/2014/main" id="{D6DB5DB3-423A-48EE-A20D-4487D536511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59" name="文字方塊 258">
          <a:extLst>
            <a:ext uri="{FF2B5EF4-FFF2-40B4-BE49-F238E27FC236}">
              <a16:creationId xmlns:a16="http://schemas.microsoft.com/office/drawing/2014/main" id="{F542A720-E242-4D9D-BED3-646D33CB6AC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0" name="文字方塊 259">
          <a:extLst>
            <a:ext uri="{FF2B5EF4-FFF2-40B4-BE49-F238E27FC236}">
              <a16:creationId xmlns:a16="http://schemas.microsoft.com/office/drawing/2014/main" id="{6F9A56E7-81AE-48F5-9D89-A19B7C7AA5E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61" name="文字方塊 8">
          <a:extLst>
            <a:ext uri="{FF2B5EF4-FFF2-40B4-BE49-F238E27FC236}">
              <a16:creationId xmlns:a16="http://schemas.microsoft.com/office/drawing/2014/main" id="{0F9A5882-D539-40FB-9ECE-E4B746C397E4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2" name="文字方塊 261">
          <a:extLst>
            <a:ext uri="{FF2B5EF4-FFF2-40B4-BE49-F238E27FC236}">
              <a16:creationId xmlns:a16="http://schemas.microsoft.com/office/drawing/2014/main" id="{AC5E5273-1C70-458C-82DB-1FEC5613583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3" name="文字方塊 262">
          <a:extLst>
            <a:ext uri="{FF2B5EF4-FFF2-40B4-BE49-F238E27FC236}">
              <a16:creationId xmlns:a16="http://schemas.microsoft.com/office/drawing/2014/main" id="{EA249F02-BD78-446C-A2F0-64E3243EE26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4" name="文字方塊 263">
          <a:extLst>
            <a:ext uri="{FF2B5EF4-FFF2-40B4-BE49-F238E27FC236}">
              <a16:creationId xmlns:a16="http://schemas.microsoft.com/office/drawing/2014/main" id="{7DE82B73-AA56-46D5-9D74-9FDCE6BD002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65" name="文字方塊 8">
          <a:extLst>
            <a:ext uri="{FF2B5EF4-FFF2-40B4-BE49-F238E27FC236}">
              <a16:creationId xmlns:a16="http://schemas.microsoft.com/office/drawing/2014/main" id="{599C6ECD-E4FE-4EC7-B645-AC456071864E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6" name="文字方塊 265">
          <a:extLst>
            <a:ext uri="{FF2B5EF4-FFF2-40B4-BE49-F238E27FC236}">
              <a16:creationId xmlns:a16="http://schemas.microsoft.com/office/drawing/2014/main" id="{52254257-6040-40A4-85B0-D9D574FCDF7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7" name="文字方塊 266">
          <a:extLst>
            <a:ext uri="{FF2B5EF4-FFF2-40B4-BE49-F238E27FC236}">
              <a16:creationId xmlns:a16="http://schemas.microsoft.com/office/drawing/2014/main" id="{FBC54977-4855-41DB-AAE9-8E9D760C3F1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8" name="文字方塊 267">
          <a:extLst>
            <a:ext uri="{FF2B5EF4-FFF2-40B4-BE49-F238E27FC236}">
              <a16:creationId xmlns:a16="http://schemas.microsoft.com/office/drawing/2014/main" id="{BFA143C2-5EB6-4DA8-8188-58857F05054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9" name="文字方塊 268">
          <a:extLst>
            <a:ext uri="{FF2B5EF4-FFF2-40B4-BE49-F238E27FC236}">
              <a16:creationId xmlns:a16="http://schemas.microsoft.com/office/drawing/2014/main" id="{EBEFDCDA-B69F-4AD7-877C-C0A97E29323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70" name="文字方塊 8">
          <a:extLst>
            <a:ext uri="{FF2B5EF4-FFF2-40B4-BE49-F238E27FC236}">
              <a16:creationId xmlns:a16="http://schemas.microsoft.com/office/drawing/2014/main" id="{DC61AA15-CF47-48C0-B720-618682522C30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71" name="文字方塊 270">
          <a:extLst>
            <a:ext uri="{FF2B5EF4-FFF2-40B4-BE49-F238E27FC236}">
              <a16:creationId xmlns:a16="http://schemas.microsoft.com/office/drawing/2014/main" id="{449D1A6C-2204-4694-BDF0-DCC8E4ED692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72" name="文字方塊 271">
          <a:extLst>
            <a:ext uri="{FF2B5EF4-FFF2-40B4-BE49-F238E27FC236}">
              <a16:creationId xmlns:a16="http://schemas.microsoft.com/office/drawing/2014/main" id="{FA887CA4-AFFA-4416-9156-ADE6279C69E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73" name="文字方塊 272">
          <a:extLst>
            <a:ext uri="{FF2B5EF4-FFF2-40B4-BE49-F238E27FC236}">
              <a16:creationId xmlns:a16="http://schemas.microsoft.com/office/drawing/2014/main" id="{A0930E8F-54D6-4250-A671-96AA9CE7C05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74" name="文字方塊 8">
          <a:extLst>
            <a:ext uri="{FF2B5EF4-FFF2-40B4-BE49-F238E27FC236}">
              <a16:creationId xmlns:a16="http://schemas.microsoft.com/office/drawing/2014/main" id="{709BFF4A-863D-4708-8C7E-E895410A2AA8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75" name="文字方塊 274">
          <a:extLst>
            <a:ext uri="{FF2B5EF4-FFF2-40B4-BE49-F238E27FC236}">
              <a16:creationId xmlns:a16="http://schemas.microsoft.com/office/drawing/2014/main" id="{5B342528-559D-4D7D-970C-A98B06411EA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76" name="文字方塊 275">
          <a:extLst>
            <a:ext uri="{FF2B5EF4-FFF2-40B4-BE49-F238E27FC236}">
              <a16:creationId xmlns:a16="http://schemas.microsoft.com/office/drawing/2014/main" id="{C794D1BC-7009-4EC3-B896-BE3BFCDE743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77" name="文字方塊 276">
          <a:extLst>
            <a:ext uri="{FF2B5EF4-FFF2-40B4-BE49-F238E27FC236}">
              <a16:creationId xmlns:a16="http://schemas.microsoft.com/office/drawing/2014/main" id="{C7357DC9-2D1B-47E7-A625-E63EA11EB4B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78" name="文字方塊 8">
          <a:extLst>
            <a:ext uri="{FF2B5EF4-FFF2-40B4-BE49-F238E27FC236}">
              <a16:creationId xmlns:a16="http://schemas.microsoft.com/office/drawing/2014/main" id="{E2591657-95DD-4EF4-923B-048C492E4639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79" name="文字方塊 278">
          <a:extLst>
            <a:ext uri="{FF2B5EF4-FFF2-40B4-BE49-F238E27FC236}">
              <a16:creationId xmlns:a16="http://schemas.microsoft.com/office/drawing/2014/main" id="{4518661C-31C8-48DD-8A9C-AE35C5A406C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0" name="文字方塊 279">
          <a:extLst>
            <a:ext uri="{FF2B5EF4-FFF2-40B4-BE49-F238E27FC236}">
              <a16:creationId xmlns:a16="http://schemas.microsoft.com/office/drawing/2014/main" id="{0D64C507-283B-412A-A0C7-57E4E743818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1" name="文字方塊 280">
          <a:extLst>
            <a:ext uri="{FF2B5EF4-FFF2-40B4-BE49-F238E27FC236}">
              <a16:creationId xmlns:a16="http://schemas.microsoft.com/office/drawing/2014/main" id="{B6B3D080-143F-4EF8-B1E8-A1CD8781965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82" name="文字方塊 8">
          <a:extLst>
            <a:ext uri="{FF2B5EF4-FFF2-40B4-BE49-F238E27FC236}">
              <a16:creationId xmlns:a16="http://schemas.microsoft.com/office/drawing/2014/main" id="{F9D18476-2D86-4DFC-8232-62636D436928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3" name="文字方塊 282">
          <a:extLst>
            <a:ext uri="{FF2B5EF4-FFF2-40B4-BE49-F238E27FC236}">
              <a16:creationId xmlns:a16="http://schemas.microsoft.com/office/drawing/2014/main" id="{F7DEAE34-DAFC-4250-B674-279450BEED1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4" name="文字方塊 283">
          <a:extLst>
            <a:ext uri="{FF2B5EF4-FFF2-40B4-BE49-F238E27FC236}">
              <a16:creationId xmlns:a16="http://schemas.microsoft.com/office/drawing/2014/main" id="{AD109AC5-1477-4919-853F-9B707A641AB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5" name="文字方塊 284">
          <a:extLst>
            <a:ext uri="{FF2B5EF4-FFF2-40B4-BE49-F238E27FC236}">
              <a16:creationId xmlns:a16="http://schemas.microsoft.com/office/drawing/2014/main" id="{2B6C4C1C-9BD1-4B95-9A42-C617A44CC09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86" name="文字方塊 8">
          <a:extLst>
            <a:ext uri="{FF2B5EF4-FFF2-40B4-BE49-F238E27FC236}">
              <a16:creationId xmlns:a16="http://schemas.microsoft.com/office/drawing/2014/main" id="{BBC165CD-E1B0-4AB8-B4D2-81FFD8D40259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7" name="文字方塊 286">
          <a:extLst>
            <a:ext uri="{FF2B5EF4-FFF2-40B4-BE49-F238E27FC236}">
              <a16:creationId xmlns:a16="http://schemas.microsoft.com/office/drawing/2014/main" id="{526352D3-3007-49DA-863B-051AE2FC44F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8" name="文字方塊 287">
          <a:extLst>
            <a:ext uri="{FF2B5EF4-FFF2-40B4-BE49-F238E27FC236}">
              <a16:creationId xmlns:a16="http://schemas.microsoft.com/office/drawing/2014/main" id="{E31965BF-5FF1-4509-9AB3-7C1410DDB1C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9" name="文字方塊 288">
          <a:extLst>
            <a:ext uri="{FF2B5EF4-FFF2-40B4-BE49-F238E27FC236}">
              <a16:creationId xmlns:a16="http://schemas.microsoft.com/office/drawing/2014/main" id="{BEEB803F-FC3E-46C1-B161-D0B18BDD9FE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90" name="文字方塊 8">
          <a:extLst>
            <a:ext uri="{FF2B5EF4-FFF2-40B4-BE49-F238E27FC236}">
              <a16:creationId xmlns:a16="http://schemas.microsoft.com/office/drawing/2014/main" id="{A5272D48-EB9C-4BBA-8265-73B7612A962B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91" name="文字方塊 290">
          <a:extLst>
            <a:ext uri="{FF2B5EF4-FFF2-40B4-BE49-F238E27FC236}">
              <a16:creationId xmlns:a16="http://schemas.microsoft.com/office/drawing/2014/main" id="{E926E86E-20FB-4CDE-AD20-E3451D0D79D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92" name="文字方塊 291">
          <a:extLst>
            <a:ext uri="{FF2B5EF4-FFF2-40B4-BE49-F238E27FC236}">
              <a16:creationId xmlns:a16="http://schemas.microsoft.com/office/drawing/2014/main" id="{CB47FC28-B691-4F75-A884-75A2D25CB98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93" name="文字方塊 292">
          <a:extLst>
            <a:ext uri="{FF2B5EF4-FFF2-40B4-BE49-F238E27FC236}">
              <a16:creationId xmlns:a16="http://schemas.microsoft.com/office/drawing/2014/main" id="{AB6CD458-019D-429D-8A8C-019E2760F20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94" name="文字方塊 8">
          <a:extLst>
            <a:ext uri="{FF2B5EF4-FFF2-40B4-BE49-F238E27FC236}">
              <a16:creationId xmlns:a16="http://schemas.microsoft.com/office/drawing/2014/main" id="{ACBFAAC2-E450-4757-A72D-E5046FE5461A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95" name="文字方塊 294">
          <a:extLst>
            <a:ext uri="{FF2B5EF4-FFF2-40B4-BE49-F238E27FC236}">
              <a16:creationId xmlns:a16="http://schemas.microsoft.com/office/drawing/2014/main" id="{982F5282-DC60-4881-9259-A0C488D2305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96" name="文字方塊 295">
          <a:extLst>
            <a:ext uri="{FF2B5EF4-FFF2-40B4-BE49-F238E27FC236}">
              <a16:creationId xmlns:a16="http://schemas.microsoft.com/office/drawing/2014/main" id="{641A7C23-9298-4FD3-BA94-4A76B094E1E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24669750" y="1642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>
          <a:spLocks noChangeAspect="1"/>
        </xdr:cNvSpPr>
      </xdr:nvSpPr>
      <xdr:spPr>
        <a:xfrm>
          <a:off x="24669750" y="107005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twoCellAnchor editAs="oneCell">
    <xdr:from>
      <xdr:col>3</xdr:col>
      <xdr:colOff>123269</xdr:colOff>
      <xdr:row>1</xdr:row>
      <xdr:rowOff>56021</xdr:rowOff>
    </xdr:from>
    <xdr:to>
      <xdr:col>5</xdr:col>
      <xdr:colOff>669622</xdr:colOff>
      <xdr:row>4</xdr:row>
      <xdr:rowOff>64717</xdr:rowOff>
    </xdr:to>
    <xdr:sp macro="[0]!auto_length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951944" y="360821"/>
          <a:ext cx="2165603" cy="551621"/>
        </a:xfrm>
        <a:prstGeom prst="rect">
          <a:avLst/>
        </a:prstGeom>
        <a:solidFill>
          <a:schemeClr val="bg1"/>
        </a:solidFill>
        <a:ln w="38100">
          <a:solidFill>
            <a:schemeClr val="accent2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2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計算長度</a:t>
          </a:r>
        </a:p>
      </xdr:txBody>
    </xdr:sp>
    <xdr:clientData/>
  </xdr:twoCellAnchor>
  <xdr:oneCellAnchor>
    <xdr:from>
      <xdr:col>13</xdr:col>
      <xdr:colOff>134475</xdr:colOff>
      <xdr:row>1</xdr:row>
      <xdr:rowOff>56021</xdr:rowOff>
    </xdr:from>
    <xdr:ext cx="2160000" cy="360000"/>
    <xdr:sp macro="[0]!auto_angle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spect="1"/>
        </xdr:cNvSpPr>
      </xdr:nvSpPr>
      <xdr:spPr>
        <a:xfrm>
          <a:off x="6240000" y="360821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4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計算角度</a:t>
          </a:r>
          <a:r>
            <a:rPr lang="en-US" altLang="zh-TW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(°)</a:t>
          </a:r>
          <a:endParaRPr lang="zh-TW" altLang="en-US" sz="1600" b="1">
            <a:solidFill>
              <a:schemeClr val="accent4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oneCellAnchor>
  <xdr:oneCellAnchor>
    <xdr:from>
      <xdr:col>24</xdr:col>
      <xdr:colOff>134475</xdr:colOff>
      <xdr:row>1</xdr:row>
      <xdr:rowOff>56022</xdr:rowOff>
    </xdr:from>
    <xdr:ext cx="2160000" cy="360000"/>
    <xdr:sp macro="[0]!auto_area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11793075" y="360822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6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計算面積</a:t>
          </a:r>
        </a:p>
      </xdr:txBody>
    </xdr:sp>
    <xdr:clientData/>
  </xdr:oneCellAnchor>
  <xdr:twoCellAnchor editAs="oneCell">
    <xdr:from>
      <xdr:col>6</xdr:col>
      <xdr:colOff>85169</xdr:colOff>
      <xdr:row>1</xdr:row>
      <xdr:rowOff>51539</xdr:rowOff>
    </xdr:from>
    <xdr:to>
      <xdr:col>7</xdr:col>
      <xdr:colOff>718346</xdr:colOff>
      <xdr:row>4</xdr:row>
      <xdr:rowOff>60235</xdr:rowOff>
    </xdr:to>
    <xdr:sp macro="[0]!clear_length" textlink="">
      <xdr:nvSpPr>
        <xdr:cNvPr id="7" name="矩形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>
          <a:spLocks/>
        </xdr:cNvSpPr>
      </xdr:nvSpPr>
      <xdr:spPr>
        <a:xfrm>
          <a:off x="3342719" y="356339"/>
          <a:ext cx="1442802" cy="551621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twoCellAnchor>
  <xdr:oneCellAnchor>
    <xdr:from>
      <xdr:col>16</xdr:col>
      <xdr:colOff>85169</xdr:colOff>
      <xdr:row>1</xdr:row>
      <xdr:rowOff>51539</xdr:rowOff>
    </xdr:from>
    <xdr:ext cx="1440000" cy="360000"/>
    <xdr:sp macro="[0]!clear_angle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/>
        </xdr:cNvSpPr>
      </xdr:nvSpPr>
      <xdr:spPr>
        <a:xfrm>
          <a:off x="8619569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27</xdr:col>
      <xdr:colOff>85169</xdr:colOff>
      <xdr:row>1</xdr:row>
      <xdr:rowOff>51539</xdr:rowOff>
    </xdr:from>
    <xdr:ext cx="1440000" cy="360000"/>
    <xdr:sp macro="[0]!clear_area" textlink="">
      <xdr:nvSpPr>
        <xdr:cNvPr id="9" name="矩形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/>
        </xdr:cNvSpPr>
      </xdr:nvSpPr>
      <xdr:spPr>
        <a:xfrm>
          <a:off x="14172644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F517B24A-F8E6-4393-98F0-2D2F8FE3DE1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DB90D762-1A2E-4135-9C9A-5157A563D495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B2B33E8F-0547-41FB-9152-9BE54924357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6449B220-EF0B-49FE-A867-7D78F393A21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1599BAE5-1B4F-4104-8AC4-F3F34C245F4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B3BB934E-4B0B-4EB2-8BF3-59A985C018D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6" name="文字方塊 8">
          <a:extLst>
            <a:ext uri="{FF2B5EF4-FFF2-40B4-BE49-F238E27FC236}">
              <a16:creationId xmlns:a16="http://schemas.microsoft.com/office/drawing/2014/main" id="{DE0D3FFC-6B6D-4092-A116-2DC460C55FA1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7" name="文字方塊 9">
          <a:extLst>
            <a:ext uri="{FF2B5EF4-FFF2-40B4-BE49-F238E27FC236}">
              <a16:creationId xmlns:a16="http://schemas.microsoft.com/office/drawing/2014/main" id="{8CB2AFCE-8316-456F-B163-FB4544E58ED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49F3B47A-01D4-4C3E-A3F6-2AE3F3B29CB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BEBF3221-FE22-4DB9-A3B0-97E1CA901F6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A983146A-2653-479F-ACCC-7D487B946A3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CA894DC4-697E-4074-ADF2-3A1130529D0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C4A7C102-4C2B-4840-BE95-FFDBB06F47D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CB613CE5-B789-4498-8AAB-06E39321399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4" name="文字方塊 8">
          <a:extLst>
            <a:ext uri="{FF2B5EF4-FFF2-40B4-BE49-F238E27FC236}">
              <a16:creationId xmlns:a16="http://schemas.microsoft.com/office/drawing/2014/main" id="{2D496966-AA14-4CF5-90B9-1353D5FA2937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5" name="文字方塊 9">
          <a:extLst>
            <a:ext uri="{FF2B5EF4-FFF2-40B4-BE49-F238E27FC236}">
              <a16:creationId xmlns:a16="http://schemas.microsoft.com/office/drawing/2014/main" id="{E20C5DF7-AD4D-4A6D-B3F8-887F990AEB8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0C789009-2C18-4F01-914E-A6AA650B2BB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C875489B-61C8-449E-A67C-AE2BB444257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5344C37E-6045-48B3-A9B7-375147B11D4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5707CDBD-F63F-43C7-96E5-CB817EADD31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21586160-06E3-460D-801E-938117BF3C5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1F87A8F4-742D-48EA-BBED-8B54D4128BD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32" name="文字方塊 8">
          <a:extLst>
            <a:ext uri="{FF2B5EF4-FFF2-40B4-BE49-F238E27FC236}">
              <a16:creationId xmlns:a16="http://schemas.microsoft.com/office/drawing/2014/main" id="{1CBD4CE4-3CC9-4306-A8DA-29174B02A46B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33" name="文字方塊 9">
          <a:extLst>
            <a:ext uri="{FF2B5EF4-FFF2-40B4-BE49-F238E27FC236}">
              <a16:creationId xmlns:a16="http://schemas.microsoft.com/office/drawing/2014/main" id="{C139B6CB-4E9D-4614-BCE1-D2ADE6BA6D0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FA9F9C0D-D62E-47C5-8B46-4EFCA23D49D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9C862950-B1B1-4BEA-B3A4-51628EF51BF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6" name="文字方塊 35">
          <a:extLst>
            <a:ext uri="{FF2B5EF4-FFF2-40B4-BE49-F238E27FC236}">
              <a16:creationId xmlns:a16="http://schemas.microsoft.com/office/drawing/2014/main" id="{A20B9F8D-C331-44F0-9F8C-3DE99967102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89FA648A-3706-4FBF-A3A8-883E0B2F381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ACD14576-6E13-4129-BD2B-21D4EB0636D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504E1F00-85E3-4D5F-9421-86A54B5A1BD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0" name="文字方塊 8">
          <a:extLst>
            <a:ext uri="{FF2B5EF4-FFF2-40B4-BE49-F238E27FC236}">
              <a16:creationId xmlns:a16="http://schemas.microsoft.com/office/drawing/2014/main" id="{7630537D-3A39-4CAE-AF1D-F05EABC25988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1" name="文字方塊 9">
          <a:extLst>
            <a:ext uri="{FF2B5EF4-FFF2-40B4-BE49-F238E27FC236}">
              <a16:creationId xmlns:a16="http://schemas.microsoft.com/office/drawing/2014/main" id="{D468F5DA-CEC5-4F00-BA15-2C15621DD10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C2201671-91B2-4656-B3EC-0BA56D05AC4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2F392E68-47C3-464D-AE0E-ED64BDE0B73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0D3F0714-E93F-4DE7-9FBA-83461A7D19C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5" name="文字方塊 44">
          <a:extLst>
            <a:ext uri="{FF2B5EF4-FFF2-40B4-BE49-F238E27FC236}">
              <a16:creationId xmlns:a16="http://schemas.microsoft.com/office/drawing/2014/main" id="{D4E82973-B249-4CDC-A3C6-73BC74878D3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9A4BB0EB-A3E5-4A4A-BFA2-9D20B5B3875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B7EA8BA7-797E-44D1-83DF-1770E43B14B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8" name="文字方塊 8">
          <a:extLst>
            <a:ext uri="{FF2B5EF4-FFF2-40B4-BE49-F238E27FC236}">
              <a16:creationId xmlns:a16="http://schemas.microsoft.com/office/drawing/2014/main" id="{6A782D84-ACC9-4C44-9D7F-A9E210DCD106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9" name="文字方塊 9">
          <a:extLst>
            <a:ext uri="{FF2B5EF4-FFF2-40B4-BE49-F238E27FC236}">
              <a16:creationId xmlns:a16="http://schemas.microsoft.com/office/drawing/2014/main" id="{212D5702-3694-4DCE-AA41-FE89E06CEAE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FBA2B8D9-495F-471E-A195-B8DCFDF142A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3FCF534C-AE6D-4FF7-91FB-0830BFC8654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2" name="文字方塊 51">
          <a:extLst>
            <a:ext uri="{FF2B5EF4-FFF2-40B4-BE49-F238E27FC236}">
              <a16:creationId xmlns:a16="http://schemas.microsoft.com/office/drawing/2014/main" id="{41F63E5D-D5FE-40AC-AF12-67409892A7A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3" name="文字方塊 52">
          <a:extLst>
            <a:ext uri="{FF2B5EF4-FFF2-40B4-BE49-F238E27FC236}">
              <a16:creationId xmlns:a16="http://schemas.microsoft.com/office/drawing/2014/main" id="{077FDD3C-67A5-4BC4-A926-75B598B07AC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CE21276B-EF97-46C3-A12E-71D3FB3E924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5" name="文字方塊 8">
          <a:extLst>
            <a:ext uri="{FF2B5EF4-FFF2-40B4-BE49-F238E27FC236}">
              <a16:creationId xmlns:a16="http://schemas.microsoft.com/office/drawing/2014/main" id="{63338FC4-1058-4B9E-AAAD-F3341837F9DC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6" name="文字方塊 55">
          <a:extLst>
            <a:ext uri="{FF2B5EF4-FFF2-40B4-BE49-F238E27FC236}">
              <a16:creationId xmlns:a16="http://schemas.microsoft.com/office/drawing/2014/main" id="{B02EC849-D2D1-422D-AB0C-0A7C4ADC180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7" name="文字方塊 56">
          <a:extLst>
            <a:ext uri="{FF2B5EF4-FFF2-40B4-BE49-F238E27FC236}">
              <a16:creationId xmlns:a16="http://schemas.microsoft.com/office/drawing/2014/main" id="{AE3B4617-97DD-469B-B19A-2C43C912AA8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ACA15437-6192-4DEF-A4BD-8955C6DE338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9" name="文字方塊 8">
          <a:extLst>
            <a:ext uri="{FF2B5EF4-FFF2-40B4-BE49-F238E27FC236}">
              <a16:creationId xmlns:a16="http://schemas.microsoft.com/office/drawing/2014/main" id="{6C9E7082-2C95-44A6-AAB8-04F692BC6E2D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0" name="文字方塊 59">
          <a:extLst>
            <a:ext uri="{FF2B5EF4-FFF2-40B4-BE49-F238E27FC236}">
              <a16:creationId xmlns:a16="http://schemas.microsoft.com/office/drawing/2014/main" id="{09DD5423-1A2C-4A8C-AF6A-A70FFD42279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87ABB9A5-27D2-4FF6-8425-2ABBE25889D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F875F78D-20A9-4E4A-951D-D641C703C3E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3" name="文字方塊 8">
          <a:extLst>
            <a:ext uri="{FF2B5EF4-FFF2-40B4-BE49-F238E27FC236}">
              <a16:creationId xmlns:a16="http://schemas.microsoft.com/office/drawing/2014/main" id="{C3BBED40-F3DA-44F8-B753-98E86C523A9E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4" name="文字方塊 63">
          <a:extLst>
            <a:ext uri="{FF2B5EF4-FFF2-40B4-BE49-F238E27FC236}">
              <a16:creationId xmlns:a16="http://schemas.microsoft.com/office/drawing/2014/main" id="{3A4F1371-1C51-4B31-9291-7FFD0528904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5" name="文字方塊 64">
          <a:extLst>
            <a:ext uri="{FF2B5EF4-FFF2-40B4-BE49-F238E27FC236}">
              <a16:creationId xmlns:a16="http://schemas.microsoft.com/office/drawing/2014/main" id="{7D50A371-B3CE-4379-8596-13C78E19679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F5950B85-DC5E-4A1B-9E63-EDEFC2040D5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7" name="文字方塊 8">
          <a:extLst>
            <a:ext uri="{FF2B5EF4-FFF2-40B4-BE49-F238E27FC236}">
              <a16:creationId xmlns:a16="http://schemas.microsoft.com/office/drawing/2014/main" id="{4F59E029-8A14-47BB-9F39-ADE1E4A3A638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8" name="文字方塊 67">
          <a:extLst>
            <a:ext uri="{FF2B5EF4-FFF2-40B4-BE49-F238E27FC236}">
              <a16:creationId xmlns:a16="http://schemas.microsoft.com/office/drawing/2014/main" id="{7D99FA8E-3CFA-4AF5-A032-1595800FD91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F0821162-D45B-4A03-8965-7779986712A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1CB5E0F8-2D0D-4B8A-9402-4A705A7080F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1" name="文字方塊 8">
          <a:extLst>
            <a:ext uri="{FF2B5EF4-FFF2-40B4-BE49-F238E27FC236}">
              <a16:creationId xmlns:a16="http://schemas.microsoft.com/office/drawing/2014/main" id="{E0428A21-8612-47DC-BF09-952470F7ECC2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2" name="文字方塊 71">
          <a:extLst>
            <a:ext uri="{FF2B5EF4-FFF2-40B4-BE49-F238E27FC236}">
              <a16:creationId xmlns:a16="http://schemas.microsoft.com/office/drawing/2014/main" id="{3F3FFF74-D056-4A8A-8145-E734A3C71DD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3" name="文字方塊 72">
          <a:extLst>
            <a:ext uri="{FF2B5EF4-FFF2-40B4-BE49-F238E27FC236}">
              <a16:creationId xmlns:a16="http://schemas.microsoft.com/office/drawing/2014/main" id="{A4681F5A-1212-47C2-B2AC-73E6082C1C6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4" name="文字方塊 73">
          <a:extLst>
            <a:ext uri="{FF2B5EF4-FFF2-40B4-BE49-F238E27FC236}">
              <a16:creationId xmlns:a16="http://schemas.microsoft.com/office/drawing/2014/main" id="{9309C2E6-3E5B-49BD-AAAE-6B7EABF02AC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5" name="文字方塊 8">
          <a:extLst>
            <a:ext uri="{FF2B5EF4-FFF2-40B4-BE49-F238E27FC236}">
              <a16:creationId xmlns:a16="http://schemas.microsoft.com/office/drawing/2014/main" id="{356AF316-E417-4FE7-A593-639D14C7079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6" name="文字方塊 75">
          <a:extLst>
            <a:ext uri="{FF2B5EF4-FFF2-40B4-BE49-F238E27FC236}">
              <a16:creationId xmlns:a16="http://schemas.microsoft.com/office/drawing/2014/main" id="{EEF24335-921D-4356-8849-79586852ED6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AB0A4A24-AD92-4FDC-BC63-05C6F2C20D5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8" name="文字方塊 77">
          <a:extLst>
            <a:ext uri="{FF2B5EF4-FFF2-40B4-BE49-F238E27FC236}">
              <a16:creationId xmlns:a16="http://schemas.microsoft.com/office/drawing/2014/main" id="{07D2E75A-3D16-4198-9298-96EB744520F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9" name="文字方塊 78">
          <a:extLst>
            <a:ext uri="{FF2B5EF4-FFF2-40B4-BE49-F238E27FC236}">
              <a16:creationId xmlns:a16="http://schemas.microsoft.com/office/drawing/2014/main" id="{D0E13708-DDE2-426A-8859-0DA0A48FEE3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0" name="文字方塊 8">
          <a:extLst>
            <a:ext uri="{FF2B5EF4-FFF2-40B4-BE49-F238E27FC236}">
              <a16:creationId xmlns:a16="http://schemas.microsoft.com/office/drawing/2014/main" id="{62957F0F-ED1D-47D8-8127-B5B2112B2423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1" name="文字方塊 80">
          <a:extLst>
            <a:ext uri="{FF2B5EF4-FFF2-40B4-BE49-F238E27FC236}">
              <a16:creationId xmlns:a16="http://schemas.microsoft.com/office/drawing/2014/main" id="{E7C25DEB-EAEC-4128-B36F-F89C6DFF004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2" name="文字方塊 81">
          <a:extLst>
            <a:ext uri="{FF2B5EF4-FFF2-40B4-BE49-F238E27FC236}">
              <a16:creationId xmlns:a16="http://schemas.microsoft.com/office/drawing/2014/main" id="{76C1614E-124A-422C-9183-FEA55F11BC9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3" name="文字方塊 82">
          <a:extLst>
            <a:ext uri="{FF2B5EF4-FFF2-40B4-BE49-F238E27FC236}">
              <a16:creationId xmlns:a16="http://schemas.microsoft.com/office/drawing/2014/main" id="{79792651-DEB9-4859-B693-80676FBDFC5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4" name="文字方塊 8">
          <a:extLst>
            <a:ext uri="{FF2B5EF4-FFF2-40B4-BE49-F238E27FC236}">
              <a16:creationId xmlns:a16="http://schemas.microsoft.com/office/drawing/2014/main" id="{AAA0940B-D2EA-4C2D-9FFC-85D4D2A08848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5" name="文字方塊 84">
          <a:extLst>
            <a:ext uri="{FF2B5EF4-FFF2-40B4-BE49-F238E27FC236}">
              <a16:creationId xmlns:a16="http://schemas.microsoft.com/office/drawing/2014/main" id="{238CA40A-F948-4A28-B16D-A86D9156F3A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6" name="文字方塊 85">
          <a:extLst>
            <a:ext uri="{FF2B5EF4-FFF2-40B4-BE49-F238E27FC236}">
              <a16:creationId xmlns:a16="http://schemas.microsoft.com/office/drawing/2014/main" id="{9D921FE6-74BD-471B-B2B6-9A03AC5803B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7" name="文字方塊 86">
          <a:extLst>
            <a:ext uri="{FF2B5EF4-FFF2-40B4-BE49-F238E27FC236}">
              <a16:creationId xmlns:a16="http://schemas.microsoft.com/office/drawing/2014/main" id="{34224816-6557-4B94-AB73-18CE6E9DDF2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8" name="文字方塊 8">
          <a:extLst>
            <a:ext uri="{FF2B5EF4-FFF2-40B4-BE49-F238E27FC236}">
              <a16:creationId xmlns:a16="http://schemas.microsoft.com/office/drawing/2014/main" id="{82977D69-4238-48F8-8ADB-E6CAA0627477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9" name="文字方塊 88">
          <a:extLst>
            <a:ext uri="{FF2B5EF4-FFF2-40B4-BE49-F238E27FC236}">
              <a16:creationId xmlns:a16="http://schemas.microsoft.com/office/drawing/2014/main" id="{7675103E-6579-41C3-BFAB-0C2D6C20597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0" name="文字方塊 89">
          <a:extLst>
            <a:ext uri="{FF2B5EF4-FFF2-40B4-BE49-F238E27FC236}">
              <a16:creationId xmlns:a16="http://schemas.microsoft.com/office/drawing/2014/main" id="{4035C785-C885-4994-B458-B1ABA007819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1" name="文字方塊 90">
          <a:extLst>
            <a:ext uri="{FF2B5EF4-FFF2-40B4-BE49-F238E27FC236}">
              <a16:creationId xmlns:a16="http://schemas.microsoft.com/office/drawing/2014/main" id="{1D631921-BCAF-4224-BB80-D39389438CE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92" name="文字方塊 8">
          <a:extLst>
            <a:ext uri="{FF2B5EF4-FFF2-40B4-BE49-F238E27FC236}">
              <a16:creationId xmlns:a16="http://schemas.microsoft.com/office/drawing/2014/main" id="{73F80A64-B6D2-4AC5-A337-0E5EE5F50D8A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3" name="文字方塊 92">
          <a:extLst>
            <a:ext uri="{FF2B5EF4-FFF2-40B4-BE49-F238E27FC236}">
              <a16:creationId xmlns:a16="http://schemas.microsoft.com/office/drawing/2014/main" id="{183775E7-B17D-49AD-B90D-B65049A3AE6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4" name="文字方塊 93">
          <a:extLst>
            <a:ext uri="{FF2B5EF4-FFF2-40B4-BE49-F238E27FC236}">
              <a16:creationId xmlns:a16="http://schemas.microsoft.com/office/drawing/2014/main" id="{B4D1E874-F711-4F5A-A9BC-9492F1B51DE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5" name="文字方塊 94">
          <a:extLst>
            <a:ext uri="{FF2B5EF4-FFF2-40B4-BE49-F238E27FC236}">
              <a16:creationId xmlns:a16="http://schemas.microsoft.com/office/drawing/2014/main" id="{0585CCD8-1B70-4CE5-AE4A-A3D35DA7289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96" name="文字方塊 8">
          <a:extLst>
            <a:ext uri="{FF2B5EF4-FFF2-40B4-BE49-F238E27FC236}">
              <a16:creationId xmlns:a16="http://schemas.microsoft.com/office/drawing/2014/main" id="{DCBF0D3D-E6AD-4855-9AF3-8FDAE82B24B2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7" name="文字方塊 96">
          <a:extLst>
            <a:ext uri="{FF2B5EF4-FFF2-40B4-BE49-F238E27FC236}">
              <a16:creationId xmlns:a16="http://schemas.microsoft.com/office/drawing/2014/main" id="{C0818749-E7B0-4353-A928-7850467C8E6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8" name="文字方塊 97">
          <a:extLst>
            <a:ext uri="{FF2B5EF4-FFF2-40B4-BE49-F238E27FC236}">
              <a16:creationId xmlns:a16="http://schemas.microsoft.com/office/drawing/2014/main" id="{C2A6199C-4F30-43B9-946C-89CCE6AE52B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9" name="文字方塊 98">
          <a:extLst>
            <a:ext uri="{FF2B5EF4-FFF2-40B4-BE49-F238E27FC236}">
              <a16:creationId xmlns:a16="http://schemas.microsoft.com/office/drawing/2014/main" id="{0B76C993-E222-45C9-A487-1418D258885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0" name="文字方塊 8">
          <a:extLst>
            <a:ext uri="{FF2B5EF4-FFF2-40B4-BE49-F238E27FC236}">
              <a16:creationId xmlns:a16="http://schemas.microsoft.com/office/drawing/2014/main" id="{6547B105-EC9C-4B62-A4EA-06219029CD91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1" name="文字方塊 100">
          <a:extLst>
            <a:ext uri="{FF2B5EF4-FFF2-40B4-BE49-F238E27FC236}">
              <a16:creationId xmlns:a16="http://schemas.microsoft.com/office/drawing/2014/main" id="{A452D5B3-8D93-40E4-B123-6F7C6F901A8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2" name="文字方塊 101">
          <a:extLst>
            <a:ext uri="{FF2B5EF4-FFF2-40B4-BE49-F238E27FC236}">
              <a16:creationId xmlns:a16="http://schemas.microsoft.com/office/drawing/2014/main" id="{61FA260B-032C-4591-8C89-EAFCB90F7B5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3" name="文字方塊 102">
          <a:extLst>
            <a:ext uri="{FF2B5EF4-FFF2-40B4-BE49-F238E27FC236}">
              <a16:creationId xmlns:a16="http://schemas.microsoft.com/office/drawing/2014/main" id="{A8C0F695-6669-4AC5-B35C-DBD6331AEDC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4" name="文字方塊 8">
          <a:extLst>
            <a:ext uri="{FF2B5EF4-FFF2-40B4-BE49-F238E27FC236}">
              <a16:creationId xmlns:a16="http://schemas.microsoft.com/office/drawing/2014/main" id="{9E3C275C-ED19-443F-B7AC-B91CE3E76EC7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5" name="文字方塊 104">
          <a:extLst>
            <a:ext uri="{FF2B5EF4-FFF2-40B4-BE49-F238E27FC236}">
              <a16:creationId xmlns:a16="http://schemas.microsoft.com/office/drawing/2014/main" id="{F7C53168-F0E6-43CB-80D8-9E1D5D82D08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6" name="文字方塊 105">
          <a:extLst>
            <a:ext uri="{FF2B5EF4-FFF2-40B4-BE49-F238E27FC236}">
              <a16:creationId xmlns:a16="http://schemas.microsoft.com/office/drawing/2014/main" id="{67FEDF25-B76F-4EAB-A4E2-3FD99871DD6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24669750" y="1642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>
          <a:spLocks noChangeAspect="1"/>
        </xdr:cNvSpPr>
      </xdr:nvSpPr>
      <xdr:spPr>
        <a:xfrm>
          <a:off x="24669750" y="107005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twoCellAnchor editAs="oneCell">
    <xdr:from>
      <xdr:col>3</xdr:col>
      <xdr:colOff>123269</xdr:colOff>
      <xdr:row>1</xdr:row>
      <xdr:rowOff>56021</xdr:rowOff>
    </xdr:from>
    <xdr:to>
      <xdr:col>5</xdr:col>
      <xdr:colOff>669622</xdr:colOff>
      <xdr:row>4</xdr:row>
      <xdr:rowOff>64717</xdr:rowOff>
    </xdr:to>
    <xdr:sp macro="[0]!auto_length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>
          <a:spLocks noChangeAspect="1"/>
        </xdr:cNvSpPr>
      </xdr:nvSpPr>
      <xdr:spPr>
        <a:xfrm>
          <a:off x="951944" y="360821"/>
          <a:ext cx="2165603" cy="551621"/>
        </a:xfrm>
        <a:prstGeom prst="rect">
          <a:avLst/>
        </a:prstGeom>
        <a:solidFill>
          <a:schemeClr val="bg1"/>
        </a:solidFill>
        <a:ln w="38100">
          <a:solidFill>
            <a:schemeClr val="accent2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2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計算長度</a:t>
          </a:r>
        </a:p>
      </xdr:txBody>
    </xdr:sp>
    <xdr:clientData/>
  </xdr:twoCellAnchor>
  <xdr:oneCellAnchor>
    <xdr:from>
      <xdr:col>13</xdr:col>
      <xdr:colOff>134475</xdr:colOff>
      <xdr:row>1</xdr:row>
      <xdr:rowOff>56021</xdr:rowOff>
    </xdr:from>
    <xdr:ext cx="2160000" cy="360000"/>
    <xdr:sp macro="[0]!auto_angle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>
          <a:spLocks noChangeAspect="1"/>
        </xdr:cNvSpPr>
      </xdr:nvSpPr>
      <xdr:spPr>
        <a:xfrm>
          <a:off x="6240000" y="360821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4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計算角度</a:t>
          </a:r>
          <a:r>
            <a:rPr lang="en-US" altLang="zh-TW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(°)</a:t>
          </a:r>
          <a:endParaRPr lang="zh-TW" altLang="en-US" sz="1600" b="1">
            <a:solidFill>
              <a:schemeClr val="accent4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oneCellAnchor>
  <xdr:oneCellAnchor>
    <xdr:from>
      <xdr:col>24</xdr:col>
      <xdr:colOff>134475</xdr:colOff>
      <xdr:row>1</xdr:row>
      <xdr:rowOff>56022</xdr:rowOff>
    </xdr:from>
    <xdr:ext cx="2160000" cy="360000"/>
    <xdr:sp macro="[0]!auto_area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>
          <a:spLocks noChangeAspect="1"/>
        </xdr:cNvSpPr>
      </xdr:nvSpPr>
      <xdr:spPr>
        <a:xfrm>
          <a:off x="11793075" y="360822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6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計算面積</a:t>
          </a:r>
        </a:p>
      </xdr:txBody>
    </xdr:sp>
    <xdr:clientData/>
  </xdr:oneCellAnchor>
  <xdr:twoCellAnchor editAs="oneCell">
    <xdr:from>
      <xdr:col>6</xdr:col>
      <xdr:colOff>85169</xdr:colOff>
      <xdr:row>1</xdr:row>
      <xdr:rowOff>51539</xdr:rowOff>
    </xdr:from>
    <xdr:to>
      <xdr:col>7</xdr:col>
      <xdr:colOff>718346</xdr:colOff>
      <xdr:row>4</xdr:row>
      <xdr:rowOff>60235</xdr:rowOff>
    </xdr:to>
    <xdr:sp macro="[0]!clear_length" textlink="">
      <xdr:nvSpPr>
        <xdr:cNvPr id="7" name="矩形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>
          <a:spLocks/>
        </xdr:cNvSpPr>
      </xdr:nvSpPr>
      <xdr:spPr>
        <a:xfrm>
          <a:off x="3342719" y="356339"/>
          <a:ext cx="1442802" cy="551621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twoCellAnchor>
  <xdr:oneCellAnchor>
    <xdr:from>
      <xdr:col>16</xdr:col>
      <xdr:colOff>85169</xdr:colOff>
      <xdr:row>1</xdr:row>
      <xdr:rowOff>51539</xdr:rowOff>
    </xdr:from>
    <xdr:ext cx="1440000" cy="360000"/>
    <xdr:sp macro="[0]!clear_angle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>
          <a:spLocks/>
        </xdr:cNvSpPr>
      </xdr:nvSpPr>
      <xdr:spPr>
        <a:xfrm>
          <a:off x="8619569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27</xdr:col>
      <xdr:colOff>85169</xdr:colOff>
      <xdr:row>1</xdr:row>
      <xdr:rowOff>51539</xdr:rowOff>
    </xdr:from>
    <xdr:ext cx="1440000" cy="360000"/>
    <xdr:sp macro="[0]!clear_area" textlink="">
      <xdr:nvSpPr>
        <xdr:cNvPr id="9" name="矩形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>
          <a:spLocks/>
        </xdr:cNvSpPr>
      </xdr:nvSpPr>
      <xdr:spPr>
        <a:xfrm>
          <a:off x="14172644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360AADBC-4FBE-4175-A278-4928AF56591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10DB93A3-095C-495A-A3B9-8997A5FF2187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D2F63907-94B2-4A53-97B4-906FB745DCA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50FE5627-C3BC-40A3-9F5B-B5672077A25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FEA67FBD-6F4C-40C2-865A-463240200EC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AC9412E4-0D03-49AA-870E-F92D138CCE5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6" name="文字方塊 8">
          <a:extLst>
            <a:ext uri="{FF2B5EF4-FFF2-40B4-BE49-F238E27FC236}">
              <a16:creationId xmlns:a16="http://schemas.microsoft.com/office/drawing/2014/main" id="{F7448EF4-ECC5-4ED5-A11E-91F56DFC6803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7" name="文字方塊 9">
          <a:extLst>
            <a:ext uri="{FF2B5EF4-FFF2-40B4-BE49-F238E27FC236}">
              <a16:creationId xmlns:a16="http://schemas.microsoft.com/office/drawing/2014/main" id="{E15ED0C6-713C-43B3-AAB1-4AAB87D7D89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919D1C1F-5DD3-4478-8F76-793DA31EEF1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DD4C4F6C-15C3-4408-9D88-AA8313C62C0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C2B5FF34-0A68-4521-8BA7-8B1E5E58C90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47BA54EB-7EC0-4A49-AF47-3FFD93481D9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551AC022-CC12-4E98-9417-D6E20F76361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7E961C91-E317-41C9-AC64-CD0C8669FA2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4" name="文字方塊 8">
          <a:extLst>
            <a:ext uri="{FF2B5EF4-FFF2-40B4-BE49-F238E27FC236}">
              <a16:creationId xmlns:a16="http://schemas.microsoft.com/office/drawing/2014/main" id="{CA5ACF45-5081-43AF-8BF2-431EC558BC4E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5" name="文字方塊 9">
          <a:extLst>
            <a:ext uri="{FF2B5EF4-FFF2-40B4-BE49-F238E27FC236}">
              <a16:creationId xmlns:a16="http://schemas.microsoft.com/office/drawing/2014/main" id="{2DF76B03-42F5-471A-B761-E7A5D9C578C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0547C650-9EDA-4E01-B012-A0746245993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E59FEFAB-E0D7-4307-8F08-5EC7C96694B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BED681DE-B754-4CED-BE9A-B506A37042B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5AF0DF7B-9593-4E45-8EEA-FD51B59621D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2A4CA5DC-36E0-4891-9F51-32291F24113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00462EAA-DF4A-4D71-8119-790C3AC182D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32" name="文字方塊 8">
          <a:extLst>
            <a:ext uri="{FF2B5EF4-FFF2-40B4-BE49-F238E27FC236}">
              <a16:creationId xmlns:a16="http://schemas.microsoft.com/office/drawing/2014/main" id="{634E5519-5530-4913-96B6-236ACF0C154E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33" name="文字方塊 9">
          <a:extLst>
            <a:ext uri="{FF2B5EF4-FFF2-40B4-BE49-F238E27FC236}">
              <a16:creationId xmlns:a16="http://schemas.microsoft.com/office/drawing/2014/main" id="{D5B36D24-DBD4-44D1-83A4-C30554792F3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163DE554-AE37-4145-926F-90A407C924C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48C16C15-06E0-452A-A537-E034EF413BD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6" name="文字方塊 35">
          <a:extLst>
            <a:ext uri="{FF2B5EF4-FFF2-40B4-BE49-F238E27FC236}">
              <a16:creationId xmlns:a16="http://schemas.microsoft.com/office/drawing/2014/main" id="{568C3779-1411-4F65-94C6-396C20410D4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45D03C6C-EFC2-4458-B65C-2AAA3387809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658E9FBD-6165-40C7-929F-61FB275E7A6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507B259D-A7AD-4ABF-B123-64F0B849535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0" name="文字方塊 8">
          <a:extLst>
            <a:ext uri="{FF2B5EF4-FFF2-40B4-BE49-F238E27FC236}">
              <a16:creationId xmlns:a16="http://schemas.microsoft.com/office/drawing/2014/main" id="{795AD9C5-4380-4613-B068-F217743D9834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1" name="文字方塊 9">
          <a:extLst>
            <a:ext uri="{FF2B5EF4-FFF2-40B4-BE49-F238E27FC236}">
              <a16:creationId xmlns:a16="http://schemas.microsoft.com/office/drawing/2014/main" id="{AABBAAB4-054D-4B2D-9E8E-39CB5523126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79B043D9-3AD3-442F-9E03-2DA84F0FF0B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93A96AED-55D3-4502-B8DF-43B91EF93B5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C3AAC4FC-277B-4F2C-98B7-8744E8ACC3E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5" name="文字方塊 44">
          <a:extLst>
            <a:ext uri="{FF2B5EF4-FFF2-40B4-BE49-F238E27FC236}">
              <a16:creationId xmlns:a16="http://schemas.microsoft.com/office/drawing/2014/main" id="{17017D34-F809-4E15-AB11-740D694C4CB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317B9CA2-7481-4CE7-ADE1-33CE0398545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836C9B57-9CA0-4154-8806-DAE601C8530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8" name="文字方塊 8">
          <a:extLst>
            <a:ext uri="{FF2B5EF4-FFF2-40B4-BE49-F238E27FC236}">
              <a16:creationId xmlns:a16="http://schemas.microsoft.com/office/drawing/2014/main" id="{68CC7E7B-B58E-4441-8C70-907707A96C8A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9" name="文字方塊 9">
          <a:extLst>
            <a:ext uri="{FF2B5EF4-FFF2-40B4-BE49-F238E27FC236}">
              <a16:creationId xmlns:a16="http://schemas.microsoft.com/office/drawing/2014/main" id="{EDEE8EFA-1C0E-4939-8929-D21D2AC4015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40BE3443-07EE-4C5D-9656-ABDDB777F1C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5F70830F-1FC4-4487-8E77-31E8E9FBA5D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2" name="文字方塊 51">
          <a:extLst>
            <a:ext uri="{FF2B5EF4-FFF2-40B4-BE49-F238E27FC236}">
              <a16:creationId xmlns:a16="http://schemas.microsoft.com/office/drawing/2014/main" id="{F61E165F-EDD1-477B-AA0D-BA576C246E4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3" name="文字方塊 52">
          <a:extLst>
            <a:ext uri="{FF2B5EF4-FFF2-40B4-BE49-F238E27FC236}">
              <a16:creationId xmlns:a16="http://schemas.microsoft.com/office/drawing/2014/main" id="{E9114CF9-9BF4-4A8D-81F3-8F13B435B83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FE41E6E2-1FF7-4C94-96AA-9A3B07FFB24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5" name="文字方塊 8">
          <a:extLst>
            <a:ext uri="{FF2B5EF4-FFF2-40B4-BE49-F238E27FC236}">
              <a16:creationId xmlns:a16="http://schemas.microsoft.com/office/drawing/2014/main" id="{647092E6-80B8-45CA-A310-27302510D170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6" name="文字方塊 55">
          <a:extLst>
            <a:ext uri="{FF2B5EF4-FFF2-40B4-BE49-F238E27FC236}">
              <a16:creationId xmlns:a16="http://schemas.microsoft.com/office/drawing/2014/main" id="{4F28FF86-D5D4-4957-BB85-8F8FA375711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7" name="文字方塊 56">
          <a:extLst>
            <a:ext uri="{FF2B5EF4-FFF2-40B4-BE49-F238E27FC236}">
              <a16:creationId xmlns:a16="http://schemas.microsoft.com/office/drawing/2014/main" id="{A8373B7E-3B93-4B76-9FDA-9F313C2A374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8785AC35-C53B-4182-B33D-1428106C714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9" name="文字方塊 8">
          <a:extLst>
            <a:ext uri="{FF2B5EF4-FFF2-40B4-BE49-F238E27FC236}">
              <a16:creationId xmlns:a16="http://schemas.microsoft.com/office/drawing/2014/main" id="{9A23C747-F071-42FF-BFDE-5D4D117CECE8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0" name="文字方塊 59">
          <a:extLst>
            <a:ext uri="{FF2B5EF4-FFF2-40B4-BE49-F238E27FC236}">
              <a16:creationId xmlns:a16="http://schemas.microsoft.com/office/drawing/2014/main" id="{80B1DB04-8FB8-4F65-A3B8-0C3E6EE82D2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981C177E-1D2C-41EB-8119-DA74D00DE0D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1AB44E06-A776-4075-8290-BDC323F7A35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3" name="文字方塊 8">
          <a:extLst>
            <a:ext uri="{FF2B5EF4-FFF2-40B4-BE49-F238E27FC236}">
              <a16:creationId xmlns:a16="http://schemas.microsoft.com/office/drawing/2014/main" id="{5473EE15-DF7E-4676-AA96-7C873AAD1249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4" name="文字方塊 63">
          <a:extLst>
            <a:ext uri="{FF2B5EF4-FFF2-40B4-BE49-F238E27FC236}">
              <a16:creationId xmlns:a16="http://schemas.microsoft.com/office/drawing/2014/main" id="{2AEB157E-61B3-46F0-A6C2-AFD1AAB40C1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5" name="文字方塊 64">
          <a:extLst>
            <a:ext uri="{FF2B5EF4-FFF2-40B4-BE49-F238E27FC236}">
              <a16:creationId xmlns:a16="http://schemas.microsoft.com/office/drawing/2014/main" id="{6761CB2B-D6CE-46F6-9239-C3ABA5926D2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9B2A3B2B-38F0-49F6-A444-85C2EB31666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7" name="文字方塊 8">
          <a:extLst>
            <a:ext uri="{FF2B5EF4-FFF2-40B4-BE49-F238E27FC236}">
              <a16:creationId xmlns:a16="http://schemas.microsoft.com/office/drawing/2014/main" id="{8C83BA10-0C71-4C8D-B2F3-4BDD00A97FD0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8" name="文字方塊 67">
          <a:extLst>
            <a:ext uri="{FF2B5EF4-FFF2-40B4-BE49-F238E27FC236}">
              <a16:creationId xmlns:a16="http://schemas.microsoft.com/office/drawing/2014/main" id="{B60130E0-78DB-49C9-A572-2FF4A6BD621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2AB1BBE3-AA05-474B-9C09-1EE52EEB946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2A7662A0-9176-4114-9C30-5DB86A83959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1" name="文字方塊 8">
          <a:extLst>
            <a:ext uri="{FF2B5EF4-FFF2-40B4-BE49-F238E27FC236}">
              <a16:creationId xmlns:a16="http://schemas.microsoft.com/office/drawing/2014/main" id="{3E025CE2-3461-4621-AD60-9C66E7EBEE66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2" name="文字方塊 71">
          <a:extLst>
            <a:ext uri="{FF2B5EF4-FFF2-40B4-BE49-F238E27FC236}">
              <a16:creationId xmlns:a16="http://schemas.microsoft.com/office/drawing/2014/main" id="{14363143-7EB3-4EB4-969E-5BC724ACC1B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3" name="文字方塊 72">
          <a:extLst>
            <a:ext uri="{FF2B5EF4-FFF2-40B4-BE49-F238E27FC236}">
              <a16:creationId xmlns:a16="http://schemas.microsoft.com/office/drawing/2014/main" id="{7DBF635C-FF9E-4790-9C66-67546F40011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4" name="文字方塊 73">
          <a:extLst>
            <a:ext uri="{FF2B5EF4-FFF2-40B4-BE49-F238E27FC236}">
              <a16:creationId xmlns:a16="http://schemas.microsoft.com/office/drawing/2014/main" id="{4CB2FF15-B577-4DE6-A9D3-274D16B67BF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5" name="文字方塊 8">
          <a:extLst>
            <a:ext uri="{FF2B5EF4-FFF2-40B4-BE49-F238E27FC236}">
              <a16:creationId xmlns:a16="http://schemas.microsoft.com/office/drawing/2014/main" id="{CEE8A101-C71D-403E-BDE8-0D85735A39A8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6" name="文字方塊 75">
          <a:extLst>
            <a:ext uri="{FF2B5EF4-FFF2-40B4-BE49-F238E27FC236}">
              <a16:creationId xmlns:a16="http://schemas.microsoft.com/office/drawing/2014/main" id="{25B0FE78-460C-4186-8029-0DB02114636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F90714E8-5F71-49DE-9C03-DB85F1C372C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8" name="文字方塊 77">
          <a:extLst>
            <a:ext uri="{FF2B5EF4-FFF2-40B4-BE49-F238E27FC236}">
              <a16:creationId xmlns:a16="http://schemas.microsoft.com/office/drawing/2014/main" id="{3EE1D92C-1FE0-4105-A38B-AC52DC353CB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9" name="文字方塊 78">
          <a:extLst>
            <a:ext uri="{FF2B5EF4-FFF2-40B4-BE49-F238E27FC236}">
              <a16:creationId xmlns:a16="http://schemas.microsoft.com/office/drawing/2014/main" id="{5B3EFC79-1210-4B0E-8A46-1C87285EB74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0" name="文字方塊 8">
          <a:extLst>
            <a:ext uri="{FF2B5EF4-FFF2-40B4-BE49-F238E27FC236}">
              <a16:creationId xmlns:a16="http://schemas.microsoft.com/office/drawing/2014/main" id="{6CDE76CC-5428-4C1B-8D9E-5707E36CF432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1" name="文字方塊 80">
          <a:extLst>
            <a:ext uri="{FF2B5EF4-FFF2-40B4-BE49-F238E27FC236}">
              <a16:creationId xmlns:a16="http://schemas.microsoft.com/office/drawing/2014/main" id="{C27B827D-6539-467A-8550-9B4A6D78024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2" name="文字方塊 81">
          <a:extLst>
            <a:ext uri="{FF2B5EF4-FFF2-40B4-BE49-F238E27FC236}">
              <a16:creationId xmlns:a16="http://schemas.microsoft.com/office/drawing/2014/main" id="{32C1547D-7663-4066-BC3E-37A51C08321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3" name="文字方塊 82">
          <a:extLst>
            <a:ext uri="{FF2B5EF4-FFF2-40B4-BE49-F238E27FC236}">
              <a16:creationId xmlns:a16="http://schemas.microsoft.com/office/drawing/2014/main" id="{6185A7A4-831F-4368-9020-3DC89658302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4" name="文字方塊 8">
          <a:extLst>
            <a:ext uri="{FF2B5EF4-FFF2-40B4-BE49-F238E27FC236}">
              <a16:creationId xmlns:a16="http://schemas.microsoft.com/office/drawing/2014/main" id="{12780649-A440-4044-8A96-B94E62B0171C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5" name="文字方塊 84">
          <a:extLst>
            <a:ext uri="{FF2B5EF4-FFF2-40B4-BE49-F238E27FC236}">
              <a16:creationId xmlns:a16="http://schemas.microsoft.com/office/drawing/2014/main" id="{511C9CFA-66F5-421D-9DA7-871C00878F4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6" name="文字方塊 85">
          <a:extLst>
            <a:ext uri="{FF2B5EF4-FFF2-40B4-BE49-F238E27FC236}">
              <a16:creationId xmlns:a16="http://schemas.microsoft.com/office/drawing/2014/main" id="{9306083A-AFE9-425F-BCC3-506A8AA03DD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7" name="文字方塊 86">
          <a:extLst>
            <a:ext uri="{FF2B5EF4-FFF2-40B4-BE49-F238E27FC236}">
              <a16:creationId xmlns:a16="http://schemas.microsoft.com/office/drawing/2014/main" id="{7C6C47B9-8476-4569-86BB-7132EFE7C1C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8" name="文字方塊 8">
          <a:extLst>
            <a:ext uri="{FF2B5EF4-FFF2-40B4-BE49-F238E27FC236}">
              <a16:creationId xmlns:a16="http://schemas.microsoft.com/office/drawing/2014/main" id="{85F912CB-E153-4216-96CE-F04EF20D623A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9" name="文字方塊 88">
          <a:extLst>
            <a:ext uri="{FF2B5EF4-FFF2-40B4-BE49-F238E27FC236}">
              <a16:creationId xmlns:a16="http://schemas.microsoft.com/office/drawing/2014/main" id="{69482644-18D1-4C5E-BE28-6ED69A94E42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0" name="文字方塊 89">
          <a:extLst>
            <a:ext uri="{FF2B5EF4-FFF2-40B4-BE49-F238E27FC236}">
              <a16:creationId xmlns:a16="http://schemas.microsoft.com/office/drawing/2014/main" id="{D1BA9F2B-09AD-40C0-A3CB-9A4F8C71C82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1" name="文字方塊 90">
          <a:extLst>
            <a:ext uri="{FF2B5EF4-FFF2-40B4-BE49-F238E27FC236}">
              <a16:creationId xmlns:a16="http://schemas.microsoft.com/office/drawing/2014/main" id="{05C5D0F6-C46C-451F-A06E-3EA93D2D4CA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92" name="文字方塊 8">
          <a:extLst>
            <a:ext uri="{FF2B5EF4-FFF2-40B4-BE49-F238E27FC236}">
              <a16:creationId xmlns:a16="http://schemas.microsoft.com/office/drawing/2014/main" id="{009F89DA-8B5F-4A69-B997-4F57B9ECA2B0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3" name="文字方塊 92">
          <a:extLst>
            <a:ext uri="{FF2B5EF4-FFF2-40B4-BE49-F238E27FC236}">
              <a16:creationId xmlns:a16="http://schemas.microsoft.com/office/drawing/2014/main" id="{1A8A2BF2-31A5-46E1-97CD-F436E28F912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4" name="文字方塊 93">
          <a:extLst>
            <a:ext uri="{FF2B5EF4-FFF2-40B4-BE49-F238E27FC236}">
              <a16:creationId xmlns:a16="http://schemas.microsoft.com/office/drawing/2014/main" id="{E6B46D1A-A42A-40AC-999D-933D984D129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5" name="文字方塊 94">
          <a:extLst>
            <a:ext uri="{FF2B5EF4-FFF2-40B4-BE49-F238E27FC236}">
              <a16:creationId xmlns:a16="http://schemas.microsoft.com/office/drawing/2014/main" id="{2DBEF5B5-94DD-4F87-86DB-0BF799DF0C7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96" name="文字方塊 8">
          <a:extLst>
            <a:ext uri="{FF2B5EF4-FFF2-40B4-BE49-F238E27FC236}">
              <a16:creationId xmlns:a16="http://schemas.microsoft.com/office/drawing/2014/main" id="{05877031-04E5-40FC-AD5E-834A8CA5A721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7" name="文字方塊 96">
          <a:extLst>
            <a:ext uri="{FF2B5EF4-FFF2-40B4-BE49-F238E27FC236}">
              <a16:creationId xmlns:a16="http://schemas.microsoft.com/office/drawing/2014/main" id="{00F77F70-C0CB-48BC-B35D-76FEAACF802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8" name="文字方塊 97">
          <a:extLst>
            <a:ext uri="{FF2B5EF4-FFF2-40B4-BE49-F238E27FC236}">
              <a16:creationId xmlns:a16="http://schemas.microsoft.com/office/drawing/2014/main" id="{39F11661-4111-46FA-92CF-5AC9A266B03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9" name="文字方塊 98">
          <a:extLst>
            <a:ext uri="{FF2B5EF4-FFF2-40B4-BE49-F238E27FC236}">
              <a16:creationId xmlns:a16="http://schemas.microsoft.com/office/drawing/2014/main" id="{0706681E-997F-4543-90C1-1817FF6080B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0" name="文字方塊 8">
          <a:extLst>
            <a:ext uri="{FF2B5EF4-FFF2-40B4-BE49-F238E27FC236}">
              <a16:creationId xmlns:a16="http://schemas.microsoft.com/office/drawing/2014/main" id="{40AD713E-6436-42DD-B401-C442AAE6C812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1" name="文字方塊 100">
          <a:extLst>
            <a:ext uri="{FF2B5EF4-FFF2-40B4-BE49-F238E27FC236}">
              <a16:creationId xmlns:a16="http://schemas.microsoft.com/office/drawing/2014/main" id="{A79F2150-A20A-4265-9AEB-0E5777358C2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2" name="文字方塊 101">
          <a:extLst>
            <a:ext uri="{FF2B5EF4-FFF2-40B4-BE49-F238E27FC236}">
              <a16:creationId xmlns:a16="http://schemas.microsoft.com/office/drawing/2014/main" id="{A2E82F08-6B4C-4EC1-A068-6D0B69C5213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3" name="文字方塊 102">
          <a:extLst>
            <a:ext uri="{FF2B5EF4-FFF2-40B4-BE49-F238E27FC236}">
              <a16:creationId xmlns:a16="http://schemas.microsoft.com/office/drawing/2014/main" id="{8C5E7FD8-35F6-4158-AFC8-30120DEA25A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4" name="文字方塊 8">
          <a:extLst>
            <a:ext uri="{FF2B5EF4-FFF2-40B4-BE49-F238E27FC236}">
              <a16:creationId xmlns:a16="http://schemas.microsoft.com/office/drawing/2014/main" id="{55B1EB95-CF6C-4DB2-BB2B-5B91CBC893D2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5" name="文字方塊 104">
          <a:extLst>
            <a:ext uri="{FF2B5EF4-FFF2-40B4-BE49-F238E27FC236}">
              <a16:creationId xmlns:a16="http://schemas.microsoft.com/office/drawing/2014/main" id="{3130B48C-40DC-4AC8-BD6E-0DAB4FFC16C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6" name="文字方塊 105">
          <a:extLst>
            <a:ext uri="{FF2B5EF4-FFF2-40B4-BE49-F238E27FC236}">
              <a16:creationId xmlns:a16="http://schemas.microsoft.com/office/drawing/2014/main" id="{F4C61363-F888-4A90-A5B9-A70004019E0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24669750" y="1642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>
          <a:spLocks noChangeAspect="1"/>
        </xdr:cNvSpPr>
      </xdr:nvSpPr>
      <xdr:spPr>
        <a:xfrm>
          <a:off x="24669750" y="107005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twoCellAnchor editAs="oneCell">
    <xdr:from>
      <xdr:col>3</xdr:col>
      <xdr:colOff>123269</xdr:colOff>
      <xdr:row>1</xdr:row>
      <xdr:rowOff>56021</xdr:rowOff>
    </xdr:from>
    <xdr:to>
      <xdr:col>5</xdr:col>
      <xdr:colOff>669622</xdr:colOff>
      <xdr:row>3</xdr:row>
      <xdr:rowOff>258681</xdr:rowOff>
    </xdr:to>
    <xdr:sp macro="[0]!auto_length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>
          <a:spLocks noChangeAspect="1"/>
        </xdr:cNvSpPr>
      </xdr:nvSpPr>
      <xdr:spPr>
        <a:xfrm>
          <a:off x="951944" y="360821"/>
          <a:ext cx="2165603" cy="551621"/>
        </a:xfrm>
        <a:prstGeom prst="rect">
          <a:avLst/>
        </a:prstGeom>
        <a:solidFill>
          <a:schemeClr val="bg1"/>
        </a:solidFill>
        <a:ln w="38100">
          <a:solidFill>
            <a:schemeClr val="accent2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2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計算長度</a:t>
          </a:r>
        </a:p>
      </xdr:txBody>
    </xdr:sp>
    <xdr:clientData/>
  </xdr:twoCellAnchor>
  <xdr:oneCellAnchor>
    <xdr:from>
      <xdr:col>13</xdr:col>
      <xdr:colOff>134475</xdr:colOff>
      <xdr:row>1</xdr:row>
      <xdr:rowOff>56021</xdr:rowOff>
    </xdr:from>
    <xdr:ext cx="2160000" cy="360000"/>
    <xdr:sp macro="[0]!auto_angle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>
          <a:spLocks noChangeAspect="1"/>
        </xdr:cNvSpPr>
      </xdr:nvSpPr>
      <xdr:spPr>
        <a:xfrm>
          <a:off x="6240000" y="360821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4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計算角度</a:t>
          </a:r>
          <a:r>
            <a:rPr lang="en-US" altLang="zh-TW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(°)</a:t>
          </a:r>
          <a:endParaRPr lang="zh-TW" altLang="en-US" sz="1600" b="1">
            <a:solidFill>
              <a:schemeClr val="accent4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oneCellAnchor>
  <xdr:oneCellAnchor>
    <xdr:from>
      <xdr:col>24</xdr:col>
      <xdr:colOff>134475</xdr:colOff>
      <xdr:row>1</xdr:row>
      <xdr:rowOff>56022</xdr:rowOff>
    </xdr:from>
    <xdr:ext cx="2160000" cy="360000"/>
    <xdr:sp macro="[0]!auto_area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>
          <a:spLocks noChangeAspect="1"/>
        </xdr:cNvSpPr>
      </xdr:nvSpPr>
      <xdr:spPr>
        <a:xfrm>
          <a:off x="11793075" y="360822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6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計算面積</a:t>
          </a:r>
        </a:p>
      </xdr:txBody>
    </xdr:sp>
    <xdr:clientData/>
  </xdr:oneCellAnchor>
  <xdr:twoCellAnchor editAs="oneCell">
    <xdr:from>
      <xdr:col>6</xdr:col>
      <xdr:colOff>85169</xdr:colOff>
      <xdr:row>1</xdr:row>
      <xdr:rowOff>51539</xdr:rowOff>
    </xdr:from>
    <xdr:to>
      <xdr:col>7</xdr:col>
      <xdr:colOff>718346</xdr:colOff>
      <xdr:row>3</xdr:row>
      <xdr:rowOff>254199</xdr:rowOff>
    </xdr:to>
    <xdr:sp macro="[0]!clear_length" textlink="">
      <xdr:nvSpPr>
        <xdr:cNvPr id="7" name="矩形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>
          <a:spLocks/>
        </xdr:cNvSpPr>
      </xdr:nvSpPr>
      <xdr:spPr>
        <a:xfrm>
          <a:off x="3342719" y="356339"/>
          <a:ext cx="1442802" cy="551621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twoCellAnchor>
  <xdr:oneCellAnchor>
    <xdr:from>
      <xdr:col>16</xdr:col>
      <xdr:colOff>85169</xdr:colOff>
      <xdr:row>1</xdr:row>
      <xdr:rowOff>51539</xdr:rowOff>
    </xdr:from>
    <xdr:ext cx="1440000" cy="360000"/>
    <xdr:sp macro="[0]!clear_angle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>
          <a:spLocks/>
        </xdr:cNvSpPr>
      </xdr:nvSpPr>
      <xdr:spPr>
        <a:xfrm>
          <a:off x="8619569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27</xdr:col>
      <xdr:colOff>85169</xdr:colOff>
      <xdr:row>1</xdr:row>
      <xdr:rowOff>51539</xdr:rowOff>
    </xdr:from>
    <xdr:ext cx="1440000" cy="360000"/>
    <xdr:sp macro="[0]!clear_area" textlink="">
      <xdr:nvSpPr>
        <xdr:cNvPr id="9" name="矩形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>
          <a:spLocks/>
        </xdr:cNvSpPr>
      </xdr:nvSpPr>
      <xdr:spPr>
        <a:xfrm>
          <a:off x="14172644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07EFF9AA-92F9-4F30-AEEB-ECEFF1B2282F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DA3F79AA-6367-404E-ABAE-A505F36CCD8D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DD500D49-A85D-46DC-B08F-35851967544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1213D7ED-3BFF-419D-A549-9FAE99F6B33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74230807-2902-4591-8DC2-7A8F08C5EDD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19CC8708-B9F3-4C45-8D0A-2C6D626D45C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6" name="文字方塊 8">
          <a:extLst>
            <a:ext uri="{FF2B5EF4-FFF2-40B4-BE49-F238E27FC236}">
              <a16:creationId xmlns:a16="http://schemas.microsoft.com/office/drawing/2014/main" id="{5B71CCB8-7F83-4B5F-AC70-ACE4F2A404B6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7" name="文字方塊 9">
          <a:extLst>
            <a:ext uri="{FF2B5EF4-FFF2-40B4-BE49-F238E27FC236}">
              <a16:creationId xmlns:a16="http://schemas.microsoft.com/office/drawing/2014/main" id="{AE58F9A6-289F-4461-A9FE-001E0BC00C0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F98A373A-E352-4525-9EE9-3F3027A1397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4BC6436A-093F-404B-B1D2-24D4EA7FEB6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96DF9BA8-E4D5-4D6B-AC25-A78D74CA8C9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1E42DD00-34EF-4518-905C-FF54623F659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E5979CC7-9402-448E-BA03-3814A73B7B0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36B395A6-4070-47C4-AB65-E240772A95D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4" name="文字方塊 8">
          <a:extLst>
            <a:ext uri="{FF2B5EF4-FFF2-40B4-BE49-F238E27FC236}">
              <a16:creationId xmlns:a16="http://schemas.microsoft.com/office/drawing/2014/main" id="{99ED98F0-0F87-441D-A096-B170A9C93CA5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5" name="文字方塊 9">
          <a:extLst>
            <a:ext uri="{FF2B5EF4-FFF2-40B4-BE49-F238E27FC236}">
              <a16:creationId xmlns:a16="http://schemas.microsoft.com/office/drawing/2014/main" id="{B73341ED-B34F-4050-8867-0E12EC68BA9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9AC0A74D-8BD1-4A39-BE50-5802A501E91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A5F767A1-77CC-4D89-A88E-96710B61FF8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3C2AB81F-FCA9-45FE-A78A-44764B65139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D3B73ED4-C246-4D2D-9719-FA240F95F95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D2FE2C08-109C-48EC-A877-EBD35568E51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CE11A136-974C-4273-9F80-9C36E8BCF5A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32" name="文字方塊 8">
          <a:extLst>
            <a:ext uri="{FF2B5EF4-FFF2-40B4-BE49-F238E27FC236}">
              <a16:creationId xmlns:a16="http://schemas.microsoft.com/office/drawing/2014/main" id="{4B5F5F89-7C9C-487A-8F44-58BC60D93E86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33" name="文字方塊 9">
          <a:extLst>
            <a:ext uri="{FF2B5EF4-FFF2-40B4-BE49-F238E27FC236}">
              <a16:creationId xmlns:a16="http://schemas.microsoft.com/office/drawing/2014/main" id="{EF707590-A23C-4AA4-B8CD-6CC9119203C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F1206303-AE64-4EDA-9505-AE96C9F83CE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CED65C6E-665A-4A26-B8FB-079C2C24C57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6" name="文字方塊 35">
          <a:extLst>
            <a:ext uri="{FF2B5EF4-FFF2-40B4-BE49-F238E27FC236}">
              <a16:creationId xmlns:a16="http://schemas.microsoft.com/office/drawing/2014/main" id="{ADB87806-DA3C-4D00-A3EC-3F961EF9B2A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854B277C-9C6B-47CB-9BD1-4FB98B4FB29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316F32CF-E770-41C8-B6D0-AFB506358EC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AB8DA89E-1CF5-4EB8-851B-9AB5D68C861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0" name="文字方塊 8">
          <a:extLst>
            <a:ext uri="{FF2B5EF4-FFF2-40B4-BE49-F238E27FC236}">
              <a16:creationId xmlns:a16="http://schemas.microsoft.com/office/drawing/2014/main" id="{C5D6677B-3500-4852-B472-B7A7A752478E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1" name="文字方塊 9">
          <a:extLst>
            <a:ext uri="{FF2B5EF4-FFF2-40B4-BE49-F238E27FC236}">
              <a16:creationId xmlns:a16="http://schemas.microsoft.com/office/drawing/2014/main" id="{D6DCFAC0-8F2C-4D59-974F-F013293285C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F7620314-8267-42BB-A1CD-2E5003836F9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A91404BB-CD68-4330-AD5A-99D75D47C9F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139D6D4C-6086-4B66-A23F-1988650059B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5" name="文字方塊 44">
          <a:extLst>
            <a:ext uri="{FF2B5EF4-FFF2-40B4-BE49-F238E27FC236}">
              <a16:creationId xmlns:a16="http://schemas.microsoft.com/office/drawing/2014/main" id="{A869A5AC-AB23-42FF-9537-D56C4808E3F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03B857A3-6A29-4CA9-9EC7-7FAC91DB282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4B6611BE-E306-40CD-8165-A3BA2F687C8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8" name="文字方塊 8">
          <a:extLst>
            <a:ext uri="{FF2B5EF4-FFF2-40B4-BE49-F238E27FC236}">
              <a16:creationId xmlns:a16="http://schemas.microsoft.com/office/drawing/2014/main" id="{199C683D-CA8E-4E9A-80F6-C873110C2786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9" name="文字方塊 9">
          <a:extLst>
            <a:ext uri="{FF2B5EF4-FFF2-40B4-BE49-F238E27FC236}">
              <a16:creationId xmlns:a16="http://schemas.microsoft.com/office/drawing/2014/main" id="{5637BBD2-8C90-4D29-AB0F-FBDD04A7C0D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A60FA10C-15FF-4C01-AFDB-54E07A64476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D739FA6D-B738-43A1-9250-5923056A221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2" name="文字方塊 51">
          <a:extLst>
            <a:ext uri="{FF2B5EF4-FFF2-40B4-BE49-F238E27FC236}">
              <a16:creationId xmlns:a16="http://schemas.microsoft.com/office/drawing/2014/main" id="{EE222AA8-308D-47FE-B957-38178DA0E2A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3" name="文字方塊 52">
          <a:extLst>
            <a:ext uri="{FF2B5EF4-FFF2-40B4-BE49-F238E27FC236}">
              <a16:creationId xmlns:a16="http://schemas.microsoft.com/office/drawing/2014/main" id="{87A0FFFB-8968-4EA0-9609-AE5448FC7EE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C24A2CBE-D715-4931-B909-F3A5E1E2F75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5" name="文字方塊 8">
          <a:extLst>
            <a:ext uri="{FF2B5EF4-FFF2-40B4-BE49-F238E27FC236}">
              <a16:creationId xmlns:a16="http://schemas.microsoft.com/office/drawing/2014/main" id="{A5057539-D34F-448B-9D87-F37ED7C383A3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6" name="文字方塊 55">
          <a:extLst>
            <a:ext uri="{FF2B5EF4-FFF2-40B4-BE49-F238E27FC236}">
              <a16:creationId xmlns:a16="http://schemas.microsoft.com/office/drawing/2014/main" id="{41CF6505-6EC7-4B6A-9E18-1F05A468F56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7" name="文字方塊 56">
          <a:extLst>
            <a:ext uri="{FF2B5EF4-FFF2-40B4-BE49-F238E27FC236}">
              <a16:creationId xmlns:a16="http://schemas.microsoft.com/office/drawing/2014/main" id="{F21D5748-9B23-4E3E-A182-464F04353CB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42BFA80F-0A8B-4488-A021-12792E8DE72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9" name="文字方塊 8">
          <a:extLst>
            <a:ext uri="{FF2B5EF4-FFF2-40B4-BE49-F238E27FC236}">
              <a16:creationId xmlns:a16="http://schemas.microsoft.com/office/drawing/2014/main" id="{9A81BA51-F0F5-48B5-81F6-F9CD3306E0E9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0" name="文字方塊 59">
          <a:extLst>
            <a:ext uri="{FF2B5EF4-FFF2-40B4-BE49-F238E27FC236}">
              <a16:creationId xmlns:a16="http://schemas.microsoft.com/office/drawing/2014/main" id="{AEE49CC9-69FB-414A-93EF-BFCC1ECF6D8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D7E84388-3A63-477B-BA63-0EEC6603D9E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B8F04A3B-1AEF-46AE-A070-A53AE6550B2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3" name="文字方塊 8">
          <a:extLst>
            <a:ext uri="{FF2B5EF4-FFF2-40B4-BE49-F238E27FC236}">
              <a16:creationId xmlns:a16="http://schemas.microsoft.com/office/drawing/2014/main" id="{CF9EE0B8-FF2F-48C5-8847-7A9D8E252802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4" name="文字方塊 63">
          <a:extLst>
            <a:ext uri="{FF2B5EF4-FFF2-40B4-BE49-F238E27FC236}">
              <a16:creationId xmlns:a16="http://schemas.microsoft.com/office/drawing/2014/main" id="{20E6CE04-B2E1-4D28-8A29-C657D88B158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5" name="文字方塊 64">
          <a:extLst>
            <a:ext uri="{FF2B5EF4-FFF2-40B4-BE49-F238E27FC236}">
              <a16:creationId xmlns:a16="http://schemas.microsoft.com/office/drawing/2014/main" id="{ECE83DD4-9BF8-4A42-AFCA-8B1A8C8F790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EC495586-7F07-4F38-BE1B-6635733BC72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7" name="文字方塊 8">
          <a:extLst>
            <a:ext uri="{FF2B5EF4-FFF2-40B4-BE49-F238E27FC236}">
              <a16:creationId xmlns:a16="http://schemas.microsoft.com/office/drawing/2014/main" id="{A06D05AB-E592-4A0E-98C2-22C257ABE5CB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8" name="文字方塊 67">
          <a:extLst>
            <a:ext uri="{FF2B5EF4-FFF2-40B4-BE49-F238E27FC236}">
              <a16:creationId xmlns:a16="http://schemas.microsoft.com/office/drawing/2014/main" id="{F35B761B-EFD5-491B-8A70-9C3F235183B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BDDA5348-D53E-49D9-8298-B38180199C7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F2E48337-0118-47F0-99F4-BE2DD4C7793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1" name="文字方塊 8">
          <a:extLst>
            <a:ext uri="{FF2B5EF4-FFF2-40B4-BE49-F238E27FC236}">
              <a16:creationId xmlns:a16="http://schemas.microsoft.com/office/drawing/2014/main" id="{1C4D9509-D91E-41DB-9931-C0CEE96F5417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2" name="文字方塊 71">
          <a:extLst>
            <a:ext uri="{FF2B5EF4-FFF2-40B4-BE49-F238E27FC236}">
              <a16:creationId xmlns:a16="http://schemas.microsoft.com/office/drawing/2014/main" id="{06BE9BCA-5274-481C-89D9-44DD31BA384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3" name="文字方塊 72">
          <a:extLst>
            <a:ext uri="{FF2B5EF4-FFF2-40B4-BE49-F238E27FC236}">
              <a16:creationId xmlns:a16="http://schemas.microsoft.com/office/drawing/2014/main" id="{9F4FAD78-4EA9-4464-AD00-FF35F4209C2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4" name="文字方塊 73">
          <a:extLst>
            <a:ext uri="{FF2B5EF4-FFF2-40B4-BE49-F238E27FC236}">
              <a16:creationId xmlns:a16="http://schemas.microsoft.com/office/drawing/2014/main" id="{C6E79E51-D87F-4613-B781-76BE1FCFD4B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5" name="文字方塊 8">
          <a:extLst>
            <a:ext uri="{FF2B5EF4-FFF2-40B4-BE49-F238E27FC236}">
              <a16:creationId xmlns:a16="http://schemas.microsoft.com/office/drawing/2014/main" id="{5C2905A8-80FD-467C-B754-406103BE6132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6" name="文字方塊 75">
          <a:extLst>
            <a:ext uri="{FF2B5EF4-FFF2-40B4-BE49-F238E27FC236}">
              <a16:creationId xmlns:a16="http://schemas.microsoft.com/office/drawing/2014/main" id="{383F5A21-10EA-419E-9FAA-40B7320BAB8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C687F136-7D45-4D48-9065-22635262F82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8" name="文字方塊 77">
          <a:extLst>
            <a:ext uri="{FF2B5EF4-FFF2-40B4-BE49-F238E27FC236}">
              <a16:creationId xmlns:a16="http://schemas.microsoft.com/office/drawing/2014/main" id="{5A698864-C490-4A97-893F-562181522C0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9" name="文字方塊 78">
          <a:extLst>
            <a:ext uri="{FF2B5EF4-FFF2-40B4-BE49-F238E27FC236}">
              <a16:creationId xmlns:a16="http://schemas.microsoft.com/office/drawing/2014/main" id="{8F3750E5-531E-4833-9166-628ECE6CB3B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0" name="文字方塊 8">
          <a:extLst>
            <a:ext uri="{FF2B5EF4-FFF2-40B4-BE49-F238E27FC236}">
              <a16:creationId xmlns:a16="http://schemas.microsoft.com/office/drawing/2014/main" id="{FFD6369C-CF7D-4D1A-AE0D-B785DE53AD5D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1" name="文字方塊 80">
          <a:extLst>
            <a:ext uri="{FF2B5EF4-FFF2-40B4-BE49-F238E27FC236}">
              <a16:creationId xmlns:a16="http://schemas.microsoft.com/office/drawing/2014/main" id="{EB8279A2-D072-4A48-877F-943DE5F5A96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2" name="文字方塊 81">
          <a:extLst>
            <a:ext uri="{FF2B5EF4-FFF2-40B4-BE49-F238E27FC236}">
              <a16:creationId xmlns:a16="http://schemas.microsoft.com/office/drawing/2014/main" id="{93CEF9A6-74CE-4087-ACA8-FD168115FC4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3" name="文字方塊 82">
          <a:extLst>
            <a:ext uri="{FF2B5EF4-FFF2-40B4-BE49-F238E27FC236}">
              <a16:creationId xmlns:a16="http://schemas.microsoft.com/office/drawing/2014/main" id="{CE7116A3-62CF-4A22-A389-029C74EB5F0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4" name="文字方塊 8">
          <a:extLst>
            <a:ext uri="{FF2B5EF4-FFF2-40B4-BE49-F238E27FC236}">
              <a16:creationId xmlns:a16="http://schemas.microsoft.com/office/drawing/2014/main" id="{10C232DE-82D2-4D93-95BE-2C7B1A8F9C20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5" name="文字方塊 84">
          <a:extLst>
            <a:ext uri="{FF2B5EF4-FFF2-40B4-BE49-F238E27FC236}">
              <a16:creationId xmlns:a16="http://schemas.microsoft.com/office/drawing/2014/main" id="{05186BF2-0B8E-4957-B6EC-579C6C62250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6" name="文字方塊 85">
          <a:extLst>
            <a:ext uri="{FF2B5EF4-FFF2-40B4-BE49-F238E27FC236}">
              <a16:creationId xmlns:a16="http://schemas.microsoft.com/office/drawing/2014/main" id="{858F4B21-B698-45BB-9949-6971FB548AE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7" name="文字方塊 86">
          <a:extLst>
            <a:ext uri="{FF2B5EF4-FFF2-40B4-BE49-F238E27FC236}">
              <a16:creationId xmlns:a16="http://schemas.microsoft.com/office/drawing/2014/main" id="{2D450BB9-3A6F-49A6-A2A3-47441540E74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8" name="文字方塊 8">
          <a:extLst>
            <a:ext uri="{FF2B5EF4-FFF2-40B4-BE49-F238E27FC236}">
              <a16:creationId xmlns:a16="http://schemas.microsoft.com/office/drawing/2014/main" id="{F08430B5-2B27-4A2C-AB7B-4251F42291F2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9" name="文字方塊 88">
          <a:extLst>
            <a:ext uri="{FF2B5EF4-FFF2-40B4-BE49-F238E27FC236}">
              <a16:creationId xmlns:a16="http://schemas.microsoft.com/office/drawing/2014/main" id="{1F07A205-4D28-469E-A839-B40ECE626F5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0" name="文字方塊 89">
          <a:extLst>
            <a:ext uri="{FF2B5EF4-FFF2-40B4-BE49-F238E27FC236}">
              <a16:creationId xmlns:a16="http://schemas.microsoft.com/office/drawing/2014/main" id="{98254591-B1A9-4E2E-B6CF-275E5513EC0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1" name="文字方塊 90">
          <a:extLst>
            <a:ext uri="{FF2B5EF4-FFF2-40B4-BE49-F238E27FC236}">
              <a16:creationId xmlns:a16="http://schemas.microsoft.com/office/drawing/2014/main" id="{815E4873-3F95-49CE-97BB-0DC41D1ECFF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92" name="文字方塊 8">
          <a:extLst>
            <a:ext uri="{FF2B5EF4-FFF2-40B4-BE49-F238E27FC236}">
              <a16:creationId xmlns:a16="http://schemas.microsoft.com/office/drawing/2014/main" id="{66F1A5E5-8215-4899-B458-18CDE4280ED6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3" name="文字方塊 92">
          <a:extLst>
            <a:ext uri="{FF2B5EF4-FFF2-40B4-BE49-F238E27FC236}">
              <a16:creationId xmlns:a16="http://schemas.microsoft.com/office/drawing/2014/main" id="{3CCEBD04-5B1C-4594-81C1-64D453C9AD8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4" name="文字方塊 93">
          <a:extLst>
            <a:ext uri="{FF2B5EF4-FFF2-40B4-BE49-F238E27FC236}">
              <a16:creationId xmlns:a16="http://schemas.microsoft.com/office/drawing/2014/main" id="{FE920770-9808-4FA9-A878-27737247B4F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5" name="文字方塊 94">
          <a:extLst>
            <a:ext uri="{FF2B5EF4-FFF2-40B4-BE49-F238E27FC236}">
              <a16:creationId xmlns:a16="http://schemas.microsoft.com/office/drawing/2014/main" id="{89DD0C5E-5A97-4601-A245-ECDB52578CD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96" name="文字方塊 8">
          <a:extLst>
            <a:ext uri="{FF2B5EF4-FFF2-40B4-BE49-F238E27FC236}">
              <a16:creationId xmlns:a16="http://schemas.microsoft.com/office/drawing/2014/main" id="{9AFFDA2F-B483-4E29-BE24-B9F8F3C05FD5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7" name="文字方塊 96">
          <a:extLst>
            <a:ext uri="{FF2B5EF4-FFF2-40B4-BE49-F238E27FC236}">
              <a16:creationId xmlns:a16="http://schemas.microsoft.com/office/drawing/2014/main" id="{7F9801FE-9E7B-498B-8D9F-4922A0F1EC1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8" name="文字方塊 97">
          <a:extLst>
            <a:ext uri="{FF2B5EF4-FFF2-40B4-BE49-F238E27FC236}">
              <a16:creationId xmlns:a16="http://schemas.microsoft.com/office/drawing/2014/main" id="{0A208E86-3CDA-4C33-B278-D1CD015818A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9" name="文字方塊 98">
          <a:extLst>
            <a:ext uri="{FF2B5EF4-FFF2-40B4-BE49-F238E27FC236}">
              <a16:creationId xmlns:a16="http://schemas.microsoft.com/office/drawing/2014/main" id="{4F40ACAD-5408-4B36-996A-720F3E4057C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0" name="文字方塊 8">
          <a:extLst>
            <a:ext uri="{FF2B5EF4-FFF2-40B4-BE49-F238E27FC236}">
              <a16:creationId xmlns:a16="http://schemas.microsoft.com/office/drawing/2014/main" id="{76215A81-E96A-476E-BE91-A424146F385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1" name="文字方塊 100">
          <a:extLst>
            <a:ext uri="{FF2B5EF4-FFF2-40B4-BE49-F238E27FC236}">
              <a16:creationId xmlns:a16="http://schemas.microsoft.com/office/drawing/2014/main" id="{E674C23B-32F9-4890-94A5-01B310763C4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2" name="文字方塊 101">
          <a:extLst>
            <a:ext uri="{FF2B5EF4-FFF2-40B4-BE49-F238E27FC236}">
              <a16:creationId xmlns:a16="http://schemas.microsoft.com/office/drawing/2014/main" id="{99E202AF-0DC7-442B-9514-023EFFC5305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3" name="文字方塊 102">
          <a:extLst>
            <a:ext uri="{FF2B5EF4-FFF2-40B4-BE49-F238E27FC236}">
              <a16:creationId xmlns:a16="http://schemas.microsoft.com/office/drawing/2014/main" id="{F44B2398-1CC9-4717-800C-0767E4AB58F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4" name="文字方塊 8">
          <a:extLst>
            <a:ext uri="{FF2B5EF4-FFF2-40B4-BE49-F238E27FC236}">
              <a16:creationId xmlns:a16="http://schemas.microsoft.com/office/drawing/2014/main" id="{EA12D2FB-7B29-49E8-95FA-74F178ACA54E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5" name="文字方塊 104">
          <a:extLst>
            <a:ext uri="{FF2B5EF4-FFF2-40B4-BE49-F238E27FC236}">
              <a16:creationId xmlns:a16="http://schemas.microsoft.com/office/drawing/2014/main" id="{4FD93FFC-1D6F-4774-881E-51454AE7DEB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6" name="文字方塊 105">
          <a:extLst>
            <a:ext uri="{FF2B5EF4-FFF2-40B4-BE49-F238E27FC236}">
              <a16:creationId xmlns:a16="http://schemas.microsoft.com/office/drawing/2014/main" id="{CC162D21-FA40-4C5D-98DA-8E38C8C2CB6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24669750" y="1642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>
          <a:spLocks noChangeAspect="1"/>
        </xdr:cNvSpPr>
      </xdr:nvSpPr>
      <xdr:spPr>
        <a:xfrm>
          <a:off x="24669750" y="107005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twoCellAnchor editAs="oneCell">
    <xdr:from>
      <xdr:col>3</xdr:col>
      <xdr:colOff>123269</xdr:colOff>
      <xdr:row>1</xdr:row>
      <xdr:rowOff>56021</xdr:rowOff>
    </xdr:from>
    <xdr:to>
      <xdr:col>5</xdr:col>
      <xdr:colOff>669622</xdr:colOff>
      <xdr:row>4</xdr:row>
      <xdr:rowOff>64717</xdr:rowOff>
    </xdr:to>
    <xdr:sp macro="[0]!auto_length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>
          <a:spLocks noChangeAspect="1"/>
        </xdr:cNvSpPr>
      </xdr:nvSpPr>
      <xdr:spPr>
        <a:xfrm>
          <a:off x="951944" y="360821"/>
          <a:ext cx="2165603" cy="551621"/>
        </a:xfrm>
        <a:prstGeom prst="rect">
          <a:avLst/>
        </a:prstGeom>
        <a:solidFill>
          <a:schemeClr val="bg1"/>
        </a:solidFill>
        <a:ln w="38100">
          <a:solidFill>
            <a:schemeClr val="accent2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2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計算長度</a:t>
          </a:r>
        </a:p>
      </xdr:txBody>
    </xdr:sp>
    <xdr:clientData/>
  </xdr:twoCellAnchor>
  <xdr:oneCellAnchor>
    <xdr:from>
      <xdr:col>13</xdr:col>
      <xdr:colOff>134475</xdr:colOff>
      <xdr:row>1</xdr:row>
      <xdr:rowOff>56021</xdr:rowOff>
    </xdr:from>
    <xdr:ext cx="2160000" cy="360000"/>
    <xdr:sp macro="[0]!auto_angle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>
          <a:spLocks noChangeAspect="1"/>
        </xdr:cNvSpPr>
      </xdr:nvSpPr>
      <xdr:spPr>
        <a:xfrm>
          <a:off x="6240000" y="360821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4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計算角度</a:t>
          </a:r>
          <a:r>
            <a:rPr lang="en-US" altLang="zh-TW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(°)</a:t>
          </a:r>
          <a:endParaRPr lang="zh-TW" altLang="en-US" sz="1600" b="1">
            <a:solidFill>
              <a:schemeClr val="accent4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oneCellAnchor>
  <xdr:oneCellAnchor>
    <xdr:from>
      <xdr:col>24</xdr:col>
      <xdr:colOff>134475</xdr:colOff>
      <xdr:row>1</xdr:row>
      <xdr:rowOff>56022</xdr:rowOff>
    </xdr:from>
    <xdr:ext cx="2160000" cy="360000"/>
    <xdr:sp macro="[0]!auto_area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>
          <a:spLocks noChangeAspect="1"/>
        </xdr:cNvSpPr>
      </xdr:nvSpPr>
      <xdr:spPr>
        <a:xfrm>
          <a:off x="11793075" y="360822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6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計算面積</a:t>
          </a:r>
        </a:p>
      </xdr:txBody>
    </xdr:sp>
    <xdr:clientData/>
  </xdr:oneCellAnchor>
  <xdr:twoCellAnchor editAs="oneCell">
    <xdr:from>
      <xdr:col>6</xdr:col>
      <xdr:colOff>85169</xdr:colOff>
      <xdr:row>1</xdr:row>
      <xdr:rowOff>51539</xdr:rowOff>
    </xdr:from>
    <xdr:to>
      <xdr:col>7</xdr:col>
      <xdr:colOff>718346</xdr:colOff>
      <xdr:row>4</xdr:row>
      <xdr:rowOff>60235</xdr:rowOff>
    </xdr:to>
    <xdr:sp macro="[0]!clear_length" textlink="">
      <xdr:nvSpPr>
        <xdr:cNvPr id="7" name="矩形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>
          <a:spLocks/>
        </xdr:cNvSpPr>
      </xdr:nvSpPr>
      <xdr:spPr>
        <a:xfrm>
          <a:off x="3342719" y="356339"/>
          <a:ext cx="1442802" cy="551621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twoCellAnchor>
  <xdr:oneCellAnchor>
    <xdr:from>
      <xdr:col>16</xdr:col>
      <xdr:colOff>85169</xdr:colOff>
      <xdr:row>1</xdr:row>
      <xdr:rowOff>51539</xdr:rowOff>
    </xdr:from>
    <xdr:ext cx="1440000" cy="360000"/>
    <xdr:sp macro="[0]!clear_angle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>
          <a:spLocks/>
        </xdr:cNvSpPr>
      </xdr:nvSpPr>
      <xdr:spPr>
        <a:xfrm>
          <a:off x="8619569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27</xdr:col>
      <xdr:colOff>85169</xdr:colOff>
      <xdr:row>1</xdr:row>
      <xdr:rowOff>51539</xdr:rowOff>
    </xdr:from>
    <xdr:ext cx="1440000" cy="360000"/>
    <xdr:sp macro="[0]!clear_area" textlink="">
      <xdr:nvSpPr>
        <xdr:cNvPr id="9" name="矩形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>
          <a:spLocks/>
        </xdr:cNvSpPr>
      </xdr:nvSpPr>
      <xdr:spPr>
        <a:xfrm>
          <a:off x="14172644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7C82BE98-4802-4E10-A21F-583A5F77378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B499F8A8-7D24-42B2-B3F4-C0F0EC6FFE4D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23F3AF71-61F2-4912-B862-87385196DE4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BCA25646-02D8-4BF1-9995-7318F1996055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55F48F8A-16E5-4735-B3AC-06913CF6139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FFFB8C4C-A9FE-422F-8E38-A8BBCAB59DAD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" name="文字方塊 15">
          <a:extLst>
            <a:ext uri="{FF2B5EF4-FFF2-40B4-BE49-F238E27FC236}">
              <a16:creationId xmlns:a16="http://schemas.microsoft.com/office/drawing/2014/main" id="{139D90AE-77FB-4FBA-9A8A-C2F5BEAA7B6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7" name="文字方塊 16">
          <a:extLst>
            <a:ext uri="{FF2B5EF4-FFF2-40B4-BE49-F238E27FC236}">
              <a16:creationId xmlns:a16="http://schemas.microsoft.com/office/drawing/2014/main" id="{0DC54CA9-7EAF-4701-966E-C0B35DEFB6A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EFB94789-24D3-4B08-974F-9B0A418F5C7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3BD7C9BF-7C51-4CE5-BFE5-E314375D8BF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0" name="文字方塊 8">
          <a:extLst>
            <a:ext uri="{FF2B5EF4-FFF2-40B4-BE49-F238E27FC236}">
              <a16:creationId xmlns:a16="http://schemas.microsoft.com/office/drawing/2014/main" id="{5931D0FC-91C7-4D58-86C1-0D57CF193C60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1" name="文字方塊 9">
          <a:extLst>
            <a:ext uri="{FF2B5EF4-FFF2-40B4-BE49-F238E27FC236}">
              <a16:creationId xmlns:a16="http://schemas.microsoft.com/office/drawing/2014/main" id="{9E3757D3-0B9A-4350-942B-3AAAFD1C369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8F923806-CE59-4337-845B-0E3C77D8825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A9F9C67E-F906-4201-9DF6-CA6FB9732E1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4" name="文字方塊 23">
          <a:extLst>
            <a:ext uri="{FF2B5EF4-FFF2-40B4-BE49-F238E27FC236}">
              <a16:creationId xmlns:a16="http://schemas.microsoft.com/office/drawing/2014/main" id="{D4A577E5-0811-4C81-97F4-0E5289AF56C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5" name="文字方塊 24">
          <a:extLst>
            <a:ext uri="{FF2B5EF4-FFF2-40B4-BE49-F238E27FC236}">
              <a16:creationId xmlns:a16="http://schemas.microsoft.com/office/drawing/2014/main" id="{9FE21C53-2D8B-45A1-9129-2E36E96C317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C84C5787-A3CA-4E02-8CA1-3967F1CA539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FF6C21EC-C5E8-445C-A7F1-400CF8DEA8D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8" name="文字方塊 8">
          <a:extLst>
            <a:ext uri="{FF2B5EF4-FFF2-40B4-BE49-F238E27FC236}">
              <a16:creationId xmlns:a16="http://schemas.microsoft.com/office/drawing/2014/main" id="{20AE19B7-1D1A-46F7-9A53-85652F6373E3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9" name="文字方塊 9">
          <a:extLst>
            <a:ext uri="{FF2B5EF4-FFF2-40B4-BE49-F238E27FC236}">
              <a16:creationId xmlns:a16="http://schemas.microsoft.com/office/drawing/2014/main" id="{99F3FE1D-4537-41CC-9A17-AF75E75A4CB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E1276913-B7EF-4215-BBAD-31AC09E3674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08D25C54-B411-436C-93EF-8ABCAC578B7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2" name="文字方塊 31">
          <a:extLst>
            <a:ext uri="{FF2B5EF4-FFF2-40B4-BE49-F238E27FC236}">
              <a16:creationId xmlns:a16="http://schemas.microsoft.com/office/drawing/2014/main" id="{9B3185AA-FFA8-40F6-A9A3-136DB65A051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3" name="文字方塊 32">
          <a:extLst>
            <a:ext uri="{FF2B5EF4-FFF2-40B4-BE49-F238E27FC236}">
              <a16:creationId xmlns:a16="http://schemas.microsoft.com/office/drawing/2014/main" id="{C90C4294-8D79-4B76-BA04-F24488BCEB6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8FB947E4-A626-47FE-B765-29359BC5205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4C5EE31B-BE8F-4642-87F7-7CC275673AB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36" name="文字方塊 8">
          <a:extLst>
            <a:ext uri="{FF2B5EF4-FFF2-40B4-BE49-F238E27FC236}">
              <a16:creationId xmlns:a16="http://schemas.microsoft.com/office/drawing/2014/main" id="{3661837C-1643-411D-A460-DB6830CACD0E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37" name="文字方塊 9">
          <a:extLst>
            <a:ext uri="{FF2B5EF4-FFF2-40B4-BE49-F238E27FC236}">
              <a16:creationId xmlns:a16="http://schemas.microsoft.com/office/drawing/2014/main" id="{34D837A1-EFAE-4F8C-8D8C-BFDB97B9B41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287E0B3C-173E-4A6C-A61E-12BC41454DA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6BC41952-9A11-4EE3-B702-ADBAF5891FD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0" name="文字方塊 39">
          <a:extLst>
            <a:ext uri="{FF2B5EF4-FFF2-40B4-BE49-F238E27FC236}">
              <a16:creationId xmlns:a16="http://schemas.microsoft.com/office/drawing/2014/main" id="{4D9DF8D2-29F2-4027-B112-AE26DE8A68C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1" name="文字方塊 40">
          <a:extLst>
            <a:ext uri="{FF2B5EF4-FFF2-40B4-BE49-F238E27FC236}">
              <a16:creationId xmlns:a16="http://schemas.microsoft.com/office/drawing/2014/main" id="{37502F89-E5B6-4209-9700-78009D18F6B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687B5EBD-CA31-4C21-ABD0-2D05ACDDE88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B000AE71-C04E-4617-8514-D05B37374C2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4" name="文字方塊 8">
          <a:extLst>
            <a:ext uri="{FF2B5EF4-FFF2-40B4-BE49-F238E27FC236}">
              <a16:creationId xmlns:a16="http://schemas.microsoft.com/office/drawing/2014/main" id="{F59C5CB3-0DE8-4415-99B4-7B1A9F4E009E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5" name="文字方塊 9">
          <a:extLst>
            <a:ext uri="{FF2B5EF4-FFF2-40B4-BE49-F238E27FC236}">
              <a16:creationId xmlns:a16="http://schemas.microsoft.com/office/drawing/2014/main" id="{EA431155-F502-4C2A-A223-16B79752295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BDADC8B3-8360-423F-9C14-498411A9CD4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4B855685-39A2-40E1-9548-B42F7B086A8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8" name="文字方塊 47">
          <a:extLst>
            <a:ext uri="{FF2B5EF4-FFF2-40B4-BE49-F238E27FC236}">
              <a16:creationId xmlns:a16="http://schemas.microsoft.com/office/drawing/2014/main" id="{743B728D-7021-4A51-8BC8-12CAB6D4AE1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9" name="文字方塊 48">
          <a:extLst>
            <a:ext uri="{FF2B5EF4-FFF2-40B4-BE49-F238E27FC236}">
              <a16:creationId xmlns:a16="http://schemas.microsoft.com/office/drawing/2014/main" id="{189BA060-DF4F-4DE2-975A-CD21DB7753A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09A53222-6BD4-4828-91DA-814AF44817C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0F19B9DD-05E6-4DA4-BA67-E33F91DB083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2" name="文字方塊 8">
          <a:extLst>
            <a:ext uri="{FF2B5EF4-FFF2-40B4-BE49-F238E27FC236}">
              <a16:creationId xmlns:a16="http://schemas.microsoft.com/office/drawing/2014/main" id="{8D1CD122-ECDC-4DDD-B27F-7B8650FD765D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53" name="文字方塊 9">
          <a:extLst>
            <a:ext uri="{FF2B5EF4-FFF2-40B4-BE49-F238E27FC236}">
              <a16:creationId xmlns:a16="http://schemas.microsoft.com/office/drawing/2014/main" id="{F6895183-B3BA-42B2-A27D-D8A9B874187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54925E08-2FB9-40CB-AA31-AC4276FCDA3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5C1C7D2B-1081-4B2E-815C-50688FEF2A5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6" name="文字方塊 55">
          <a:extLst>
            <a:ext uri="{FF2B5EF4-FFF2-40B4-BE49-F238E27FC236}">
              <a16:creationId xmlns:a16="http://schemas.microsoft.com/office/drawing/2014/main" id="{1418B527-D479-40AF-AC39-09BCEDE69FB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7" name="文字方塊 56">
          <a:extLst>
            <a:ext uri="{FF2B5EF4-FFF2-40B4-BE49-F238E27FC236}">
              <a16:creationId xmlns:a16="http://schemas.microsoft.com/office/drawing/2014/main" id="{963791AF-3000-4516-AE06-8864420F8DA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C15AF434-0062-48CA-BA5B-2E8887DF8AA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9" name="文字方塊 8">
          <a:extLst>
            <a:ext uri="{FF2B5EF4-FFF2-40B4-BE49-F238E27FC236}">
              <a16:creationId xmlns:a16="http://schemas.microsoft.com/office/drawing/2014/main" id="{49D75C15-CD30-47A9-8EE2-01BE6B6C5731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0" name="文字方塊 59">
          <a:extLst>
            <a:ext uri="{FF2B5EF4-FFF2-40B4-BE49-F238E27FC236}">
              <a16:creationId xmlns:a16="http://schemas.microsoft.com/office/drawing/2014/main" id="{A83D0966-6FD7-4A91-9E73-4EC45EF9CC0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3E8BC647-E896-48FB-8ACA-26B77D954CC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EBCBA783-824D-463B-A94D-2E19A8D9461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3" name="文字方塊 8">
          <a:extLst>
            <a:ext uri="{FF2B5EF4-FFF2-40B4-BE49-F238E27FC236}">
              <a16:creationId xmlns:a16="http://schemas.microsoft.com/office/drawing/2014/main" id="{DAAEB83C-C94B-4B15-812E-2F45254071C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4" name="文字方塊 63">
          <a:extLst>
            <a:ext uri="{FF2B5EF4-FFF2-40B4-BE49-F238E27FC236}">
              <a16:creationId xmlns:a16="http://schemas.microsoft.com/office/drawing/2014/main" id="{A6139F57-EF68-42F7-9DEE-294F1620C06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5" name="文字方塊 64">
          <a:extLst>
            <a:ext uri="{FF2B5EF4-FFF2-40B4-BE49-F238E27FC236}">
              <a16:creationId xmlns:a16="http://schemas.microsoft.com/office/drawing/2014/main" id="{CBB329A2-589D-4240-ACA0-92955EC0223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E238B6C0-3305-4EA9-AE47-2CBDFCB3B24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7" name="文字方塊 8">
          <a:extLst>
            <a:ext uri="{FF2B5EF4-FFF2-40B4-BE49-F238E27FC236}">
              <a16:creationId xmlns:a16="http://schemas.microsoft.com/office/drawing/2014/main" id="{14FA999D-88CE-47D3-8095-4B8794CCF586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8" name="文字方塊 67">
          <a:extLst>
            <a:ext uri="{FF2B5EF4-FFF2-40B4-BE49-F238E27FC236}">
              <a16:creationId xmlns:a16="http://schemas.microsoft.com/office/drawing/2014/main" id="{22ACC3E2-3E89-4779-BFED-CFAB7E73C9A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987B1402-4C10-4C91-950D-38514081CA7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1AE1D4E0-403E-4DE4-B5B4-9C7E462C737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1" name="文字方塊 8">
          <a:extLst>
            <a:ext uri="{FF2B5EF4-FFF2-40B4-BE49-F238E27FC236}">
              <a16:creationId xmlns:a16="http://schemas.microsoft.com/office/drawing/2014/main" id="{196457A0-D063-4161-9DED-42345AE634FC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2" name="文字方塊 71">
          <a:extLst>
            <a:ext uri="{FF2B5EF4-FFF2-40B4-BE49-F238E27FC236}">
              <a16:creationId xmlns:a16="http://schemas.microsoft.com/office/drawing/2014/main" id="{79CED417-8048-46BB-9A54-1C09B6E37E2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3" name="文字方塊 72">
          <a:extLst>
            <a:ext uri="{FF2B5EF4-FFF2-40B4-BE49-F238E27FC236}">
              <a16:creationId xmlns:a16="http://schemas.microsoft.com/office/drawing/2014/main" id="{ACE34E0A-A871-4BD6-9BCB-395D770F92D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4" name="文字方塊 73">
          <a:extLst>
            <a:ext uri="{FF2B5EF4-FFF2-40B4-BE49-F238E27FC236}">
              <a16:creationId xmlns:a16="http://schemas.microsoft.com/office/drawing/2014/main" id="{3DB00170-374E-4F38-A8D3-625B60FA7AC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5" name="文字方塊 8">
          <a:extLst>
            <a:ext uri="{FF2B5EF4-FFF2-40B4-BE49-F238E27FC236}">
              <a16:creationId xmlns:a16="http://schemas.microsoft.com/office/drawing/2014/main" id="{ECF20326-3F20-42BE-9CB6-3D553C0B37A4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6" name="文字方塊 75">
          <a:extLst>
            <a:ext uri="{FF2B5EF4-FFF2-40B4-BE49-F238E27FC236}">
              <a16:creationId xmlns:a16="http://schemas.microsoft.com/office/drawing/2014/main" id="{AA6DD863-6200-42E0-AC5E-DBA58730266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A3F04CC7-BF4D-41AD-A97C-66768ACECD6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8" name="文字方塊 77">
          <a:extLst>
            <a:ext uri="{FF2B5EF4-FFF2-40B4-BE49-F238E27FC236}">
              <a16:creationId xmlns:a16="http://schemas.microsoft.com/office/drawing/2014/main" id="{0D1F692A-2918-493E-9A36-F72AB39C219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9" name="文字方塊 8">
          <a:extLst>
            <a:ext uri="{FF2B5EF4-FFF2-40B4-BE49-F238E27FC236}">
              <a16:creationId xmlns:a16="http://schemas.microsoft.com/office/drawing/2014/main" id="{5C627442-69A2-468B-8346-89E10C4E6E16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0" name="文字方塊 79">
          <a:extLst>
            <a:ext uri="{FF2B5EF4-FFF2-40B4-BE49-F238E27FC236}">
              <a16:creationId xmlns:a16="http://schemas.microsoft.com/office/drawing/2014/main" id="{7D5F2AEF-3A80-496F-BA45-40FDBCDFF70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1" name="文字方塊 80">
          <a:extLst>
            <a:ext uri="{FF2B5EF4-FFF2-40B4-BE49-F238E27FC236}">
              <a16:creationId xmlns:a16="http://schemas.microsoft.com/office/drawing/2014/main" id="{1897FC50-1EF3-4DE6-81F9-EE49D6A95D1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2" name="文字方塊 81">
          <a:extLst>
            <a:ext uri="{FF2B5EF4-FFF2-40B4-BE49-F238E27FC236}">
              <a16:creationId xmlns:a16="http://schemas.microsoft.com/office/drawing/2014/main" id="{EFC66E31-570F-4403-8C56-E3A121BE467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3" name="文字方塊 82">
          <a:extLst>
            <a:ext uri="{FF2B5EF4-FFF2-40B4-BE49-F238E27FC236}">
              <a16:creationId xmlns:a16="http://schemas.microsoft.com/office/drawing/2014/main" id="{85D57262-2531-4A1E-9791-463B10AE474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4" name="文字方塊 8">
          <a:extLst>
            <a:ext uri="{FF2B5EF4-FFF2-40B4-BE49-F238E27FC236}">
              <a16:creationId xmlns:a16="http://schemas.microsoft.com/office/drawing/2014/main" id="{A12D2A71-BDB2-4027-A99B-16265A013A8D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5" name="文字方塊 84">
          <a:extLst>
            <a:ext uri="{FF2B5EF4-FFF2-40B4-BE49-F238E27FC236}">
              <a16:creationId xmlns:a16="http://schemas.microsoft.com/office/drawing/2014/main" id="{C5F472DE-1776-4755-B21E-527ACDF606B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6" name="文字方塊 85">
          <a:extLst>
            <a:ext uri="{FF2B5EF4-FFF2-40B4-BE49-F238E27FC236}">
              <a16:creationId xmlns:a16="http://schemas.microsoft.com/office/drawing/2014/main" id="{B56043D0-88FB-47D5-AB09-179B88E9226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7" name="文字方塊 86">
          <a:extLst>
            <a:ext uri="{FF2B5EF4-FFF2-40B4-BE49-F238E27FC236}">
              <a16:creationId xmlns:a16="http://schemas.microsoft.com/office/drawing/2014/main" id="{A757750A-2DBF-4E71-94E6-0380DD6D288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8" name="文字方塊 8">
          <a:extLst>
            <a:ext uri="{FF2B5EF4-FFF2-40B4-BE49-F238E27FC236}">
              <a16:creationId xmlns:a16="http://schemas.microsoft.com/office/drawing/2014/main" id="{0406417A-DC45-49C1-ACD4-67F4F3E92733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9" name="文字方塊 88">
          <a:extLst>
            <a:ext uri="{FF2B5EF4-FFF2-40B4-BE49-F238E27FC236}">
              <a16:creationId xmlns:a16="http://schemas.microsoft.com/office/drawing/2014/main" id="{4943C4CF-0AAF-46C0-9E1E-BFBC5356237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0" name="文字方塊 89">
          <a:extLst>
            <a:ext uri="{FF2B5EF4-FFF2-40B4-BE49-F238E27FC236}">
              <a16:creationId xmlns:a16="http://schemas.microsoft.com/office/drawing/2014/main" id="{33218BF9-523E-479F-8DBE-5A7C3D58649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1" name="文字方塊 90">
          <a:extLst>
            <a:ext uri="{FF2B5EF4-FFF2-40B4-BE49-F238E27FC236}">
              <a16:creationId xmlns:a16="http://schemas.microsoft.com/office/drawing/2014/main" id="{ECE5669A-5F08-4A17-BF20-0AC91065305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92" name="文字方塊 8">
          <a:extLst>
            <a:ext uri="{FF2B5EF4-FFF2-40B4-BE49-F238E27FC236}">
              <a16:creationId xmlns:a16="http://schemas.microsoft.com/office/drawing/2014/main" id="{E92BD837-8F6B-47CF-8070-2C2717B540F2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3" name="文字方塊 92">
          <a:extLst>
            <a:ext uri="{FF2B5EF4-FFF2-40B4-BE49-F238E27FC236}">
              <a16:creationId xmlns:a16="http://schemas.microsoft.com/office/drawing/2014/main" id="{DE1BCB7A-9FF9-46C1-8269-773C3283317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4" name="文字方塊 93">
          <a:extLst>
            <a:ext uri="{FF2B5EF4-FFF2-40B4-BE49-F238E27FC236}">
              <a16:creationId xmlns:a16="http://schemas.microsoft.com/office/drawing/2014/main" id="{0D1080A3-12B6-49D8-8093-EE216A42216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5" name="文字方塊 94">
          <a:extLst>
            <a:ext uri="{FF2B5EF4-FFF2-40B4-BE49-F238E27FC236}">
              <a16:creationId xmlns:a16="http://schemas.microsoft.com/office/drawing/2014/main" id="{4E9D4E83-A9FF-40E1-BAE6-83D6DF60B9F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96" name="文字方塊 8">
          <a:extLst>
            <a:ext uri="{FF2B5EF4-FFF2-40B4-BE49-F238E27FC236}">
              <a16:creationId xmlns:a16="http://schemas.microsoft.com/office/drawing/2014/main" id="{FE46A3DA-3D1E-4E17-84C1-8F879CE83746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7" name="文字方塊 96">
          <a:extLst>
            <a:ext uri="{FF2B5EF4-FFF2-40B4-BE49-F238E27FC236}">
              <a16:creationId xmlns:a16="http://schemas.microsoft.com/office/drawing/2014/main" id="{E865001C-479B-4C4C-B044-58C152DCF83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8" name="文字方塊 97">
          <a:extLst>
            <a:ext uri="{FF2B5EF4-FFF2-40B4-BE49-F238E27FC236}">
              <a16:creationId xmlns:a16="http://schemas.microsoft.com/office/drawing/2014/main" id="{72DF3AD8-F749-42B1-83F9-D65F49A9AC5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9" name="文字方塊 98">
          <a:extLst>
            <a:ext uri="{FF2B5EF4-FFF2-40B4-BE49-F238E27FC236}">
              <a16:creationId xmlns:a16="http://schemas.microsoft.com/office/drawing/2014/main" id="{F246D79D-8C23-4B7B-82EB-663429D0FAB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0" name="文字方塊 8">
          <a:extLst>
            <a:ext uri="{FF2B5EF4-FFF2-40B4-BE49-F238E27FC236}">
              <a16:creationId xmlns:a16="http://schemas.microsoft.com/office/drawing/2014/main" id="{48305E26-327C-4F2D-AADD-0E130322694A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1" name="文字方塊 100">
          <a:extLst>
            <a:ext uri="{FF2B5EF4-FFF2-40B4-BE49-F238E27FC236}">
              <a16:creationId xmlns:a16="http://schemas.microsoft.com/office/drawing/2014/main" id="{929A665E-342A-412A-8114-261B12DD459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2" name="文字方塊 101">
          <a:extLst>
            <a:ext uri="{FF2B5EF4-FFF2-40B4-BE49-F238E27FC236}">
              <a16:creationId xmlns:a16="http://schemas.microsoft.com/office/drawing/2014/main" id="{F46B09C6-72EA-4548-9BA5-55AA4A310C4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3" name="文字方塊 102">
          <a:extLst>
            <a:ext uri="{FF2B5EF4-FFF2-40B4-BE49-F238E27FC236}">
              <a16:creationId xmlns:a16="http://schemas.microsoft.com/office/drawing/2014/main" id="{3BF48A78-4FF5-48F6-B94F-E5E769996AF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4" name="文字方塊 8">
          <a:extLst>
            <a:ext uri="{FF2B5EF4-FFF2-40B4-BE49-F238E27FC236}">
              <a16:creationId xmlns:a16="http://schemas.microsoft.com/office/drawing/2014/main" id="{A41F99DC-0830-4F19-BD8D-308AB68D56C4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5" name="文字方塊 104">
          <a:extLst>
            <a:ext uri="{FF2B5EF4-FFF2-40B4-BE49-F238E27FC236}">
              <a16:creationId xmlns:a16="http://schemas.microsoft.com/office/drawing/2014/main" id="{73B3CD21-9F23-4F95-B033-6F8651E02CF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6" name="文字方塊 105">
          <a:extLst>
            <a:ext uri="{FF2B5EF4-FFF2-40B4-BE49-F238E27FC236}">
              <a16:creationId xmlns:a16="http://schemas.microsoft.com/office/drawing/2014/main" id="{7F3D51B9-D43C-445E-8169-A11D9A1EBF1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7" name="文字方塊 106">
          <a:extLst>
            <a:ext uri="{FF2B5EF4-FFF2-40B4-BE49-F238E27FC236}">
              <a16:creationId xmlns:a16="http://schemas.microsoft.com/office/drawing/2014/main" id="{3800AE23-F762-450B-BC71-D273E63F18D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8" name="文字方塊 8">
          <a:extLst>
            <a:ext uri="{FF2B5EF4-FFF2-40B4-BE49-F238E27FC236}">
              <a16:creationId xmlns:a16="http://schemas.microsoft.com/office/drawing/2014/main" id="{DE907A96-9DF6-44B4-9DBA-CF8A9A659C88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9" name="文字方塊 108">
          <a:extLst>
            <a:ext uri="{FF2B5EF4-FFF2-40B4-BE49-F238E27FC236}">
              <a16:creationId xmlns:a16="http://schemas.microsoft.com/office/drawing/2014/main" id="{6829E77F-4ADC-431E-B656-8C7B7A81440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0" name="文字方塊 109">
          <a:extLst>
            <a:ext uri="{FF2B5EF4-FFF2-40B4-BE49-F238E27FC236}">
              <a16:creationId xmlns:a16="http://schemas.microsoft.com/office/drawing/2014/main" id="{3F32545E-0C9C-4ED5-8210-0618716BE98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C1E56414-BD51-4041-ABF6-860BB210529B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788B63B5-4F06-46A2-B4AA-959E8249186C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twoCellAnchor editAs="oneCell">
    <xdr:from>
      <xdr:col>3</xdr:col>
      <xdr:colOff>123269</xdr:colOff>
      <xdr:row>1</xdr:row>
      <xdr:rowOff>56021</xdr:rowOff>
    </xdr:from>
    <xdr:to>
      <xdr:col>5</xdr:col>
      <xdr:colOff>669622</xdr:colOff>
      <xdr:row>3</xdr:row>
      <xdr:rowOff>261941</xdr:rowOff>
    </xdr:to>
    <xdr:sp macro="[0]!auto_length" textlink="">
      <xdr:nvSpPr>
        <xdr:cNvPr id="4" name="矩形 3">
          <a:extLst>
            <a:ext uri="{FF2B5EF4-FFF2-40B4-BE49-F238E27FC236}">
              <a16:creationId xmlns:a16="http://schemas.microsoft.com/office/drawing/2014/main" id="{9A281B4E-652B-4516-9FE9-54AAC544270A}"/>
            </a:ext>
          </a:extLst>
        </xdr:cNvPr>
        <xdr:cNvSpPr>
          <a:spLocks noChangeAspect="1"/>
        </xdr:cNvSpPr>
      </xdr:nvSpPr>
      <xdr:spPr>
        <a:xfrm>
          <a:off x="946229" y="360821"/>
          <a:ext cx="2161793" cy="656396"/>
        </a:xfrm>
        <a:prstGeom prst="rect">
          <a:avLst/>
        </a:prstGeom>
        <a:solidFill>
          <a:schemeClr val="bg1"/>
        </a:solidFill>
        <a:ln w="38100">
          <a:solidFill>
            <a:schemeClr val="accent2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2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計算長度</a:t>
          </a:r>
        </a:p>
      </xdr:txBody>
    </xdr:sp>
    <xdr:clientData/>
  </xdr:twoCellAnchor>
  <xdr:oneCellAnchor>
    <xdr:from>
      <xdr:col>13</xdr:col>
      <xdr:colOff>134475</xdr:colOff>
      <xdr:row>1</xdr:row>
      <xdr:rowOff>56021</xdr:rowOff>
    </xdr:from>
    <xdr:ext cx="2160000" cy="360000"/>
    <xdr:sp macro="[0]!auto_angle" textlink="">
      <xdr:nvSpPr>
        <xdr:cNvPr id="5" name="矩形 4">
          <a:extLst>
            <a:ext uri="{FF2B5EF4-FFF2-40B4-BE49-F238E27FC236}">
              <a16:creationId xmlns:a16="http://schemas.microsoft.com/office/drawing/2014/main" id="{705B7934-B8D6-4D4F-A0A7-C78BE3052318}"/>
            </a:ext>
          </a:extLst>
        </xdr:cNvPr>
        <xdr:cNvSpPr>
          <a:spLocks noChangeAspect="1"/>
        </xdr:cNvSpPr>
      </xdr:nvSpPr>
      <xdr:spPr>
        <a:xfrm>
          <a:off x="6215235" y="360821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4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計算角度</a:t>
          </a:r>
          <a:r>
            <a:rPr lang="en-US" altLang="zh-TW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(°)</a:t>
          </a:r>
          <a:endParaRPr lang="zh-TW" altLang="en-US" sz="1600" b="1">
            <a:solidFill>
              <a:schemeClr val="accent4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oneCellAnchor>
  <xdr:oneCellAnchor>
    <xdr:from>
      <xdr:col>24</xdr:col>
      <xdr:colOff>134475</xdr:colOff>
      <xdr:row>1</xdr:row>
      <xdr:rowOff>56022</xdr:rowOff>
    </xdr:from>
    <xdr:ext cx="2160000" cy="360000"/>
    <xdr:sp macro="[0]!auto_area" textlink="">
      <xdr:nvSpPr>
        <xdr:cNvPr id="6" name="矩形 5">
          <a:extLst>
            <a:ext uri="{FF2B5EF4-FFF2-40B4-BE49-F238E27FC236}">
              <a16:creationId xmlns:a16="http://schemas.microsoft.com/office/drawing/2014/main" id="{A782CF00-0E6A-405B-903E-0E7EB8CE73A7}"/>
            </a:ext>
          </a:extLst>
        </xdr:cNvPr>
        <xdr:cNvSpPr>
          <a:spLocks noChangeAspect="1"/>
        </xdr:cNvSpPr>
      </xdr:nvSpPr>
      <xdr:spPr>
        <a:xfrm>
          <a:off x="11747355" y="360822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6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計算面積</a:t>
          </a:r>
        </a:p>
      </xdr:txBody>
    </xdr:sp>
    <xdr:clientData/>
  </xdr:oneCellAnchor>
  <xdr:twoCellAnchor editAs="oneCell">
    <xdr:from>
      <xdr:col>6</xdr:col>
      <xdr:colOff>85169</xdr:colOff>
      <xdr:row>1</xdr:row>
      <xdr:rowOff>51539</xdr:rowOff>
    </xdr:from>
    <xdr:to>
      <xdr:col>7</xdr:col>
      <xdr:colOff>718346</xdr:colOff>
      <xdr:row>3</xdr:row>
      <xdr:rowOff>257459</xdr:rowOff>
    </xdr:to>
    <xdr:sp macro="[0]!clear_length" textlink="">
      <xdr:nvSpPr>
        <xdr:cNvPr id="7" name="矩形 6">
          <a:extLst>
            <a:ext uri="{FF2B5EF4-FFF2-40B4-BE49-F238E27FC236}">
              <a16:creationId xmlns:a16="http://schemas.microsoft.com/office/drawing/2014/main" id="{9129B3D8-12C3-422C-8402-4B54C3D111DC}"/>
            </a:ext>
          </a:extLst>
        </xdr:cNvPr>
        <xdr:cNvSpPr>
          <a:spLocks/>
        </xdr:cNvSpPr>
      </xdr:nvSpPr>
      <xdr:spPr>
        <a:xfrm>
          <a:off x="3331289" y="356339"/>
          <a:ext cx="1440897" cy="656396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twoCellAnchor>
  <xdr:oneCellAnchor>
    <xdr:from>
      <xdr:col>16</xdr:col>
      <xdr:colOff>85169</xdr:colOff>
      <xdr:row>1</xdr:row>
      <xdr:rowOff>51539</xdr:rowOff>
    </xdr:from>
    <xdr:ext cx="1440000" cy="360000"/>
    <xdr:sp macro="[0]!clear_angle" textlink="">
      <xdr:nvSpPr>
        <xdr:cNvPr id="8" name="矩形 7">
          <a:extLst>
            <a:ext uri="{FF2B5EF4-FFF2-40B4-BE49-F238E27FC236}">
              <a16:creationId xmlns:a16="http://schemas.microsoft.com/office/drawing/2014/main" id="{C020D83E-7E1F-436E-8490-AFB8A201FE22}"/>
            </a:ext>
          </a:extLst>
        </xdr:cNvPr>
        <xdr:cNvSpPr>
          <a:spLocks/>
        </xdr:cNvSpPr>
      </xdr:nvSpPr>
      <xdr:spPr>
        <a:xfrm>
          <a:off x="8589089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27</xdr:col>
      <xdr:colOff>85169</xdr:colOff>
      <xdr:row>1</xdr:row>
      <xdr:rowOff>51539</xdr:rowOff>
    </xdr:from>
    <xdr:ext cx="1440000" cy="360000"/>
    <xdr:sp macro="[0]!clear_area" textlink="">
      <xdr:nvSpPr>
        <xdr:cNvPr id="9" name="矩形 8">
          <a:extLst>
            <a:ext uri="{FF2B5EF4-FFF2-40B4-BE49-F238E27FC236}">
              <a16:creationId xmlns:a16="http://schemas.microsoft.com/office/drawing/2014/main" id="{E7C67F65-1627-4FEF-86DB-26584CE7A912}"/>
            </a:ext>
          </a:extLst>
        </xdr:cNvPr>
        <xdr:cNvSpPr>
          <a:spLocks/>
        </xdr:cNvSpPr>
      </xdr:nvSpPr>
      <xdr:spPr>
        <a:xfrm>
          <a:off x="14121209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28C92C67-52AD-4849-9911-D3D090C0BABE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3D7288EC-D770-41AA-A018-58A0D86963D7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088F37D6-7EAF-4498-92F3-842FB222DD98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AB4EB10A-340E-41C3-BEC9-FC703945FE3B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72A9B9B9-052C-4265-9006-3547C7B865A0}"/>
            </a:ext>
          </a:extLst>
        </xdr:cNvPr>
        <xdr:cNvSpPr txBox="1"/>
      </xdr:nvSpPr>
      <xdr:spPr>
        <a:xfrm>
          <a:off x="797052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F44621D1-A19F-462D-946C-D46EB38AA397}"/>
            </a:ext>
          </a:extLst>
        </xdr:cNvPr>
        <xdr:cNvSpPr txBox="1">
          <a:spLocks noChangeAspect="1"/>
        </xdr:cNvSpPr>
      </xdr:nvSpPr>
      <xdr:spPr>
        <a:xfrm>
          <a:off x="797052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6" name="文字方塊 8">
          <a:extLst>
            <a:ext uri="{FF2B5EF4-FFF2-40B4-BE49-F238E27FC236}">
              <a16:creationId xmlns:a16="http://schemas.microsoft.com/office/drawing/2014/main" id="{F8F2408B-C1C2-4890-87A6-11C7F71AC4F6}"/>
            </a:ext>
          </a:extLst>
        </xdr:cNvPr>
        <xdr:cNvSpPr txBox="1"/>
      </xdr:nvSpPr>
      <xdr:spPr>
        <a:xfrm>
          <a:off x="797052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7" name="文字方塊 9">
          <a:extLst>
            <a:ext uri="{FF2B5EF4-FFF2-40B4-BE49-F238E27FC236}">
              <a16:creationId xmlns:a16="http://schemas.microsoft.com/office/drawing/2014/main" id="{D2196235-D658-4FF6-8EF5-76EC21FA8426}"/>
            </a:ext>
          </a:extLst>
        </xdr:cNvPr>
        <xdr:cNvSpPr txBox="1">
          <a:spLocks noChangeAspect="1"/>
        </xdr:cNvSpPr>
      </xdr:nvSpPr>
      <xdr:spPr>
        <a:xfrm>
          <a:off x="797052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12207738-9039-4F35-95E7-B028C8F6080A}"/>
            </a:ext>
          </a:extLst>
        </xdr:cNvPr>
        <xdr:cNvSpPr txBox="1"/>
      </xdr:nvSpPr>
      <xdr:spPr>
        <a:xfrm>
          <a:off x="797052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060123D5-6D78-4592-8ABC-F1C988AAF1D7}"/>
            </a:ext>
          </a:extLst>
        </xdr:cNvPr>
        <xdr:cNvSpPr txBox="1">
          <a:spLocks noChangeAspect="1"/>
        </xdr:cNvSpPr>
      </xdr:nvSpPr>
      <xdr:spPr>
        <a:xfrm>
          <a:off x="797052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5F6E1EBA-1F3C-40D5-9051-2BD4F017E3B0}"/>
            </a:ext>
          </a:extLst>
        </xdr:cNvPr>
        <xdr:cNvSpPr txBox="1"/>
      </xdr:nvSpPr>
      <xdr:spPr>
        <a:xfrm>
          <a:off x="797052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E47E1394-D2F1-4CF7-8095-D46DEA1E187C}"/>
            </a:ext>
          </a:extLst>
        </xdr:cNvPr>
        <xdr:cNvSpPr txBox="1">
          <a:spLocks noChangeAspect="1"/>
        </xdr:cNvSpPr>
      </xdr:nvSpPr>
      <xdr:spPr>
        <a:xfrm>
          <a:off x="797052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38C8F703-84DF-4D80-9172-FB00DA792FC3}"/>
            </a:ext>
          </a:extLst>
        </xdr:cNvPr>
        <xdr:cNvSpPr txBox="1"/>
      </xdr:nvSpPr>
      <xdr:spPr>
        <a:xfrm>
          <a:off x="797052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096465A3-6ABB-4523-84D1-D5A5C0C279B4}"/>
            </a:ext>
          </a:extLst>
        </xdr:cNvPr>
        <xdr:cNvSpPr txBox="1">
          <a:spLocks noChangeAspect="1"/>
        </xdr:cNvSpPr>
      </xdr:nvSpPr>
      <xdr:spPr>
        <a:xfrm>
          <a:off x="797052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4" name="文字方塊 8">
          <a:extLst>
            <a:ext uri="{FF2B5EF4-FFF2-40B4-BE49-F238E27FC236}">
              <a16:creationId xmlns:a16="http://schemas.microsoft.com/office/drawing/2014/main" id="{1B9BBD9F-CB06-4CE7-BEE9-DE36C9848D01}"/>
            </a:ext>
          </a:extLst>
        </xdr:cNvPr>
        <xdr:cNvSpPr txBox="1"/>
      </xdr:nvSpPr>
      <xdr:spPr>
        <a:xfrm>
          <a:off x="797052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5" name="文字方塊 9">
          <a:extLst>
            <a:ext uri="{FF2B5EF4-FFF2-40B4-BE49-F238E27FC236}">
              <a16:creationId xmlns:a16="http://schemas.microsoft.com/office/drawing/2014/main" id="{05E99754-9B86-4531-A5E2-D9F919838ADA}"/>
            </a:ext>
          </a:extLst>
        </xdr:cNvPr>
        <xdr:cNvSpPr txBox="1">
          <a:spLocks noChangeAspect="1"/>
        </xdr:cNvSpPr>
      </xdr:nvSpPr>
      <xdr:spPr>
        <a:xfrm>
          <a:off x="797052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2CC4FAF5-3CA0-4A45-877F-77184A4F0683}"/>
            </a:ext>
          </a:extLst>
        </xdr:cNvPr>
        <xdr:cNvSpPr txBox="1"/>
      </xdr:nvSpPr>
      <xdr:spPr>
        <a:xfrm>
          <a:off x="797052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D27F6723-FC86-47E6-84CA-8DC0C556EC09}"/>
            </a:ext>
          </a:extLst>
        </xdr:cNvPr>
        <xdr:cNvSpPr txBox="1">
          <a:spLocks noChangeAspect="1"/>
        </xdr:cNvSpPr>
      </xdr:nvSpPr>
      <xdr:spPr>
        <a:xfrm>
          <a:off x="797052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C0D2672C-EF07-4FBA-B187-554B024722C5}"/>
            </a:ext>
          </a:extLst>
        </xdr:cNvPr>
        <xdr:cNvSpPr txBox="1"/>
      </xdr:nvSpPr>
      <xdr:spPr>
        <a:xfrm>
          <a:off x="797052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99F7FE31-A5F9-47DE-988E-62558A542A68}"/>
            </a:ext>
          </a:extLst>
        </xdr:cNvPr>
        <xdr:cNvSpPr txBox="1">
          <a:spLocks noChangeAspect="1"/>
        </xdr:cNvSpPr>
      </xdr:nvSpPr>
      <xdr:spPr>
        <a:xfrm>
          <a:off x="797052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7E6BE3CF-BAB3-4678-8F41-9586D4AF04E8}"/>
            </a:ext>
          </a:extLst>
        </xdr:cNvPr>
        <xdr:cNvSpPr txBox="1"/>
      </xdr:nvSpPr>
      <xdr:spPr>
        <a:xfrm>
          <a:off x="797052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EE3EA976-C74C-45B1-AE36-79BD295390DD}"/>
            </a:ext>
          </a:extLst>
        </xdr:cNvPr>
        <xdr:cNvSpPr txBox="1">
          <a:spLocks noChangeAspect="1"/>
        </xdr:cNvSpPr>
      </xdr:nvSpPr>
      <xdr:spPr>
        <a:xfrm>
          <a:off x="797052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32" name="文字方塊 8">
          <a:extLst>
            <a:ext uri="{FF2B5EF4-FFF2-40B4-BE49-F238E27FC236}">
              <a16:creationId xmlns:a16="http://schemas.microsoft.com/office/drawing/2014/main" id="{593B601A-5732-422A-B25D-02C9E1AA9C7B}"/>
            </a:ext>
          </a:extLst>
        </xdr:cNvPr>
        <xdr:cNvSpPr txBox="1"/>
      </xdr:nvSpPr>
      <xdr:spPr>
        <a:xfrm>
          <a:off x="797052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33" name="文字方塊 9">
          <a:extLst>
            <a:ext uri="{FF2B5EF4-FFF2-40B4-BE49-F238E27FC236}">
              <a16:creationId xmlns:a16="http://schemas.microsoft.com/office/drawing/2014/main" id="{5E9E6FF9-47A0-4989-8D59-AF09A408C965}"/>
            </a:ext>
          </a:extLst>
        </xdr:cNvPr>
        <xdr:cNvSpPr txBox="1">
          <a:spLocks noChangeAspect="1"/>
        </xdr:cNvSpPr>
      </xdr:nvSpPr>
      <xdr:spPr>
        <a:xfrm>
          <a:off x="797052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97BD9FB1-BBDB-4E4D-8A13-DE5AA94082E9}"/>
            </a:ext>
          </a:extLst>
        </xdr:cNvPr>
        <xdr:cNvSpPr txBox="1"/>
      </xdr:nvSpPr>
      <xdr:spPr>
        <a:xfrm>
          <a:off x="797052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1FFC195D-0BDF-46A2-AE80-9C10848BEEBD}"/>
            </a:ext>
          </a:extLst>
        </xdr:cNvPr>
        <xdr:cNvSpPr txBox="1">
          <a:spLocks noChangeAspect="1"/>
        </xdr:cNvSpPr>
      </xdr:nvSpPr>
      <xdr:spPr>
        <a:xfrm>
          <a:off x="797052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6" name="文字方塊 35">
          <a:extLst>
            <a:ext uri="{FF2B5EF4-FFF2-40B4-BE49-F238E27FC236}">
              <a16:creationId xmlns:a16="http://schemas.microsoft.com/office/drawing/2014/main" id="{D9F3A664-E6DE-4C17-A17D-190548BAF22F}"/>
            </a:ext>
          </a:extLst>
        </xdr:cNvPr>
        <xdr:cNvSpPr txBox="1"/>
      </xdr:nvSpPr>
      <xdr:spPr>
        <a:xfrm>
          <a:off x="797052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45644038-8849-456B-9EA0-078095F27A5D}"/>
            </a:ext>
          </a:extLst>
        </xdr:cNvPr>
        <xdr:cNvSpPr txBox="1">
          <a:spLocks noChangeAspect="1"/>
        </xdr:cNvSpPr>
      </xdr:nvSpPr>
      <xdr:spPr>
        <a:xfrm>
          <a:off x="797052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3C438337-1B64-408C-8900-F63200FE2DE2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71C0DA8B-DEB5-4305-BE83-574271EA5996}"/>
            </a:ext>
          </a:extLst>
        </xdr:cNvPr>
        <xdr:cNvSpPr txBox="1">
          <a:spLocks noChangeAspect="1"/>
        </xdr:cNvSpPr>
      </xdr:nvSpPr>
      <xdr:spPr>
        <a:xfrm>
          <a:off x="798195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0" name="文字方塊 8">
          <a:extLst>
            <a:ext uri="{FF2B5EF4-FFF2-40B4-BE49-F238E27FC236}">
              <a16:creationId xmlns:a16="http://schemas.microsoft.com/office/drawing/2014/main" id="{5D456C6F-6978-4E57-B15B-42F1E534CAD8}"/>
            </a:ext>
          </a:extLst>
        </xdr:cNvPr>
        <xdr:cNvSpPr txBox="1"/>
      </xdr:nvSpPr>
      <xdr:spPr>
        <a:xfrm>
          <a:off x="798195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1" name="文字方塊 9">
          <a:extLst>
            <a:ext uri="{FF2B5EF4-FFF2-40B4-BE49-F238E27FC236}">
              <a16:creationId xmlns:a16="http://schemas.microsoft.com/office/drawing/2014/main" id="{573AB0BC-69B3-4987-AFA3-A5916B810FAD}"/>
            </a:ext>
          </a:extLst>
        </xdr:cNvPr>
        <xdr:cNvSpPr txBox="1">
          <a:spLocks noChangeAspect="1"/>
        </xdr:cNvSpPr>
      </xdr:nvSpPr>
      <xdr:spPr>
        <a:xfrm>
          <a:off x="798195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4895EC71-FBE0-4648-9931-68E456CBEAEE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A2828DD9-5102-4FB0-A985-056886D12AEC}"/>
            </a:ext>
          </a:extLst>
        </xdr:cNvPr>
        <xdr:cNvSpPr txBox="1">
          <a:spLocks noChangeAspect="1"/>
        </xdr:cNvSpPr>
      </xdr:nvSpPr>
      <xdr:spPr>
        <a:xfrm>
          <a:off x="798195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E018D025-EC63-4332-A3A0-7A24B9856B34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5" name="文字方塊 44">
          <a:extLst>
            <a:ext uri="{FF2B5EF4-FFF2-40B4-BE49-F238E27FC236}">
              <a16:creationId xmlns:a16="http://schemas.microsoft.com/office/drawing/2014/main" id="{703C2000-F288-4E17-BFDF-55BAECF851FB}"/>
            </a:ext>
          </a:extLst>
        </xdr:cNvPr>
        <xdr:cNvSpPr txBox="1">
          <a:spLocks noChangeAspect="1"/>
        </xdr:cNvSpPr>
      </xdr:nvSpPr>
      <xdr:spPr>
        <a:xfrm>
          <a:off x="798195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1E3988BB-2CDA-45F0-8A79-81711986E3BE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633D1ABF-BF37-4006-ABF5-8DB3DC99CAE2}"/>
            </a:ext>
          </a:extLst>
        </xdr:cNvPr>
        <xdr:cNvSpPr txBox="1">
          <a:spLocks noChangeAspect="1"/>
        </xdr:cNvSpPr>
      </xdr:nvSpPr>
      <xdr:spPr>
        <a:xfrm>
          <a:off x="798195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8" name="文字方塊 47">
          <a:extLst>
            <a:ext uri="{FF2B5EF4-FFF2-40B4-BE49-F238E27FC236}">
              <a16:creationId xmlns:a16="http://schemas.microsoft.com/office/drawing/2014/main" id="{12EF1A24-B6D1-4A44-AC99-3B5A28C53817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9" name="文字方塊 48">
          <a:extLst>
            <a:ext uri="{FF2B5EF4-FFF2-40B4-BE49-F238E27FC236}">
              <a16:creationId xmlns:a16="http://schemas.microsoft.com/office/drawing/2014/main" id="{BE408010-C488-454D-855B-D96CA6A6267C}"/>
            </a:ext>
          </a:extLst>
        </xdr:cNvPr>
        <xdr:cNvSpPr txBox="1">
          <a:spLocks noChangeAspect="1"/>
        </xdr:cNvSpPr>
      </xdr:nvSpPr>
      <xdr:spPr>
        <a:xfrm>
          <a:off x="798195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0" name="文字方塊 8">
          <a:extLst>
            <a:ext uri="{FF2B5EF4-FFF2-40B4-BE49-F238E27FC236}">
              <a16:creationId xmlns:a16="http://schemas.microsoft.com/office/drawing/2014/main" id="{F5EB6A4B-05FD-47C2-B674-4B3B0A0350AF}"/>
            </a:ext>
          </a:extLst>
        </xdr:cNvPr>
        <xdr:cNvSpPr txBox="1"/>
      </xdr:nvSpPr>
      <xdr:spPr>
        <a:xfrm>
          <a:off x="798195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51" name="文字方塊 9">
          <a:extLst>
            <a:ext uri="{FF2B5EF4-FFF2-40B4-BE49-F238E27FC236}">
              <a16:creationId xmlns:a16="http://schemas.microsoft.com/office/drawing/2014/main" id="{9DE9691C-7513-4E36-ABFD-A196D5E3BD24}"/>
            </a:ext>
          </a:extLst>
        </xdr:cNvPr>
        <xdr:cNvSpPr txBox="1">
          <a:spLocks noChangeAspect="1"/>
        </xdr:cNvSpPr>
      </xdr:nvSpPr>
      <xdr:spPr>
        <a:xfrm>
          <a:off x="798195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2" name="文字方塊 51">
          <a:extLst>
            <a:ext uri="{FF2B5EF4-FFF2-40B4-BE49-F238E27FC236}">
              <a16:creationId xmlns:a16="http://schemas.microsoft.com/office/drawing/2014/main" id="{577AAAB1-9BB8-461D-8858-A2872FCF7740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3" name="文字方塊 52">
          <a:extLst>
            <a:ext uri="{FF2B5EF4-FFF2-40B4-BE49-F238E27FC236}">
              <a16:creationId xmlns:a16="http://schemas.microsoft.com/office/drawing/2014/main" id="{E8A93800-1B0A-48D7-BD6B-FE4BF98E6B70}"/>
            </a:ext>
          </a:extLst>
        </xdr:cNvPr>
        <xdr:cNvSpPr txBox="1">
          <a:spLocks noChangeAspect="1"/>
        </xdr:cNvSpPr>
      </xdr:nvSpPr>
      <xdr:spPr>
        <a:xfrm>
          <a:off x="798195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79726111-BBE2-4733-9CE6-15D9019B8C1B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CC71DEA7-DE1F-4AF6-9541-67206FB14EA0}"/>
            </a:ext>
          </a:extLst>
        </xdr:cNvPr>
        <xdr:cNvSpPr txBox="1">
          <a:spLocks noChangeAspect="1"/>
        </xdr:cNvSpPr>
      </xdr:nvSpPr>
      <xdr:spPr>
        <a:xfrm>
          <a:off x="798195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6" name="文字方塊 55">
          <a:extLst>
            <a:ext uri="{FF2B5EF4-FFF2-40B4-BE49-F238E27FC236}">
              <a16:creationId xmlns:a16="http://schemas.microsoft.com/office/drawing/2014/main" id="{27025360-E45F-4D5E-BB89-AB784DF88DFE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7" name="文字方塊 56">
          <a:extLst>
            <a:ext uri="{FF2B5EF4-FFF2-40B4-BE49-F238E27FC236}">
              <a16:creationId xmlns:a16="http://schemas.microsoft.com/office/drawing/2014/main" id="{521D6180-FEF3-4AD7-9798-7EEE7068FC6E}"/>
            </a:ext>
          </a:extLst>
        </xdr:cNvPr>
        <xdr:cNvSpPr txBox="1">
          <a:spLocks noChangeAspect="1"/>
        </xdr:cNvSpPr>
      </xdr:nvSpPr>
      <xdr:spPr>
        <a:xfrm>
          <a:off x="798195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8" name="文字方塊 8">
          <a:extLst>
            <a:ext uri="{FF2B5EF4-FFF2-40B4-BE49-F238E27FC236}">
              <a16:creationId xmlns:a16="http://schemas.microsoft.com/office/drawing/2014/main" id="{1BF588EF-2F37-4B5B-B787-98539C7F4224}"/>
            </a:ext>
          </a:extLst>
        </xdr:cNvPr>
        <xdr:cNvSpPr txBox="1"/>
      </xdr:nvSpPr>
      <xdr:spPr>
        <a:xfrm>
          <a:off x="798195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59" name="文字方塊 9">
          <a:extLst>
            <a:ext uri="{FF2B5EF4-FFF2-40B4-BE49-F238E27FC236}">
              <a16:creationId xmlns:a16="http://schemas.microsoft.com/office/drawing/2014/main" id="{92AEF921-6531-4258-8846-CEAA8F88DFBB}"/>
            </a:ext>
          </a:extLst>
        </xdr:cNvPr>
        <xdr:cNvSpPr txBox="1">
          <a:spLocks noChangeAspect="1"/>
        </xdr:cNvSpPr>
      </xdr:nvSpPr>
      <xdr:spPr>
        <a:xfrm>
          <a:off x="798195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0" name="文字方塊 59">
          <a:extLst>
            <a:ext uri="{FF2B5EF4-FFF2-40B4-BE49-F238E27FC236}">
              <a16:creationId xmlns:a16="http://schemas.microsoft.com/office/drawing/2014/main" id="{969EB802-72F4-43E8-87D2-DF6443D1162C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406982A0-0EB0-4F94-AF75-83C312EAFA7E}"/>
            </a:ext>
          </a:extLst>
        </xdr:cNvPr>
        <xdr:cNvSpPr txBox="1">
          <a:spLocks noChangeAspect="1"/>
        </xdr:cNvSpPr>
      </xdr:nvSpPr>
      <xdr:spPr>
        <a:xfrm>
          <a:off x="798195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62393ECC-882A-4C58-BDD4-73BDD348006E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3" name="文字方塊 62">
          <a:extLst>
            <a:ext uri="{FF2B5EF4-FFF2-40B4-BE49-F238E27FC236}">
              <a16:creationId xmlns:a16="http://schemas.microsoft.com/office/drawing/2014/main" id="{AFBC8477-608A-4D00-82FB-95BB68D0E45F}"/>
            </a:ext>
          </a:extLst>
        </xdr:cNvPr>
        <xdr:cNvSpPr txBox="1">
          <a:spLocks noChangeAspect="1"/>
        </xdr:cNvSpPr>
      </xdr:nvSpPr>
      <xdr:spPr>
        <a:xfrm>
          <a:off x="798195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4" name="文字方塊 63">
          <a:extLst>
            <a:ext uri="{FF2B5EF4-FFF2-40B4-BE49-F238E27FC236}">
              <a16:creationId xmlns:a16="http://schemas.microsoft.com/office/drawing/2014/main" id="{C24DF165-DBFA-4E4C-A0C1-ED996284FF79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5" name="文字方塊 64">
          <a:extLst>
            <a:ext uri="{FF2B5EF4-FFF2-40B4-BE49-F238E27FC236}">
              <a16:creationId xmlns:a16="http://schemas.microsoft.com/office/drawing/2014/main" id="{977EBC3E-3C87-4AD8-A908-61CC7CC9144F}"/>
            </a:ext>
          </a:extLst>
        </xdr:cNvPr>
        <xdr:cNvSpPr txBox="1">
          <a:spLocks noChangeAspect="1"/>
        </xdr:cNvSpPr>
      </xdr:nvSpPr>
      <xdr:spPr>
        <a:xfrm>
          <a:off x="798195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6" name="文字方塊 8">
          <a:extLst>
            <a:ext uri="{FF2B5EF4-FFF2-40B4-BE49-F238E27FC236}">
              <a16:creationId xmlns:a16="http://schemas.microsoft.com/office/drawing/2014/main" id="{ADE76A32-3452-43D6-AFFC-81C3BA0FC600}"/>
            </a:ext>
          </a:extLst>
        </xdr:cNvPr>
        <xdr:cNvSpPr txBox="1"/>
      </xdr:nvSpPr>
      <xdr:spPr>
        <a:xfrm>
          <a:off x="798195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67" name="文字方塊 9">
          <a:extLst>
            <a:ext uri="{FF2B5EF4-FFF2-40B4-BE49-F238E27FC236}">
              <a16:creationId xmlns:a16="http://schemas.microsoft.com/office/drawing/2014/main" id="{7534E866-6970-47E9-A99A-025532DF79A5}"/>
            </a:ext>
          </a:extLst>
        </xdr:cNvPr>
        <xdr:cNvSpPr txBox="1">
          <a:spLocks noChangeAspect="1"/>
        </xdr:cNvSpPr>
      </xdr:nvSpPr>
      <xdr:spPr>
        <a:xfrm>
          <a:off x="798195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8" name="文字方塊 67">
          <a:extLst>
            <a:ext uri="{FF2B5EF4-FFF2-40B4-BE49-F238E27FC236}">
              <a16:creationId xmlns:a16="http://schemas.microsoft.com/office/drawing/2014/main" id="{9E108959-3376-4001-87FC-AF85D6E6B606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8DD1346A-456A-4E7F-89D3-33BB2A86A4F7}"/>
            </a:ext>
          </a:extLst>
        </xdr:cNvPr>
        <xdr:cNvSpPr txBox="1">
          <a:spLocks noChangeAspect="1"/>
        </xdr:cNvSpPr>
      </xdr:nvSpPr>
      <xdr:spPr>
        <a:xfrm>
          <a:off x="798195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57F04555-3900-4DA1-A37E-7873F525ECDD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EC353D4D-1D58-4128-8A88-1E596A1385CB}"/>
            </a:ext>
          </a:extLst>
        </xdr:cNvPr>
        <xdr:cNvSpPr txBox="1">
          <a:spLocks noChangeAspect="1"/>
        </xdr:cNvSpPr>
      </xdr:nvSpPr>
      <xdr:spPr>
        <a:xfrm>
          <a:off x="798195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2" name="文字方塊 71">
          <a:extLst>
            <a:ext uri="{FF2B5EF4-FFF2-40B4-BE49-F238E27FC236}">
              <a16:creationId xmlns:a16="http://schemas.microsoft.com/office/drawing/2014/main" id="{CCE23562-F214-4690-814D-1A2023567AD0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73" name="文字方塊 72">
          <a:extLst>
            <a:ext uri="{FF2B5EF4-FFF2-40B4-BE49-F238E27FC236}">
              <a16:creationId xmlns:a16="http://schemas.microsoft.com/office/drawing/2014/main" id="{2B1F6D7C-0961-4A19-AD38-62DB17771CFE}"/>
            </a:ext>
          </a:extLst>
        </xdr:cNvPr>
        <xdr:cNvSpPr txBox="1">
          <a:spLocks noChangeAspect="1"/>
        </xdr:cNvSpPr>
      </xdr:nvSpPr>
      <xdr:spPr>
        <a:xfrm>
          <a:off x="798195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4" name="文字方塊 8">
          <a:extLst>
            <a:ext uri="{FF2B5EF4-FFF2-40B4-BE49-F238E27FC236}">
              <a16:creationId xmlns:a16="http://schemas.microsoft.com/office/drawing/2014/main" id="{6A86CB1F-DEBA-46FE-BADD-000A8B51F93F}"/>
            </a:ext>
          </a:extLst>
        </xdr:cNvPr>
        <xdr:cNvSpPr txBox="1"/>
      </xdr:nvSpPr>
      <xdr:spPr>
        <a:xfrm>
          <a:off x="798195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75" name="文字方塊 9">
          <a:extLst>
            <a:ext uri="{FF2B5EF4-FFF2-40B4-BE49-F238E27FC236}">
              <a16:creationId xmlns:a16="http://schemas.microsoft.com/office/drawing/2014/main" id="{24AD8975-1704-483D-83D4-E932D047E380}"/>
            </a:ext>
          </a:extLst>
        </xdr:cNvPr>
        <xdr:cNvSpPr txBox="1">
          <a:spLocks noChangeAspect="1"/>
        </xdr:cNvSpPr>
      </xdr:nvSpPr>
      <xdr:spPr>
        <a:xfrm>
          <a:off x="798195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6" name="文字方塊 75">
          <a:extLst>
            <a:ext uri="{FF2B5EF4-FFF2-40B4-BE49-F238E27FC236}">
              <a16:creationId xmlns:a16="http://schemas.microsoft.com/office/drawing/2014/main" id="{2F54599E-E763-4EB5-A230-53110B8579F0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AAEFEC3C-F717-42BD-95F4-033EF3200BA0}"/>
            </a:ext>
          </a:extLst>
        </xdr:cNvPr>
        <xdr:cNvSpPr txBox="1">
          <a:spLocks noChangeAspect="1"/>
        </xdr:cNvSpPr>
      </xdr:nvSpPr>
      <xdr:spPr>
        <a:xfrm>
          <a:off x="798195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8" name="文字方塊 77">
          <a:extLst>
            <a:ext uri="{FF2B5EF4-FFF2-40B4-BE49-F238E27FC236}">
              <a16:creationId xmlns:a16="http://schemas.microsoft.com/office/drawing/2014/main" id="{1202AEDB-970A-4BD3-A81E-004C8E0FDDD4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79" name="文字方塊 78">
          <a:extLst>
            <a:ext uri="{FF2B5EF4-FFF2-40B4-BE49-F238E27FC236}">
              <a16:creationId xmlns:a16="http://schemas.microsoft.com/office/drawing/2014/main" id="{5EB72EDD-5B49-4DB3-813C-E7DD08CF9B3D}"/>
            </a:ext>
          </a:extLst>
        </xdr:cNvPr>
        <xdr:cNvSpPr txBox="1">
          <a:spLocks noChangeAspect="1"/>
        </xdr:cNvSpPr>
      </xdr:nvSpPr>
      <xdr:spPr>
        <a:xfrm>
          <a:off x="798195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0" name="文字方塊 79">
          <a:extLst>
            <a:ext uri="{FF2B5EF4-FFF2-40B4-BE49-F238E27FC236}">
              <a16:creationId xmlns:a16="http://schemas.microsoft.com/office/drawing/2014/main" id="{BE4DAB2D-E1BE-4F82-8DE5-654BC56D7201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81" name="文字方塊 80">
          <a:extLst>
            <a:ext uri="{FF2B5EF4-FFF2-40B4-BE49-F238E27FC236}">
              <a16:creationId xmlns:a16="http://schemas.microsoft.com/office/drawing/2014/main" id="{7633DDDA-8277-44BF-A2EA-98827A304FEC}"/>
            </a:ext>
          </a:extLst>
        </xdr:cNvPr>
        <xdr:cNvSpPr txBox="1">
          <a:spLocks noChangeAspect="1"/>
        </xdr:cNvSpPr>
      </xdr:nvSpPr>
      <xdr:spPr>
        <a:xfrm>
          <a:off x="798195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2" name="文字方塊 8">
          <a:extLst>
            <a:ext uri="{FF2B5EF4-FFF2-40B4-BE49-F238E27FC236}">
              <a16:creationId xmlns:a16="http://schemas.microsoft.com/office/drawing/2014/main" id="{062EB95F-F6C6-4ECA-ABDC-0006C94CE999}"/>
            </a:ext>
          </a:extLst>
        </xdr:cNvPr>
        <xdr:cNvSpPr txBox="1"/>
      </xdr:nvSpPr>
      <xdr:spPr>
        <a:xfrm>
          <a:off x="798195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83" name="文字方塊 9">
          <a:extLst>
            <a:ext uri="{FF2B5EF4-FFF2-40B4-BE49-F238E27FC236}">
              <a16:creationId xmlns:a16="http://schemas.microsoft.com/office/drawing/2014/main" id="{9F218F1D-B470-4B80-ACD8-8D6BBB84EE23}"/>
            </a:ext>
          </a:extLst>
        </xdr:cNvPr>
        <xdr:cNvSpPr txBox="1">
          <a:spLocks noChangeAspect="1"/>
        </xdr:cNvSpPr>
      </xdr:nvSpPr>
      <xdr:spPr>
        <a:xfrm>
          <a:off x="798195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4" name="文字方塊 83">
          <a:extLst>
            <a:ext uri="{FF2B5EF4-FFF2-40B4-BE49-F238E27FC236}">
              <a16:creationId xmlns:a16="http://schemas.microsoft.com/office/drawing/2014/main" id="{52F788E5-7CFD-43EB-BD0B-BEE40F71173C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85" name="文字方塊 84">
          <a:extLst>
            <a:ext uri="{FF2B5EF4-FFF2-40B4-BE49-F238E27FC236}">
              <a16:creationId xmlns:a16="http://schemas.microsoft.com/office/drawing/2014/main" id="{7F6D4361-950C-40C8-96C2-CFE190FC4F2E}"/>
            </a:ext>
          </a:extLst>
        </xdr:cNvPr>
        <xdr:cNvSpPr txBox="1">
          <a:spLocks noChangeAspect="1"/>
        </xdr:cNvSpPr>
      </xdr:nvSpPr>
      <xdr:spPr>
        <a:xfrm>
          <a:off x="798195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6" name="文字方塊 85">
          <a:extLst>
            <a:ext uri="{FF2B5EF4-FFF2-40B4-BE49-F238E27FC236}">
              <a16:creationId xmlns:a16="http://schemas.microsoft.com/office/drawing/2014/main" id="{703F84A7-6A1F-4A11-B15B-FAC19B02D782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87" name="文字方塊 86">
          <a:extLst>
            <a:ext uri="{FF2B5EF4-FFF2-40B4-BE49-F238E27FC236}">
              <a16:creationId xmlns:a16="http://schemas.microsoft.com/office/drawing/2014/main" id="{8A63C1D9-137B-4B19-98D9-6480736D04B9}"/>
            </a:ext>
          </a:extLst>
        </xdr:cNvPr>
        <xdr:cNvSpPr txBox="1">
          <a:spLocks noChangeAspect="1"/>
        </xdr:cNvSpPr>
      </xdr:nvSpPr>
      <xdr:spPr>
        <a:xfrm>
          <a:off x="798195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8" name="文字方塊 87">
          <a:extLst>
            <a:ext uri="{FF2B5EF4-FFF2-40B4-BE49-F238E27FC236}">
              <a16:creationId xmlns:a16="http://schemas.microsoft.com/office/drawing/2014/main" id="{EB83DC2D-8061-4C60-941B-19CECA64C80C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9" name="文字方塊 8">
          <a:extLst>
            <a:ext uri="{FF2B5EF4-FFF2-40B4-BE49-F238E27FC236}">
              <a16:creationId xmlns:a16="http://schemas.microsoft.com/office/drawing/2014/main" id="{C5052948-F337-4B4C-B555-0DAF303F3501}"/>
            </a:ext>
          </a:extLst>
        </xdr:cNvPr>
        <xdr:cNvSpPr txBox="1"/>
      </xdr:nvSpPr>
      <xdr:spPr>
        <a:xfrm>
          <a:off x="798195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0" name="文字方塊 89">
          <a:extLst>
            <a:ext uri="{FF2B5EF4-FFF2-40B4-BE49-F238E27FC236}">
              <a16:creationId xmlns:a16="http://schemas.microsoft.com/office/drawing/2014/main" id="{2FA4A033-0FD8-499E-A5E7-0BD3A3791BD8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1" name="文字方塊 90">
          <a:extLst>
            <a:ext uri="{FF2B5EF4-FFF2-40B4-BE49-F238E27FC236}">
              <a16:creationId xmlns:a16="http://schemas.microsoft.com/office/drawing/2014/main" id="{28A8D668-00BB-4896-9A83-A73CEA6BAFBE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2" name="文字方塊 91">
          <a:extLst>
            <a:ext uri="{FF2B5EF4-FFF2-40B4-BE49-F238E27FC236}">
              <a16:creationId xmlns:a16="http://schemas.microsoft.com/office/drawing/2014/main" id="{90D86B1D-E130-4A06-B4CF-111460BAE919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93" name="文字方塊 8">
          <a:extLst>
            <a:ext uri="{FF2B5EF4-FFF2-40B4-BE49-F238E27FC236}">
              <a16:creationId xmlns:a16="http://schemas.microsoft.com/office/drawing/2014/main" id="{77244006-572D-480D-A9F5-ACACD23D13C0}"/>
            </a:ext>
          </a:extLst>
        </xdr:cNvPr>
        <xdr:cNvSpPr txBox="1"/>
      </xdr:nvSpPr>
      <xdr:spPr>
        <a:xfrm>
          <a:off x="798195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4" name="文字方塊 93">
          <a:extLst>
            <a:ext uri="{FF2B5EF4-FFF2-40B4-BE49-F238E27FC236}">
              <a16:creationId xmlns:a16="http://schemas.microsoft.com/office/drawing/2014/main" id="{67EDE89B-B8ED-45D0-B386-6AD318B7A71E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5" name="文字方塊 94">
          <a:extLst>
            <a:ext uri="{FF2B5EF4-FFF2-40B4-BE49-F238E27FC236}">
              <a16:creationId xmlns:a16="http://schemas.microsoft.com/office/drawing/2014/main" id="{52EC93D7-5B8C-45EA-8579-0AD9A3144DDF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6" name="文字方塊 95">
          <a:extLst>
            <a:ext uri="{FF2B5EF4-FFF2-40B4-BE49-F238E27FC236}">
              <a16:creationId xmlns:a16="http://schemas.microsoft.com/office/drawing/2014/main" id="{7941FCBF-0625-4632-B8BE-4D8165E1D7F7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97" name="文字方塊 8">
          <a:extLst>
            <a:ext uri="{FF2B5EF4-FFF2-40B4-BE49-F238E27FC236}">
              <a16:creationId xmlns:a16="http://schemas.microsoft.com/office/drawing/2014/main" id="{B4FA60AF-3EE9-485B-816D-753A6E1C9FDB}"/>
            </a:ext>
          </a:extLst>
        </xdr:cNvPr>
        <xdr:cNvSpPr txBox="1"/>
      </xdr:nvSpPr>
      <xdr:spPr>
        <a:xfrm>
          <a:off x="798195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8" name="文字方塊 97">
          <a:extLst>
            <a:ext uri="{FF2B5EF4-FFF2-40B4-BE49-F238E27FC236}">
              <a16:creationId xmlns:a16="http://schemas.microsoft.com/office/drawing/2014/main" id="{0B8BA6C5-AF7C-42D1-9AD7-E3BE086B9A10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9" name="文字方塊 98">
          <a:extLst>
            <a:ext uri="{FF2B5EF4-FFF2-40B4-BE49-F238E27FC236}">
              <a16:creationId xmlns:a16="http://schemas.microsoft.com/office/drawing/2014/main" id="{70603048-C3F2-4F4D-A41C-F7B9C5BF6B77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0" name="文字方塊 99">
          <a:extLst>
            <a:ext uri="{FF2B5EF4-FFF2-40B4-BE49-F238E27FC236}">
              <a16:creationId xmlns:a16="http://schemas.microsoft.com/office/drawing/2014/main" id="{19D8AEF1-79BE-4AC1-AD40-F7A1BB13D333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1" name="文字方塊 8">
          <a:extLst>
            <a:ext uri="{FF2B5EF4-FFF2-40B4-BE49-F238E27FC236}">
              <a16:creationId xmlns:a16="http://schemas.microsoft.com/office/drawing/2014/main" id="{ED5D4EF0-075C-4C63-B2F1-4E4B7DA289A5}"/>
            </a:ext>
          </a:extLst>
        </xdr:cNvPr>
        <xdr:cNvSpPr txBox="1"/>
      </xdr:nvSpPr>
      <xdr:spPr>
        <a:xfrm>
          <a:off x="798195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2" name="文字方塊 101">
          <a:extLst>
            <a:ext uri="{FF2B5EF4-FFF2-40B4-BE49-F238E27FC236}">
              <a16:creationId xmlns:a16="http://schemas.microsoft.com/office/drawing/2014/main" id="{A1DD1724-2662-49B0-A0BB-46093BE93406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3" name="文字方塊 102">
          <a:extLst>
            <a:ext uri="{FF2B5EF4-FFF2-40B4-BE49-F238E27FC236}">
              <a16:creationId xmlns:a16="http://schemas.microsoft.com/office/drawing/2014/main" id="{D2761C0F-6E61-4BAB-8F50-BF3FB399ABDC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4" name="文字方塊 103">
          <a:extLst>
            <a:ext uri="{FF2B5EF4-FFF2-40B4-BE49-F238E27FC236}">
              <a16:creationId xmlns:a16="http://schemas.microsoft.com/office/drawing/2014/main" id="{9FC3887A-9752-423F-8410-369041C5C012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5" name="文字方塊 8">
          <a:extLst>
            <a:ext uri="{FF2B5EF4-FFF2-40B4-BE49-F238E27FC236}">
              <a16:creationId xmlns:a16="http://schemas.microsoft.com/office/drawing/2014/main" id="{2093033D-FF0C-47FC-BBD7-A1B77614580E}"/>
            </a:ext>
          </a:extLst>
        </xdr:cNvPr>
        <xdr:cNvSpPr txBox="1"/>
      </xdr:nvSpPr>
      <xdr:spPr>
        <a:xfrm>
          <a:off x="798195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6" name="文字方塊 105">
          <a:extLst>
            <a:ext uri="{FF2B5EF4-FFF2-40B4-BE49-F238E27FC236}">
              <a16:creationId xmlns:a16="http://schemas.microsoft.com/office/drawing/2014/main" id="{C22922CB-F485-4829-8CF5-FCABD1DA614E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7" name="文字方塊 106">
          <a:extLst>
            <a:ext uri="{FF2B5EF4-FFF2-40B4-BE49-F238E27FC236}">
              <a16:creationId xmlns:a16="http://schemas.microsoft.com/office/drawing/2014/main" id="{73962649-02E0-413F-9AFE-0A51C5C2C00D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8" name="文字方塊 107">
          <a:extLst>
            <a:ext uri="{FF2B5EF4-FFF2-40B4-BE49-F238E27FC236}">
              <a16:creationId xmlns:a16="http://schemas.microsoft.com/office/drawing/2014/main" id="{6AAFCF4D-8C47-41E9-B439-0A5858343174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9" name="文字方塊 8">
          <a:extLst>
            <a:ext uri="{FF2B5EF4-FFF2-40B4-BE49-F238E27FC236}">
              <a16:creationId xmlns:a16="http://schemas.microsoft.com/office/drawing/2014/main" id="{866DFABA-2D1A-4F0A-93C0-34D9E41A4A17}"/>
            </a:ext>
          </a:extLst>
        </xdr:cNvPr>
        <xdr:cNvSpPr txBox="1"/>
      </xdr:nvSpPr>
      <xdr:spPr>
        <a:xfrm>
          <a:off x="798195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0" name="文字方塊 109">
          <a:extLst>
            <a:ext uri="{FF2B5EF4-FFF2-40B4-BE49-F238E27FC236}">
              <a16:creationId xmlns:a16="http://schemas.microsoft.com/office/drawing/2014/main" id="{15A0E4BC-5991-4345-9977-B661150AC3AC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1" name="文字方塊 110">
          <a:extLst>
            <a:ext uri="{FF2B5EF4-FFF2-40B4-BE49-F238E27FC236}">
              <a16:creationId xmlns:a16="http://schemas.microsoft.com/office/drawing/2014/main" id="{28BA8675-1504-413B-90A1-24EC2DCAC73C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2" name="文字方塊 111">
          <a:extLst>
            <a:ext uri="{FF2B5EF4-FFF2-40B4-BE49-F238E27FC236}">
              <a16:creationId xmlns:a16="http://schemas.microsoft.com/office/drawing/2014/main" id="{16544E90-F472-41D9-8346-2EA341F27A60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3" name="文字方塊 112">
          <a:extLst>
            <a:ext uri="{FF2B5EF4-FFF2-40B4-BE49-F238E27FC236}">
              <a16:creationId xmlns:a16="http://schemas.microsoft.com/office/drawing/2014/main" id="{5B72514E-3B88-46B0-B44A-75B9946D411A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14" name="文字方塊 8">
          <a:extLst>
            <a:ext uri="{FF2B5EF4-FFF2-40B4-BE49-F238E27FC236}">
              <a16:creationId xmlns:a16="http://schemas.microsoft.com/office/drawing/2014/main" id="{A8588D6B-D0F3-4B32-B839-8A681D52F927}"/>
            </a:ext>
          </a:extLst>
        </xdr:cNvPr>
        <xdr:cNvSpPr txBox="1"/>
      </xdr:nvSpPr>
      <xdr:spPr>
        <a:xfrm>
          <a:off x="798195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5" name="文字方塊 114">
          <a:extLst>
            <a:ext uri="{FF2B5EF4-FFF2-40B4-BE49-F238E27FC236}">
              <a16:creationId xmlns:a16="http://schemas.microsoft.com/office/drawing/2014/main" id="{AF003A4D-FECE-4C7A-A1C5-D4FD07FA0952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6" name="文字方塊 115">
          <a:extLst>
            <a:ext uri="{FF2B5EF4-FFF2-40B4-BE49-F238E27FC236}">
              <a16:creationId xmlns:a16="http://schemas.microsoft.com/office/drawing/2014/main" id="{FA5018E5-DAF5-4B8F-A2C7-04FA748AD305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7" name="文字方塊 116">
          <a:extLst>
            <a:ext uri="{FF2B5EF4-FFF2-40B4-BE49-F238E27FC236}">
              <a16:creationId xmlns:a16="http://schemas.microsoft.com/office/drawing/2014/main" id="{173FC1CA-4160-4589-A3FB-840D59392E35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18" name="文字方塊 8">
          <a:extLst>
            <a:ext uri="{FF2B5EF4-FFF2-40B4-BE49-F238E27FC236}">
              <a16:creationId xmlns:a16="http://schemas.microsoft.com/office/drawing/2014/main" id="{CA6F79DC-E5CD-4BBF-9AA9-947C9C7F8627}"/>
            </a:ext>
          </a:extLst>
        </xdr:cNvPr>
        <xdr:cNvSpPr txBox="1"/>
      </xdr:nvSpPr>
      <xdr:spPr>
        <a:xfrm>
          <a:off x="798195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9" name="文字方塊 118">
          <a:extLst>
            <a:ext uri="{FF2B5EF4-FFF2-40B4-BE49-F238E27FC236}">
              <a16:creationId xmlns:a16="http://schemas.microsoft.com/office/drawing/2014/main" id="{4318F584-F58E-4746-8C66-AE6CBFDA5D0A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0" name="文字方塊 119">
          <a:extLst>
            <a:ext uri="{FF2B5EF4-FFF2-40B4-BE49-F238E27FC236}">
              <a16:creationId xmlns:a16="http://schemas.microsoft.com/office/drawing/2014/main" id="{0EF57868-4892-4B5C-9CB5-9122249CB951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1" name="文字方塊 120">
          <a:extLst>
            <a:ext uri="{FF2B5EF4-FFF2-40B4-BE49-F238E27FC236}">
              <a16:creationId xmlns:a16="http://schemas.microsoft.com/office/drawing/2014/main" id="{3B4896B0-306F-4637-9367-FEA2A4EBEE60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22" name="文字方塊 8">
          <a:extLst>
            <a:ext uri="{FF2B5EF4-FFF2-40B4-BE49-F238E27FC236}">
              <a16:creationId xmlns:a16="http://schemas.microsoft.com/office/drawing/2014/main" id="{949CA82A-9432-422F-9ABA-294CB1421C21}"/>
            </a:ext>
          </a:extLst>
        </xdr:cNvPr>
        <xdr:cNvSpPr txBox="1"/>
      </xdr:nvSpPr>
      <xdr:spPr>
        <a:xfrm>
          <a:off x="798195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3" name="文字方塊 122">
          <a:extLst>
            <a:ext uri="{FF2B5EF4-FFF2-40B4-BE49-F238E27FC236}">
              <a16:creationId xmlns:a16="http://schemas.microsoft.com/office/drawing/2014/main" id="{B06C04C5-A17D-44C2-946C-7D16171C8106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4" name="文字方塊 123">
          <a:extLst>
            <a:ext uri="{FF2B5EF4-FFF2-40B4-BE49-F238E27FC236}">
              <a16:creationId xmlns:a16="http://schemas.microsoft.com/office/drawing/2014/main" id="{071A7842-F9FE-4889-B604-1258806EE167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5" name="文字方塊 124">
          <a:extLst>
            <a:ext uri="{FF2B5EF4-FFF2-40B4-BE49-F238E27FC236}">
              <a16:creationId xmlns:a16="http://schemas.microsoft.com/office/drawing/2014/main" id="{A3284869-1032-41B7-9308-DE2B47C27E38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26" name="文字方塊 8">
          <a:extLst>
            <a:ext uri="{FF2B5EF4-FFF2-40B4-BE49-F238E27FC236}">
              <a16:creationId xmlns:a16="http://schemas.microsoft.com/office/drawing/2014/main" id="{6483FD71-8527-47A4-8273-36BB47A7C0D9}"/>
            </a:ext>
          </a:extLst>
        </xdr:cNvPr>
        <xdr:cNvSpPr txBox="1"/>
      </xdr:nvSpPr>
      <xdr:spPr>
        <a:xfrm>
          <a:off x="798195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7" name="文字方塊 126">
          <a:extLst>
            <a:ext uri="{FF2B5EF4-FFF2-40B4-BE49-F238E27FC236}">
              <a16:creationId xmlns:a16="http://schemas.microsoft.com/office/drawing/2014/main" id="{D5C34A26-8636-4742-BDA2-35D39A4D9BD1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8" name="文字方塊 127">
          <a:extLst>
            <a:ext uri="{FF2B5EF4-FFF2-40B4-BE49-F238E27FC236}">
              <a16:creationId xmlns:a16="http://schemas.microsoft.com/office/drawing/2014/main" id="{B6FBB2DC-E931-46DD-9FF6-D60791F611FB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9" name="文字方塊 128">
          <a:extLst>
            <a:ext uri="{FF2B5EF4-FFF2-40B4-BE49-F238E27FC236}">
              <a16:creationId xmlns:a16="http://schemas.microsoft.com/office/drawing/2014/main" id="{67F59C31-1298-4FC1-AAF5-8EC9C057E3BC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30" name="文字方塊 8">
          <a:extLst>
            <a:ext uri="{FF2B5EF4-FFF2-40B4-BE49-F238E27FC236}">
              <a16:creationId xmlns:a16="http://schemas.microsoft.com/office/drawing/2014/main" id="{D69A8B82-9751-413E-B8AF-1322AEF6F1D4}"/>
            </a:ext>
          </a:extLst>
        </xdr:cNvPr>
        <xdr:cNvSpPr txBox="1"/>
      </xdr:nvSpPr>
      <xdr:spPr>
        <a:xfrm>
          <a:off x="798195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1" name="文字方塊 130">
          <a:extLst>
            <a:ext uri="{FF2B5EF4-FFF2-40B4-BE49-F238E27FC236}">
              <a16:creationId xmlns:a16="http://schemas.microsoft.com/office/drawing/2014/main" id="{920240DB-1818-4828-ADE3-109D6D1836C6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2" name="文字方塊 131">
          <a:extLst>
            <a:ext uri="{FF2B5EF4-FFF2-40B4-BE49-F238E27FC236}">
              <a16:creationId xmlns:a16="http://schemas.microsoft.com/office/drawing/2014/main" id="{FF30930C-86A0-4BCC-95E3-AF9FD1FA91A8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3" name="文字方塊 132">
          <a:extLst>
            <a:ext uri="{FF2B5EF4-FFF2-40B4-BE49-F238E27FC236}">
              <a16:creationId xmlns:a16="http://schemas.microsoft.com/office/drawing/2014/main" id="{8099B603-E3C5-47B8-AEA1-07962E51B66E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34" name="文字方塊 8">
          <a:extLst>
            <a:ext uri="{FF2B5EF4-FFF2-40B4-BE49-F238E27FC236}">
              <a16:creationId xmlns:a16="http://schemas.microsoft.com/office/drawing/2014/main" id="{249419EE-EB1C-45CF-B33E-CDCF0A80F6A2}"/>
            </a:ext>
          </a:extLst>
        </xdr:cNvPr>
        <xdr:cNvSpPr txBox="1"/>
      </xdr:nvSpPr>
      <xdr:spPr>
        <a:xfrm>
          <a:off x="798195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5" name="文字方塊 134">
          <a:extLst>
            <a:ext uri="{FF2B5EF4-FFF2-40B4-BE49-F238E27FC236}">
              <a16:creationId xmlns:a16="http://schemas.microsoft.com/office/drawing/2014/main" id="{DF566DAB-8B97-4754-A4AA-F404A02266CC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6" name="文字方塊 135">
          <a:extLst>
            <a:ext uri="{FF2B5EF4-FFF2-40B4-BE49-F238E27FC236}">
              <a16:creationId xmlns:a16="http://schemas.microsoft.com/office/drawing/2014/main" id="{F2DBD88F-D577-412A-9F21-90008E6DA7E7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7" name="文字方塊 136">
          <a:extLst>
            <a:ext uri="{FF2B5EF4-FFF2-40B4-BE49-F238E27FC236}">
              <a16:creationId xmlns:a16="http://schemas.microsoft.com/office/drawing/2014/main" id="{AF406DED-8634-4FCF-891C-B2AA24243D44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38" name="文字方塊 8">
          <a:extLst>
            <a:ext uri="{FF2B5EF4-FFF2-40B4-BE49-F238E27FC236}">
              <a16:creationId xmlns:a16="http://schemas.microsoft.com/office/drawing/2014/main" id="{DEC8DAC9-4B9E-471C-9081-6C40D5FFFDD3}"/>
            </a:ext>
          </a:extLst>
        </xdr:cNvPr>
        <xdr:cNvSpPr txBox="1"/>
      </xdr:nvSpPr>
      <xdr:spPr>
        <a:xfrm>
          <a:off x="798195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9" name="文字方塊 138">
          <a:extLst>
            <a:ext uri="{FF2B5EF4-FFF2-40B4-BE49-F238E27FC236}">
              <a16:creationId xmlns:a16="http://schemas.microsoft.com/office/drawing/2014/main" id="{5F22C410-741E-4043-8952-0FB7C4E2193C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0" name="文字方塊 139">
          <a:extLst>
            <a:ext uri="{FF2B5EF4-FFF2-40B4-BE49-F238E27FC236}">
              <a16:creationId xmlns:a16="http://schemas.microsoft.com/office/drawing/2014/main" id="{ED81C45A-1D25-4AF4-9D9A-00218084DF2D}"/>
            </a:ext>
          </a:extLst>
        </xdr:cNvPr>
        <xdr:cNvSpPr txBox="1"/>
      </xdr:nvSpPr>
      <xdr:spPr>
        <a:xfrm>
          <a:off x="79819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7D3B198A-0560-489A-93D6-B028985CE7AF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ACE17113-3078-41D2-B410-2C77A9F320FD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twoCellAnchor editAs="oneCell">
    <xdr:from>
      <xdr:col>3</xdr:col>
      <xdr:colOff>123269</xdr:colOff>
      <xdr:row>1</xdr:row>
      <xdr:rowOff>56021</xdr:rowOff>
    </xdr:from>
    <xdr:to>
      <xdr:col>5</xdr:col>
      <xdr:colOff>669622</xdr:colOff>
      <xdr:row>3</xdr:row>
      <xdr:rowOff>260660</xdr:rowOff>
    </xdr:to>
    <xdr:sp macro="[0]!auto_length" textlink="">
      <xdr:nvSpPr>
        <xdr:cNvPr id="4" name="矩形 3">
          <a:extLst>
            <a:ext uri="{FF2B5EF4-FFF2-40B4-BE49-F238E27FC236}">
              <a16:creationId xmlns:a16="http://schemas.microsoft.com/office/drawing/2014/main" id="{C0328DDF-E8FF-40BD-B4F3-2C84BDDCE279}"/>
            </a:ext>
          </a:extLst>
        </xdr:cNvPr>
        <xdr:cNvSpPr>
          <a:spLocks noChangeAspect="1"/>
        </xdr:cNvSpPr>
      </xdr:nvSpPr>
      <xdr:spPr>
        <a:xfrm>
          <a:off x="946229" y="360821"/>
          <a:ext cx="2161793" cy="656396"/>
        </a:xfrm>
        <a:prstGeom prst="rect">
          <a:avLst/>
        </a:prstGeom>
        <a:solidFill>
          <a:schemeClr val="bg1"/>
        </a:solidFill>
        <a:ln w="38100">
          <a:solidFill>
            <a:schemeClr val="accent2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2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計算長度</a:t>
          </a:r>
        </a:p>
      </xdr:txBody>
    </xdr:sp>
    <xdr:clientData/>
  </xdr:twoCellAnchor>
  <xdr:oneCellAnchor>
    <xdr:from>
      <xdr:col>13</xdr:col>
      <xdr:colOff>134475</xdr:colOff>
      <xdr:row>1</xdr:row>
      <xdr:rowOff>56021</xdr:rowOff>
    </xdr:from>
    <xdr:ext cx="2160000" cy="360000"/>
    <xdr:sp macro="[0]!auto_angle" textlink="">
      <xdr:nvSpPr>
        <xdr:cNvPr id="5" name="矩形 4">
          <a:extLst>
            <a:ext uri="{FF2B5EF4-FFF2-40B4-BE49-F238E27FC236}">
              <a16:creationId xmlns:a16="http://schemas.microsoft.com/office/drawing/2014/main" id="{60C566ED-A502-4EF9-A287-0695F87CD483}"/>
            </a:ext>
          </a:extLst>
        </xdr:cNvPr>
        <xdr:cNvSpPr>
          <a:spLocks noChangeAspect="1"/>
        </xdr:cNvSpPr>
      </xdr:nvSpPr>
      <xdr:spPr>
        <a:xfrm>
          <a:off x="6215235" y="360821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4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計算角度</a:t>
          </a:r>
          <a:r>
            <a:rPr lang="en-US" altLang="zh-TW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(°)</a:t>
          </a:r>
          <a:endParaRPr lang="zh-TW" altLang="en-US" sz="1600" b="1">
            <a:solidFill>
              <a:schemeClr val="accent4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oneCellAnchor>
  <xdr:oneCellAnchor>
    <xdr:from>
      <xdr:col>24</xdr:col>
      <xdr:colOff>134475</xdr:colOff>
      <xdr:row>1</xdr:row>
      <xdr:rowOff>56022</xdr:rowOff>
    </xdr:from>
    <xdr:ext cx="2160000" cy="360000"/>
    <xdr:sp macro="[0]!auto_area" textlink="">
      <xdr:nvSpPr>
        <xdr:cNvPr id="6" name="矩形 5">
          <a:extLst>
            <a:ext uri="{FF2B5EF4-FFF2-40B4-BE49-F238E27FC236}">
              <a16:creationId xmlns:a16="http://schemas.microsoft.com/office/drawing/2014/main" id="{3CEFD634-0A85-474E-B234-9589E19EBDBE}"/>
            </a:ext>
          </a:extLst>
        </xdr:cNvPr>
        <xdr:cNvSpPr>
          <a:spLocks noChangeAspect="1"/>
        </xdr:cNvSpPr>
      </xdr:nvSpPr>
      <xdr:spPr>
        <a:xfrm>
          <a:off x="11747355" y="360822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6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計算面積</a:t>
          </a:r>
        </a:p>
      </xdr:txBody>
    </xdr:sp>
    <xdr:clientData/>
  </xdr:oneCellAnchor>
  <xdr:twoCellAnchor editAs="oneCell">
    <xdr:from>
      <xdr:col>6</xdr:col>
      <xdr:colOff>85169</xdr:colOff>
      <xdr:row>1</xdr:row>
      <xdr:rowOff>51539</xdr:rowOff>
    </xdr:from>
    <xdr:to>
      <xdr:col>7</xdr:col>
      <xdr:colOff>718346</xdr:colOff>
      <xdr:row>3</xdr:row>
      <xdr:rowOff>256178</xdr:rowOff>
    </xdr:to>
    <xdr:sp macro="[0]!clear_length" textlink="">
      <xdr:nvSpPr>
        <xdr:cNvPr id="7" name="矩形 6">
          <a:extLst>
            <a:ext uri="{FF2B5EF4-FFF2-40B4-BE49-F238E27FC236}">
              <a16:creationId xmlns:a16="http://schemas.microsoft.com/office/drawing/2014/main" id="{F7C50723-94C8-4292-B3FC-BE5B8DBC61FC}"/>
            </a:ext>
          </a:extLst>
        </xdr:cNvPr>
        <xdr:cNvSpPr>
          <a:spLocks/>
        </xdr:cNvSpPr>
      </xdr:nvSpPr>
      <xdr:spPr>
        <a:xfrm>
          <a:off x="3331289" y="356339"/>
          <a:ext cx="1440897" cy="656396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twoCellAnchor>
  <xdr:oneCellAnchor>
    <xdr:from>
      <xdr:col>16</xdr:col>
      <xdr:colOff>85169</xdr:colOff>
      <xdr:row>1</xdr:row>
      <xdr:rowOff>51539</xdr:rowOff>
    </xdr:from>
    <xdr:ext cx="1440000" cy="360000"/>
    <xdr:sp macro="[0]!clear_angle" textlink="">
      <xdr:nvSpPr>
        <xdr:cNvPr id="8" name="矩形 7">
          <a:extLst>
            <a:ext uri="{FF2B5EF4-FFF2-40B4-BE49-F238E27FC236}">
              <a16:creationId xmlns:a16="http://schemas.microsoft.com/office/drawing/2014/main" id="{ABB160FA-672E-4CA9-BE10-70EB19D16508}"/>
            </a:ext>
          </a:extLst>
        </xdr:cNvPr>
        <xdr:cNvSpPr>
          <a:spLocks/>
        </xdr:cNvSpPr>
      </xdr:nvSpPr>
      <xdr:spPr>
        <a:xfrm>
          <a:off x="8589089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27</xdr:col>
      <xdr:colOff>85169</xdr:colOff>
      <xdr:row>1</xdr:row>
      <xdr:rowOff>51539</xdr:rowOff>
    </xdr:from>
    <xdr:ext cx="1440000" cy="360000"/>
    <xdr:sp macro="[0]!clear_area" textlink="">
      <xdr:nvSpPr>
        <xdr:cNvPr id="9" name="矩形 8">
          <a:extLst>
            <a:ext uri="{FF2B5EF4-FFF2-40B4-BE49-F238E27FC236}">
              <a16:creationId xmlns:a16="http://schemas.microsoft.com/office/drawing/2014/main" id="{2227175E-DF35-42DC-A673-C41300CE385C}"/>
            </a:ext>
          </a:extLst>
        </xdr:cNvPr>
        <xdr:cNvSpPr>
          <a:spLocks/>
        </xdr:cNvSpPr>
      </xdr:nvSpPr>
      <xdr:spPr>
        <a:xfrm>
          <a:off x="14121209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E0C8DA92-DFD9-4899-BC4F-35E3C79487C6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F00DF139-7432-4E1A-812C-8826671F48C0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3AF66A35-EFAD-443E-99ED-FE34AD0B9B01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D3479B04-2CD0-4F73-97B6-F10F78FA8460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F3F32F89-AD7B-40B7-874D-8C3ED9CF528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3EFAEC49-EDBB-4ED4-949B-F52130679F10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6" name="文字方塊 8">
          <a:extLst>
            <a:ext uri="{FF2B5EF4-FFF2-40B4-BE49-F238E27FC236}">
              <a16:creationId xmlns:a16="http://schemas.microsoft.com/office/drawing/2014/main" id="{9A88DB3A-7A84-4844-B6A4-4B3DA78263E8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7" name="文字方塊 9">
          <a:extLst>
            <a:ext uri="{FF2B5EF4-FFF2-40B4-BE49-F238E27FC236}">
              <a16:creationId xmlns:a16="http://schemas.microsoft.com/office/drawing/2014/main" id="{1D287770-AC54-48D4-A8B7-2FBB06EC6B48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7C9056F5-D5F4-4AED-A519-42F24005D70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AEFBC486-0452-486D-9360-55A8A7B05D6B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7992DE68-DC37-451A-8AAB-B48903A3181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8F751BE4-D3AD-4AD3-86F7-C7BA7D9E5E59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9C5E5D6F-1A5B-4F4F-ADF2-C6E9F9FB7E5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F20CBDDA-C2D4-4516-B8A8-F663FEFAD6A0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4" name="文字方塊 8">
          <a:extLst>
            <a:ext uri="{FF2B5EF4-FFF2-40B4-BE49-F238E27FC236}">
              <a16:creationId xmlns:a16="http://schemas.microsoft.com/office/drawing/2014/main" id="{9D8BCA94-1661-4470-A572-2071BE21EC27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5" name="文字方塊 9">
          <a:extLst>
            <a:ext uri="{FF2B5EF4-FFF2-40B4-BE49-F238E27FC236}">
              <a16:creationId xmlns:a16="http://schemas.microsoft.com/office/drawing/2014/main" id="{84A01047-A614-431B-A738-6540A40C6CB7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10956A0D-5D14-4050-8CD8-8240871E964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88B03BE2-1E95-4B4C-AFA7-A66554C2770D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90B22C2C-9E97-4888-8545-6B34469BEFE9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1B2BE9C8-617B-4790-9470-CBA7BABAFBB2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16FA169E-4E97-40E1-94E2-82749D73D45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8E61EB80-BD34-4B66-8D13-692380F0EAA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32" name="文字方塊 8">
          <a:extLst>
            <a:ext uri="{FF2B5EF4-FFF2-40B4-BE49-F238E27FC236}">
              <a16:creationId xmlns:a16="http://schemas.microsoft.com/office/drawing/2014/main" id="{B0150951-8C95-4034-8BB2-1A63DF9B4E83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33" name="文字方塊 9">
          <a:extLst>
            <a:ext uri="{FF2B5EF4-FFF2-40B4-BE49-F238E27FC236}">
              <a16:creationId xmlns:a16="http://schemas.microsoft.com/office/drawing/2014/main" id="{86D92192-F8C9-4F33-BCDB-06508B596A5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12479F22-D611-4ED9-914A-FCBBC65262B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DF9CDA96-569B-4C95-83CC-8BBA1C58C4E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6" name="文字方塊 35">
          <a:extLst>
            <a:ext uri="{FF2B5EF4-FFF2-40B4-BE49-F238E27FC236}">
              <a16:creationId xmlns:a16="http://schemas.microsoft.com/office/drawing/2014/main" id="{7E8C1217-9EAA-4E59-8A7F-D8B646DAC79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FE075216-6665-4DDE-A1FF-72D58FCDC60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9B18F0B8-1A39-4018-A980-29FA4C99BCD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688364CA-E2C4-40CB-9911-0DBA4180256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0" name="文字方塊 39">
          <a:extLst>
            <a:ext uri="{FF2B5EF4-FFF2-40B4-BE49-F238E27FC236}">
              <a16:creationId xmlns:a16="http://schemas.microsoft.com/office/drawing/2014/main" id="{19111F5D-68B9-476C-90FD-7D2FD2C939E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1" name="文字方塊 40">
          <a:extLst>
            <a:ext uri="{FF2B5EF4-FFF2-40B4-BE49-F238E27FC236}">
              <a16:creationId xmlns:a16="http://schemas.microsoft.com/office/drawing/2014/main" id="{45CCB221-626C-4386-8E53-5D7667BB9BD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2" name="文字方塊 8">
          <a:extLst>
            <a:ext uri="{FF2B5EF4-FFF2-40B4-BE49-F238E27FC236}">
              <a16:creationId xmlns:a16="http://schemas.microsoft.com/office/drawing/2014/main" id="{4C8AAC04-1A0C-457E-98C2-563DE57D4CC3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3" name="文字方塊 9">
          <a:extLst>
            <a:ext uri="{FF2B5EF4-FFF2-40B4-BE49-F238E27FC236}">
              <a16:creationId xmlns:a16="http://schemas.microsoft.com/office/drawing/2014/main" id="{1305812D-7524-4EB8-BC95-234DEF0231A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8B9D9F30-BC3F-442D-BC7B-C4126C2699B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5" name="文字方塊 44">
          <a:extLst>
            <a:ext uri="{FF2B5EF4-FFF2-40B4-BE49-F238E27FC236}">
              <a16:creationId xmlns:a16="http://schemas.microsoft.com/office/drawing/2014/main" id="{168D23DA-1E3B-4204-BD3C-4477C78439B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B82A85C2-BE81-494A-958D-EC9F42645FB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9EE212EE-34BD-482A-8C31-1197CACAA4E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8" name="文字方塊 47">
          <a:extLst>
            <a:ext uri="{FF2B5EF4-FFF2-40B4-BE49-F238E27FC236}">
              <a16:creationId xmlns:a16="http://schemas.microsoft.com/office/drawing/2014/main" id="{38DA22D0-0914-4291-8116-48250D934E8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9" name="文字方塊 48">
          <a:extLst>
            <a:ext uri="{FF2B5EF4-FFF2-40B4-BE49-F238E27FC236}">
              <a16:creationId xmlns:a16="http://schemas.microsoft.com/office/drawing/2014/main" id="{27E3E68D-1FFA-4534-B0E1-02408F9931B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0" name="文字方塊 8">
          <a:extLst>
            <a:ext uri="{FF2B5EF4-FFF2-40B4-BE49-F238E27FC236}">
              <a16:creationId xmlns:a16="http://schemas.microsoft.com/office/drawing/2014/main" id="{C3E9C40E-BFA1-46CF-BA4D-4E224782D55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51" name="文字方塊 9">
          <a:extLst>
            <a:ext uri="{FF2B5EF4-FFF2-40B4-BE49-F238E27FC236}">
              <a16:creationId xmlns:a16="http://schemas.microsoft.com/office/drawing/2014/main" id="{EAA688A5-8B79-41AA-BAD8-2333F1B03F3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2" name="文字方塊 51">
          <a:extLst>
            <a:ext uri="{FF2B5EF4-FFF2-40B4-BE49-F238E27FC236}">
              <a16:creationId xmlns:a16="http://schemas.microsoft.com/office/drawing/2014/main" id="{FB0B6307-D2AF-465E-947D-62A2B9B3402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3" name="文字方塊 52">
          <a:extLst>
            <a:ext uri="{FF2B5EF4-FFF2-40B4-BE49-F238E27FC236}">
              <a16:creationId xmlns:a16="http://schemas.microsoft.com/office/drawing/2014/main" id="{A8EB0518-3192-4222-9F56-2A734D678D6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A0A0D6AA-C8DB-48A7-954F-4BB590EA5E9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119606F6-A9A2-4720-B921-C824F5C945B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6" name="文字方塊 55">
          <a:extLst>
            <a:ext uri="{FF2B5EF4-FFF2-40B4-BE49-F238E27FC236}">
              <a16:creationId xmlns:a16="http://schemas.microsoft.com/office/drawing/2014/main" id="{93C487AE-277B-4D14-9D91-FD4669F3764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7" name="文字方塊 56">
          <a:extLst>
            <a:ext uri="{FF2B5EF4-FFF2-40B4-BE49-F238E27FC236}">
              <a16:creationId xmlns:a16="http://schemas.microsoft.com/office/drawing/2014/main" id="{ED5DC609-FBBA-4C21-AB86-88C3BFAA6CB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8" name="文字方塊 8">
          <a:extLst>
            <a:ext uri="{FF2B5EF4-FFF2-40B4-BE49-F238E27FC236}">
              <a16:creationId xmlns:a16="http://schemas.microsoft.com/office/drawing/2014/main" id="{51C1836B-716C-4623-874F-E41B76F8A355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59" name="文字方塊 9">
          <a:extLst>
            <a:ext uri="{FF2B5EF4-FFF2-40B4-BE49-F238E27FC236}">
              <a16:creationId xmlns:a16="http://schemas.microsoft.com/office/drawing/2014/main" id="{247765E3-A0E3-47CC-8F08-5559CDFA8C7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0" name="文字方塊 59">
          <a:extLst>
            <a:ext uri="{FF2B5EF4-FFF2-40B4-BE49-F238E27FC236}">
              <a16:creationId xmlns:a16="http://schemas.microsoft.com/office/drawing/2014/main" id="{30B12FC8-BE62-446F-993E-0DEDAAF7BF7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A89D719A-8E75-4087-8B37-8D446F5410B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E7B905C9-1633-454D-A65E-0D404070DCE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3" name="文字方塊 62">
          <a:extLst>
            <a:ext uri="{FF2B5EF4-FFF2-40B4-BE49-F238E27FC236}">
              <a16:creationId xmlns:a16="http://schemas.microsoft.com/office/drawing/2014/main" id="{6108BE2C-D91C-4145-81DB-D2DF26CBD3E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4" name="文字方塊 63">
          <a:extLst>
            <a:ext uri="{FF2B5EF4-FFF2-40B4-BE49-F238E27FC236}">
              <a16:creationId xmlns:a16="http://schemas.microsoft.com/office/drawing/2014/main" id="{6BFE19DF-B4E6-43AE-BBA6-58886110251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5" name="文字方塊 64">
          <a:extLst>
            <a:ext uri="{FF2B5EF4-FFF2-40B4-BE49-F238E27FC236}">
              <a16:creationId xmlns:a16="http://schemas.microsoft.com/office/drawing/2014/main" id="{46C48267-A9FF-4343-B569-727990FACAF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6" name="文字方塊 8">
          <a:extLst>
            <a:ext uri="{FF2B5EF4-FFF2-40B4-BE49-F238E27FC236}">
              <a16:creationId xmlns:a16="http://schemas.microsoft.com/office/drawing/2014/main" id="{313E3965-E919-4707-8019-3DDB4781C166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67" name="文字方塊 9">
          <a:extLst>
            <a:ext uri="{FF2B5EF4-FFF2-40B4-BE49-F238E27FC236}">
              <a16:creationId xmlns:a16="http://schemas.microsoft.com/office/drawing/2014/main" id="{4BD12812-3C1E-481B-9432-8F7E32BCD13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8" name="文字方塊 67">
          <a:extLst>
            <a:ext uri="{FF2B5EF4-FFF2-40B4-BE49-F238E27FC236}">
              <a16:creationId xmlns:a16="http://schemas.microsoft.com/office/drawing/2014/main" id="{7A843F65-63C9-4AEA-AB13-770E86091FB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0BD79A75-5709-4AF4-9A86-76FC43DA631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DFD684C9-26A7-4FE8-8E51-D63ECF420BE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E7EFAAC5-45AC-4C3E-BA2F-4735957B63E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2" name="文字方塊 71">
          <a:extLst>
            <a:ext uri="{FF2B5EF4-FFF2-40B4-BE49-F238E27FC236}">
              <a16:creationId xmlns:a16="http://schemas.microsoft.com/office/drawing/2014/main" id="{21137CBA-6C4A-4DEB-8F95-44FFC07A7BC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73" name="文字方塊 72">
          <a:extLst>
            <a:ext uri="{FF2B5EF4-FFF2-40B4-BE49-F238E27FC236}">
              <a16:creationId xmlns:a16="http://schemas.microsoft.com/office/drawing/2014/main" id="{C705B805-E6E0-4EC1-A741-02CFC741156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4" name="文字方塊 8">
          <a:extLst>
            <a:ext uri="{FF2B5EF4-FFF2-40B4-BE49-F238E27FC236}">
              <a16:creationId xmlns:a16="http://schemas.microsoft.com/office/drawing/2014/main" id="{9AD7DB1F-83B1-4A6B-BC34-18D36E30D33E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75" name="文字方塊 9">
          <a:extLst>
            <a:ext uri="{FF2B5EF4-FFF2-40B4-BE49-F238E27FC236}">
              <a16:creationId xmlns:a16="http://schemas.microsoft.com/office/drawing/2014/main" id="{A6D1E849-294F-4607-BAD8-DC5F00111D3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6" name="文字方塊 75">
          <a:extLst>
            <a:ext uri="{FF2B5EF4-FFF2-40B4-BE49-F238E27FC236}">
              <a16:creationId xmlns:a16="http://schemas.microsoft.com/office/drawing/2014/main" id="{4E028902-2D98-47C4-AF0A-358753EF266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581458BE-D51D-4276-8F56-D4A424D7B40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8" name="文字方塊 77">
          <a:extLst>
            <a:ext uri="{FF2B5EF4-FFF2-40B4-BE49-F238E27FC236}">
              <a16:creationId xmlns:a16="http://schemas.microsoft.com/office/drawing/2014/main" id="{9011AC5F-E9B5-493D-B249-2E2D67C3554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79" name="文字方塊 78">
          <a:extLst>
            <a:ext uri="{FF2B5EF4-FFF2-40B4-BE49-F238E27FC236}">
              <a16:creationId xmlns:a16="http://schemas.microsoft.com/office/drawing/2014/main" id="{FA2F3833-6410-4BFB-BA69-DFDB146C5C7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0" name="文字方塊 79">
          <a:extLst>
            <a:ext uri="{FF2B5EF4-FFF2-40B4-BE49-F238E27FC236}">
              <a16:creationId xmlns:a16="http://schemas.microsoft.com/office/drawing/2014/main" id="{ED668628-606B-48F4-A2CE-47BECD325CA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1" name="文字方塊 8">
          <a:extLst>
            <a:ext uri="{FF2B5EF4-FFF2-40B4-BE49-F238E27FC236}">
              <a16:creationId xmlns:a16="http://schemas.microsoft.com/office/drawing/2014/main" id="{EE6D216C-FB49-4A62-ACEA-694701AF16F8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2" name="文字方塊 81">
          <a:extLst>
            <a:ext uri="{FF2B5EF4-FFF2-40B4-BE49-F238E27FC236}">
              <a16:creationId xmlns:a16="http://schemas.microsoft.com/office/drawing/2014/main" id="{29E0E81C-FDB5-46AA-886A-7B74FBB167F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3" name="文字方塊 82">
          <a:extLst>
            <a:ext uri="{FF2B5EF4-FFF2-40B4-BE49-F238E27FC236}">
              <a16:creationId xmlns:a16="http://schemas.microsoft.com/office/drawing/2014/main" id="{5949E391-CF7E-45B9-81BF-76BA69AB6BD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4" name="文字方塊 83">
          <a:extLst>
            <a:ext uri="{FF2B5EF4-FFF2-40B4-BE49-F238E27FC236}">
              <a16:creationId xmlns:a16="http://schemas.microsoft.com/office/drawing/2014/main" id="{D4A85B9C-9169-44E7-B4AA-B1CAC2AB136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5" name="文字方塊 8">
          <a:extLst>
            <a:ext uri="{FF2B5EF4-FFF2-40B4-BE49-F238E27FC236}">
              <a16:creationId xmlns:a16="http://schemas.microsoft.com/office/drawing/2014/main" id="{7DC2F24A-3535-4818-9DA6-DF2B4600F34C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6" name="文字方塊 85">
          <a:extLst>
            <a:ext uri="{FF2B5EF4-FFF2-40B4-BE49-F238E27FC236}">
              <a16:creationId xmlns:a16="http://schemas.microsoft.com/office/drawing/2014/main" id="{A1C60CBC-49FE-4B7F-B514-AE96A39A61B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7" name="文字方塊 86">
          <a:extLst>
            <a:ext uri="{FF2B5EF4-FFF2-40B4-BE49-F238E27FC236}">
              <a16:creationId xmlns:a16="http://schemas.microsoft.com/office/drawing/2014/main" id="{EF6D5B17-72C2-4952-B466-43EA199D811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8" name="文字方塊 87">
          <a:extLst>
            <a:ext uri="{FF2B5EF4-FFF2-40B4-BE49-F238E27FC236}">
              <a16:creationId xmlns:a16="http://schemas.microsoft.com/office/drawing/2014/main" id="{793CAFD3-CA80-4F3D-8BFE-2EB7A0533B3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9" name="文字方塊 8">
          <a:extLst>
            <a:ext uri="{FF2B5EF4-FFF2-40B4-BE49-F238E27FC236}">
              <a16:creationId xmlns:a16="http://schemas.microsoft.com/office/drawing/2014/main" id="{7490E233-2759-4405-8EA0-6DBB303D9673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0" name="文字方塊 89">
          <a:extLst>
            <a:ext uri="{FF2B5EF4-FFF2-40B4-BE49-F238E27FC236}">
              <a16:creationId xmlns:a16="http://schemas.microsoft.com/office/drawing/2014/main" id="{AAFE013B-3601-4140-BEBD-0ED3B890C14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1" name="文字方塊 90">
          <a:extLst>
            <a:ext uri="{FF2B5EF4-FFF2-40B4-BE49-F238E27FC236}">
              <a16:creationId xmlns:a16="http://schemas.microsoft.com/office/drawing/2014/main" id="{8D5BD8AD-5A75-4899-B266-C571BB72DF2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2" name="文字方塊 91">
          <a:extLst>
            <a:ext uri="{FF2B5EF4-FFF2-40B4-BE49-F238E27FC236}">
              <a16:creationId xmlns:a16="http://schemas.microsoft.com/office/drawing/2014/main" id="{38ED700F-42CF-4F13-B3F8-42FC68B3D83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93" name="文字方塊 8">
          <a:extLst>
            <a:ext uri="{FF2B5EF4-FFF2-40B4-BE49-F238E27FC236}">
              <a16:creationId xmlns:a16="http://schemas.microsoft.com/office/drawing/2014/main" id="{0FA4323F-691A-4B07-B22A-E07E6FB3388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4" name="文字方塊 93">
          <a:extLst>
            <a:ext uri="{FF2B5EF4-FFF2-40B4-BE49-F238E27FC236}">
              <a16:creationId xmlns:a16="http://schemas.microsoft.com/office/drawing/2014/main" id="{CC0959A4-E461-4CE3-B055-673B7A0E441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5" name="文字方塊 94">
          <a:extLst>
            <a:ext uri="{FF2B5EF4-FFF2-40B4-BE49-F238E27FC236}">
              <a16:creationId xmlns:a16="http://schemas.microsoft.com/office/drawing/2014/main" id="{BE94CB8B-343F-4654-A3EC-6ABFE32F563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6" name="文字方塊 95">
          <a:extLst>
            <a:ext uri="{FF2B5EF4-FFF2-40B4-BE49-F238E27FC236}">
              <a16:creationId xmlns:a16="http://schemas.microsoft.com/office/drawing/2014/main" id="{F2DD8B0B-B46D-46B3-A287-399C3F63DA2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97" name="文字方塊 8">
          <a:extLst>
            <a:ext uri="{FF2B5EF4-FFF2-40B4-BE49-F238E27FC236}">
              <a16:creationId xmlns:a16="http://schemas.microsoft.com/office/drawing/2014/main" id="{BF0406F7-150F-4AAF-AE4B-349FC1D1E929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8" name="文字方塊 97">
          <a:extLst>
            <a:ext uri="{FF2B5EF4-FFF2-40B4-BE49-F238E27FC236}">
              <a16:creationId xmlns:a16="http://schemas.microsoft.com/office/drawing/2014/main" id="{23662197-819F-4974-AC09-B81E0ABAA25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9" name="文字方塊 98">
          <a:extLst>
            <a:ext uri="{FF2B5EF4-FFF2-40B4-BE49-F238E27FC236}">
              <a16:creationId xmlns:a16="http://schemas.microsoft.com/office/drawing/2014/main" id="{05E0F2BB-F443-433C-BA6F-7F5BC26CA5E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0" name="文字方塊 99">
          <a:extLst>
            <a:ext uri="{FF2B5EF4-FFF2-40B4-BE49-F238E27FC236}">
              <a16:creationId xmlns:a16="http://schemas.microsoft.com/office/drawing/2014/main" id="{C991625E-6272-418F-BD60-BB80089D124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1" name="文字方塊 8">
          <a:extLst>
            <a:ext uri="{FF2B5EF4-FFF2-40B4-BE49-F238E27FC236}">
              <a16:creationId xmlns:a16="http://schemas.microsoft.com/office/drawing/2014/main" id="{2CB06DEB-679B-4EED-91C8-4036BA4B2857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2" name="文字方塊 101">
          <a:extLst>
            <a:ext uri="{FF2B5EF4-FFF2-40B4-BE49-F238E27FC236}">
              <a16:creationId xmlns:a16="http://schemas.microsoft.com/office/drawing/2014/main" id="{545D02CB-B509-40DC-AB84-AA11E9AEF87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3" name="文字方塊 102">
          <a:extLst>
            <a:ext uri="{FF2B5EF4-FFF2-40B4-BE49-F238E27FC236}">
              <a16:creationId xmlns:a16="http://schemas.microsoft.com/office/drawing/2014/main" id="{58F899AB-E0FB-4D23-BFCB-F6236DE7D79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4" name="文字方塊 103">
          <a:extLst>
            <a:ext uri="{FF2B5EF4-FFF2-40B4-BE49-F238E27FC236}">
              <a16:creationId xmlns:a16="http://schemas.microsoft.com/office/drawing/2014/main" id="{1EBC007F-DEC7-4D90-A898-EB5934D4D5A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5" name="文字方塊 104">
          <a:extLst>
            <a:ext uri="{FF2B5EF4-FFF2-40B4-BE49-F238E27FC236}">
              <a16:creationId xmlns:a16="http://schemas.microsoft.com/office/drawing/2014/main" id="{1F6AA103-05A3-4717-8EDF-F38E46F3A0E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6" name="文字方塊 8">
          <a:extLst>
            <a:ext uri="{FF2B5EF4-FFF2-40B4-BE49-F238E27FC236}">
              <a16:creationId xmlns:a16="http://schemas.microsoft.com/office/drawing/2014/main" id="{FC4B47D2-845D-4C31-8D90-3D69408C5816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7" name="文字方塊 106">
          <a:extLst>
            <a:ext uri="{FF2B5EF4-FFF2-40B4-BE49-F238E27FC236}">
              <a16:creationId xmlns:a16="http://schemas.microsoft.com/office/drawing/2014/main" id="{D3994072-1A56-45F8-A6B2-C0A372F0595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8" name="文字方塊 107">
          <a:extLst>
            <a:ext uri="{FF2B5EF4-FFF2-40B4-BE49-F238E27FC236}">
              <a16:creationId xmlns:a16="http://schemas.microsoft.com/office/drawing/2014/main" id="{88905ECB-12C7-4F7A-A5EF-798FB415066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9" name="文字方塊 108">
          <a:extLst>
            <a:ext uri="{FF2B5EF4-FFF2-40B4-BE49-F238E27FC236}">
              <a16:creationId xmlns:a16="http://schemas.microsoft.com/office/drawing/2014/main" id="{3CBDBF4E-860D-467E-BE2B-EE6F04AE825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10" name="文字方塊 8">
          <a:extLst>
            <a:ext uri="{FF2B5EF4-FFF2-40B4-BE49-F238E27FC236}">
              <a16:creationId xmlns:a16="http://schemas.microsoft.com/office/drawing/2014/main" id="{4FDA9FAE-A2C3-49F9-AD33-4AC624C61EFE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1" name="文字方塊 110">
          <a:extLst>
            <a:ext uri="{FF2B5EF4-FFF2-40B4-BE49-F238E27FC236}">
              <a16:creationId xmlns:a16="http://schemas.microsoft.com/office/drawing/2014/main" id="{6D547D00-0B55-4F41-BCE8-06510D5EA28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2" name="文字方塊 111">
          <a:extLst>
            <a:ext uri="{FF2B5EF4-FFF2-40B4-BE49-F238E27FC236}">
              <a16:creationId xmlns:a16="http://schemas.microsoft.com/office/drawing/2014/main" id="{C72EA347-8E25-408D-AD04-C3A6D70EE03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3" name="文字方塊 112">
          <a:extLst>
            <a:ext uri="{FF2B5EF4-FFF2-40B4-BE49-F238E27FC236}">
              <a16:creationId xmlns:a16="http://schemas.microsoft.com/office/drawing/2014/main" id="{189A0D7B-50B9-43DE-9393-F30DF2C7069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14" name="文字方塊 8">
          <a:extLst>
            <a:ext uri="{FF2B5EF4-FFF2-40B4-BE49-F238E27FC236}">
              <a16:creationId xmlns:a16="http://schemas.microsoft.com/office/drawing/2014/main" id="{4A69FB64-67CC-4753-9D53-A948E0B1BC5A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5" name="文字方塊 114">
          <a:extLst>
            <a:ext uri="{FF2B5EF4-FFF2-40B4-BE49-F238E27FC236}">
              <a16:creationId xmlns:a16="http://schemas.microsoft.com/office/drawing/2014/main" id="{0A87A142-14A7-4625-82CE-7252D1C6AB1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6" name="文字方塊 115">
          <a:extLst>
            <a:ext uri="{FF2B5EF4-FFF2-40B4-BE49-F238E27FC236}">
              <a16:creationId xmlns:a16="http://schemas.microsoft.com/office/drawing/2014/main" id="{6D91D173-07DA-4125-A650-6153554AD99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7" name="文字方塊 116">
          <a:extLst>
            <a:ext uri="{FF2B5EF4-FFF2-40B4-BE49-F238E27FC236}">
              <a16:creationId xmlns:a16="http://schemas.microsoft.com/office/drawing/2014/main" id="{2F1C31AA-485B-49A2-8DFD-C18601C4776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18" name="文字方塊 8">
          <a:extLst>
            <a:ext uri="{FF2B5EF4-FFF2-40B4-BE49-F238E27FC236}">
              <a16:creationId xmlns:a16="http://schemas.microsoft.com/office/drawing/2014/main" id="{F91D648A-5BA4-4EE4-94E8-A9D362F264E0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9" name="文字方塊 118">
          <a:extLst>
            <a:ext uri="{FF2B5EF4-FFF2-40B4-BE49-F238E27FC236}">
              <a16:creationId xmlns:a16="http://schemas.microsoft.com/office/drawing/2014/main" id="{755AE63A-FCEF-4288-9E40-0C455CCFA0F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0" name="文字方塊 119">
          <a:extLst>
            <a:ext uri="{FF2B5EF4-FFF2-40B4-BE49-F238E27FC236}">
              <a16:creationId xmlns:a16="http://schemas.microsoft.com/office/drawing/2014/main" id="{5D20487B-D8B9-46AE-9B4C-7905B7E9C51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1" name="文字方塊 120">
          <a:extLst>
            <a:ext uri="{FF2B5EF4-FFF2-40B4-BE49-F238E27FC236}">
              <a16:creationId xmlns:a16="http://schemas.microsoft.com/office/drawing/2014/main" id="{13FFB243-D961-4164-8B1D-0D7A6D0A892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22" name="文字方塊 8">
          <a:extLst>
            <a:ext uri="{FF2B5EF4-FFF2-40B4-BE49-F238E27FC236}">
              <a16:creationId xmlns:a16="http://schemas.microsoft.com/office/drawing/2014/main" id="{E284A19D-9BB3-413A-A57C-5355695F9146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3" name="文字方塊 122">
          <a:extLst>
            <a:ext uri="{FF2B5EF4-FFF2-40B4-BE49-F238E27FC236}">
              <a16:creationId xmlns:a16="http://schemas.microsoft.com/office/drawing/2014/main" id="{76C208DF-C1BE-4C9D-B1E6-E0E90B5EE86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4" name="文字方塊 123">
          <a:extLst>
            <a:ext uri="{FF2B5EF4-FFF2-40B4-BE49-F238E27FC236}">
              <a16:creationId xmlns:a16="http://schemas.microsoft.com/office/drawing/2014/main" id="{C126F4FF-6B9F-4C1F-BD4E-BFFF735ABB0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5" name="文字方塊 124">
          <a:extLst>
            <a:ext uri="{FF2B5EF4-FFF2-40B4-BE49-F238E27FC236}">
              <a16:creationId xmlns:a16="http://schemas.microsoft.com/office/drawing/2014/main" id="{5487F5E2-9B89-4CC7-B85B-E1FE5408D34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26" name="文字方塊 8">
          <a:extLst>
            <a:ext uri="{FF2B5EF4-FFF2-40B4-BE49-F238E27FC236}">
              <a16:creationId xmlns:a16="http://schemas.microsoft.com/office/drawing/2014/main" id="{0932A9E1-AEA1-4E54-B51F-D720582D7FA8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7" name="文字方塊 126">
          <a:extLst>
            <a:ext uri="{FF2B5EF4-FFF2-40B4-BE49-F238E27FC236}">
              <a16:creationId xmlns:a16="http://schemas.microsoft.com/office/drawing/2014/main" id="{59B09F33-910F-4240-8D95-3E7926913CA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8" name="文字方塊 127">
          <a:extLst>
            <a:ext uri="{FF2B5EF4-FFF2-40B4-BE49-F238E27FC236}">
              <a16:creationId xmlns:a16="http://schemas.microsoft.com/office/drawing/2014/main" id="{0FAC5D8A-F7A3-4664-8511-A945E0BB125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9" name="文字方塊 128">
          <a:extLst>
            <a:ext uri="{FF2B5EF4-FFF2-40B4-BE49-F238E27FC236}">
              <a16:creationId xmlns:a16="http://schemas.microsoft.com/office/drawing/2014/main" id="{FCBFB46D-5BE5-4DCB-BAF3-35D8E3392A8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30" name="文字方塊 8">
          <a:extLst>
            <a:ext uri="{FF2B5EF4-FFF2-40B4-BE49-F238E27FC236}">
              <a16:creationId xmlns:a16="http://schemas.microsoft.com/office/drawing/2014/main" id="{6AD02BCC-8CBB-4C9D-BE64-1D48F9303B42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1" name="文字方塊 130">
          <a:extLst>
            <a:ext uri="{FF2B5EF4-FFF2-40B4-BE49-F238E27FC236}">
              <a16:creationId xmlns:a16="http://schemas.microsoft.com/office/drawing/2014/main" id="{43D82578-DA06-4870-9B93-372C39B2601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2" name="文字方塊 131">
          <a:extLst>
            <a:ext uri="{FF2B5EF4-FFF2-40B4-BE49-F238E27FC236}">
              <a16:creationId xmlns:a16="http://schemas.microsoft.com/office/drawing/2014/main" id="{CDAFB349-45F3-4198-87BE-6D8EB3D65C0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3" name="文字方塊 132">
          <a:extLst>
            <a:ext uri="{FF2B5EF4-FFF2-40B4-BE49-F238E27FC236}">
              <a16:creationId xmlns:a16="http://schemas.microsoft.com/office/drawing/2014/main" id="{18A675FA-E127-4588-8541-65ECBF50D49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34" name="文字方塊 133">
          <a:extLst>
            <a:ext uri="{FF2B5EF4-FFF2-40B4-BE49-F238E27FC236}">
              <a16:creationId xmlns:a16="http://schemas.microsoft.com/office/drawing/2014/main" id="{EC8620F2-598F-4AE4-B453-0947B28AB6F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35" name="文字方塊 8">
          <a:extLst>
            <a:ext uri="{FF2B5EF4-FFF2-40B4-BE49-F238E27FC236}">
              <a16:creationId xmlns:a16="http://schemas.microsoft.com/office/drawing/2014/main" id="{898CB4B2-0299-42C8-806C-E22AA59B8A8A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36" name="文字方塊 9">
          <a:extLst>
            <a:ext uri="{FF2B5EF4-FFF2-40B4-BE49-F238E27FC236}">
              <a16:creationId xmlns:a16="http://schemas.microsoft.com/office/drawing/2014/main" id="{D3186A0D-A100-409E-90F1-738C242B736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7" name="文字方塊 136">
          <a:extLst>
            <a:ext uri="{FF2B5EF4-FFF2-40B4-BE49-F238E27FC236}">
              <a16:creationId xmlns:a16="http://schemas.microsoft.com/office/drawing/2014/main" id="{DA1014E4-4279-4EAA-887A-69B5B37BEF7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38" name="文字方塊 137">
          <a:extLst>
            <a:ext uri="{FF2B5EF4-FFF2-40B4-BE49-F238E27FC236}">
              <a16:creationId xmlns:a16="http://schemas.microsoft.com/office/drawing/2014/main" id="{E85041F7-83E6-430E-8B4D-6695F0DEECF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9" name="文字方塊 138">
          <a:extLst>
            <a:ext uri="{FF2B5EF4-FFF2-40B4-BE49-F238E27FC236}">
              <a16:creationId xmlns:a16="http://schemas.microsoft.com/office/drawing/2014/main" id="{DD65CE0A-D66B-4810-8C69-D7CF6C055E8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40" name="文字方塊 139">
          <a:extLst>
            <a:ext uri="{FF2B5EF4-FFF2-40B4-BE49-F238E27FC236}">
              <a16:creationId xmlns:a16="http://schemas.microsoft.com/office/drawing/2014/main" id="{E3632927-063A-4DFA-98F0-7C0771B6393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1" name="文字方塊 140">
          <a:extLst>
            <a:ext uri="{FF2B5EF4-FFF2-40B4-BE49-F238E27FC236}">
              <a16:creationId xmlns:a16="http://schemas.microsoft.com/office/drawing/2014/main" id="{67D173BE-CF8D-4CC5-A372-F037075796D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42" name="文字方塊 141">
          <a:extLst>
            <a:ext uri="{FF2B5EF4-FFF2-40B4-BE49-F238E27FC236}">
              <a16:creationId xmlns:a16="http://schemas.microsoft.com/office/drawing/2014/main" id="{E92D3D03-A466-42F7-85DC-C4F1E0CA2F8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3" name="文字方塊 142">
          <a:extLst>
            <a:ext uri="{FF2B5EF4-FFF2-40B4-BE49-F238E27FC236}">
              <a16:creationId xmlns:a16="http://schemas.microsoft.com/office/drawing/2014/main" id="{75BA8D60-95CB-4FA9-B638-A4F38AAAAE5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44" name="文字方塊 143">
          <a:extLst>
            <a:ext uri="{FF2B5EF4-FFF2-40B4-BE49-F238E27FC236}">
              <a16:creationId xmlns:a16="http://schemas.microsoft.com/office/drawing/2014/main" id="{192D999F-FB31-4ECA-9CC2-39B228585F8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45" name="文字方塊 8">
          <a:extLst>
            <a:ext uri="{FF2B5EF4-FFF2-40B4-BE49-F238E27FC236}">
              <a16:creationId xmlns:a16="http://schemas.microsoft.com/office/drawing/2014/main" id="{F18297E1-C72E-4DCB-ACF3-BD3CB563D195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46" name="文字方塊 9">
          <a:extLst>
            <a:ext uri="{FF2B5EF4-FFF2-40B4-BE49-F238E27FC236}">
              <a16:creationId xmlns:a16="http://schemas.microsoft.com/office/drawing/2014/main" id="{F0B8FDD4-23B7-4841-94BC-233AB5765DF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7" name="文字方塊 146">
          <a:extLst>
            <a:ext uri="{FF2B5EF4-FFF2-40B4-BE49-F238E27FC236}">
              <a16:creationId xmlns:a16="http://schemas.microsoft.com/office/drawing/2014/main" id="{9A7F2CB5-0F26-4F74-B87A-728A66C8CCA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48" name="文字方塊 147">
          <a:extLst>
            <a:ext uri="{FF2B5EF4-FFF2-40B4-BE49-F238E27FC236}">
              <a16:creationId xmlns:a16="http://schemas.microsoft.com/office/drawing/2014/main" id="{2D4F49BA-BA95-4898-BDAA-91C58BE7325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9" name="文字方塊 148">
          <a:extLst>
            <a:ext uri="{FF2B5EF4-FFF2-40B4-BE49-F238E27FC236}">
              <a16:creationId xmlns:a16="http://schemas.microsoft.com/office/drawing/2014/main" id="{FBD76D48-3DDA-4991-91BE-EC60C792FF8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50" name="文字方塊 149">
          <a:extLst>
            <a:ext uri="{FF2B5EF4-FFF2-40B4-BE49-F238E27FC236}">
              <a16:creationId xmlns:a16="http://schemas.microsoft.com/office/drawing/2014/main" id="{B6DCF042-C66B-4677-B535-954C72727B1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51" name="文字方塊 150">
          <a:extLst>
            <a:ext uri="{FF2B5EF4-FFF2-40B4-BE49-F238E27FC236}">
              <a16:creationId xmlns:a16="http://schemas.microsoft.com/office/drawing/2014/main" id="{F22720EB-DDA3-410E-BC44-08ABAA3CC49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52" name="文字方塊 151">
          <a:extLst>
            <a:ext uri="{FF2B5EF4-FFF2-40B4-BE49-F238E27FC236}">
              <a16:creationId xmlns:a16="http://schemas.microsoft.com/office/drawing/2014/main" id="{DE6C7C3B-1D43-4D9F-A27C-A2C53E06613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53" name="文字方塊 8">
          <a:extLst>
            <a:ext uri="{FF2B5EF4-FFF2-40B4-BE49-F238E27FC236}">
              <a16:creationId xmlns:a16="http://schemas.microsoft.com/office/drawing/2014/main" id="{C43A8284-BAF2-4BE8-8B89-55BF17470586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54" name="文字方塊 9">
          <a:extLst>
            <a:ext uri="{FF2B5EF4-FFF2-40B4-BE49-F238E27FC236}">
              <a16:creationId xmlns:a16="http://schemas.microsoft.com/office/drawing/2014/main" id="{F5BE9EF3-8E38-4BF5-957F-8217B15F36B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55" name="文字方塊 154">
          <a:extLst>
            <a:ext uri="{FF2B5EF4-FFF2-40B4-BE49-F238E27FC236}">
              <a16:creationId xmlns:a16="http://schemas.microsoft.com/office/drawing/2014/main" id="{7FE173FE-0818-4CE8-A215-C6D8E17B635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56" name="文字方塊 155">
          <a:extLst>
            <a:ext uri="{FF2B5EF4-FFF2-40B4-BE49-F238E27FC236}">
              <a16:creationId xmlns:a16="http://schemas.microsoft.com/office/drawing/2014/main" id="{813F117D-6475-45A6-B4D0-0D2259CF67E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57" name="文字方塊 156">
          <a:extLst>
            <a:ext uri="{FF2B5EF4-FFF2-40B4-BE49-F238E27FC236}">
              <a16:creationId xmlns:a16="http://schemas.microsoft.com/office/drawing/2014/main" id="{193C15AD-5FE6-4412-B9AF-76E8F13013B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58" name="文字方塊 157">
          <a:extLst>
            <a:ext uri="{FF2B5EF4-FFF2-40B4-BE49-F238E27FC236}">
              <a16:creationId xmlns:a16="http://schemas.microsoft.com/office/drawing/2014/main" id="{24D7A56D-715D-44FE-B1E1-E15CCAB3310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59" name="文字方塊 158">
          <a:extLst>
            <a:ext uri="{FF2B5EF4-FFF2-40B4-BE49-F238E27FC236}">
              <a16:creationId xmlns:a16="http://schemas.microsoft.com/office/drawing/2014/main" id="{612846CF-3E41-4B69-8BE6-C23E83D90C8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60" name="文字方塊 159">
          <a:extLst>
            <a:ext uri="{FF2B5EF4-FFF2-40B4-BE49-F238E27FC236}">
              <a16:creationId xmlns:a16="http://schemas.microsoft.com/office/drawing/2014/main" id="{44FE94AA-9CE3-41F1-A645-F317B1B2D80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61" name="文字方塊 8">
          <a:extLst>
            <a:ext uri="{FF2B5EF4-FFF2-40B4-BE49-F238E27FC236}">
              <a16:creationId xmlns:a16="http://schemas.microsoft.com/office/drawing/2014/main" id="{BECE9A95-A9B6-4007-AF7A-005A86AF86C0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62" name="文字方塊 9">
          <a:extLst>
            <a:ext uri="{FF2B5EF4-FFF2-40B4-BE49-F238E27FC236}">
              <a16:creationId xmlns:a16="http://schemas.microsoft.com/office/drawing/2014/main" id="{4F90B073-517E-4C14-8346-4DC0EE3D9E7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3" name="文字方塊 162">
          <a:extLst>
            <a:ext uri="{FF2B5EF4-FFF2-40B4-BE49-F238E27FC236}">
              <a16:creationId xmlns:a16="http://schemas.microsoft.com/office/drawing/2014/main" id="{BB1A1BF6-EE6D-4F14-A78F-911A7D68C05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64" name="文字方塊 163">
          <a:extLst>
            <a:ext uri="{FF2B5EF4-FFF2-40B4-BE49-F238E27FC236}">
              <a16:creationId xmlns:a16="http://schemas.microsoft.com/office/drawing/2014/main" id="{44C682F0-02AF-4790-88C4-0D9EC08333B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5" name="文字方塊 164">
          <a:extLst>
            <a:ext uri="{FF2B5EF4-FFF2-40B4-BE49-F238E27FC236}">
              <a16:creationId xmlns:a16="http://schemas.microsoft.com/office/drawing/2014/main" id="{B6C313B7-431E-4D7A-997F-C5A51667C33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66" name="文字方塊 165">
          <a:extLst>
            <a:ext uri="{FF2B5EF4-FFF2-40B4-BE49-F238E27FC236}">
              <a16:creationId xmlns:a16="http://schemas.microsoft.com/office/drawing/2014/main" id="{B4070B06-4604-4DE9-8F6E-EA9EDC26A16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7" name="文字方塊 166">
          <a:extLst>
            <a:ext uri="{FF2B5EF4-FFF2-40B4-BE49-F238E27FC236}">
              <a16:creationId xmlns:a16="http://schemas.microsoft.com/office/drawing/2014/main" id="{124200C1-F54F-4963-AD05-E4C2B920D64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68" name="文字方塊 167">
          <a:extLst>
            <a:ext uri="{FF2B5EF4-FFF2-40B4-BE49-F238E27FC236}">
              <a16:creationId xmlns:a16="http://schemas.microsoft.com/office/drawing/2014/main" id="{F4372953-3B5D-41F7-BDD9-D681D7ADADD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69" name="文字方塊 8">
          <a:extLst>
            <a:ext uri="{FF2B5EF4-FFF2-40B4-BE49-F238E27FC236}">
              <a16:creationId xmlns:a16="http://schemas.microsoft.com/office/drawing/2014/main" id="{E592516F-3B49-496D-A105-AAD07AC909EE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70" name="文字方塊 9">
          <a:extLst>
            <a:ext uri="{FF2B5EF4-FFF2-40B4-BE49-F238E27FC236}">
              <a16:creationId xmlns:a16="http://schemas.microsoft.com/office/drawing/2014/main" id="{CF489F5F-B3C9-4CC3-A279-F5BEEA3CA4E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71" name="文字方塊 170">
          <a:extLst>
            <a:ext uri="{FF2B5EF4-FFF2-40B4-BE49-F238E27FC236}">
              <a16:creationId xmlns:a16="http://schemas.microsoft.com/office/drawing/2014/main" id="{6725C017-C8E7-4250-9B05-2B814336437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72" name="文字方塊 171">
          <a:extLst>
            <a:ext uri="{FF2B5EF4-FFF2-40B4-BE49-F238E27FC236}">
              <a16:creationId xmlns:a16="http://schemas.microsoft.com/office/drawing/2014/main" id="{FE336F58-62A4-4C6F-A353-157E2967102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73" name="文字方塊 172">
          <a:extLst>
            <a:ext uri="{FF2B5EF4-FFF2-40B4-BE49-F238E27FC236}">
              <a16:creationId xmlns:a16="http://schemas.microsoft.com/office/drawing/2014/main" id="{4E0D71CB-D904-41E0-9805-C1249AF690F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74" name="文字方塊 173">
          <a:extLst>
            <a:ext uri="{FF2B5EF4-FFF2-40B4-BE49-F238E27FC236}">
              <a16:creationId xmlns:a16="http://schemas.microsoft.com/office/drawing/2014/main" id="{5A830B0F-302B-4F15-A3DD-0295DA310CC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75" name="文字方塊 174">
          <a:extLst>
            <a:ext uri="{FF2B5EF4-FFF2-40B4-BE49-F238E27FC236}">
              <a16:creationId xmlns:a16="http://schemas.microsoft.com/office/drawing/2014/main" id="{95A04512-1AFD-49D2-806F-5C64069D82A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76" name="文字方塊 175">
          <a:extLst>
            <a:ext uri="{FF2B5EF4-FFF2-40B4-BE49-F238E27FC236}">
              <a16:creationId xmlns:a16="http://schemas.microsoft.com/office/drawing/2014/main" id="{AAACBB01-2CFE-4A48-8CA6-9C736C7F0D8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77" name="文字方塊 8">
          <a:extLst>
            <a:ext uri="{FF2B5EF4-FFF2-40B4-BE49-F238E27FC236}">
              <a16:creationId xmlns:a16="http://schemas.microsoft.com/office/drawing/2014/main" id="{4BD67EB2-C309-4074-9C2A-0D21B74A932A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78" name="文字方塊 9">
          <a:extLst>
            <a:ext uri="{FF2B5EF4-FFF2-40B4-BE49-F238E27FC236}">
              <a16:creationId xmlns:a16="http://schemas.microsoft.com/office/drawing/2014/main" id="{8C01A394-3C7F-4639-918C-D71761D1F1D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79" name="文字方塊 178">
          <a:extLst>
            <a:ext uri="{FF2B5EF4-FFF2-40B4-BE49-F238E27FC236}">
              <a16:creationId xmlns:a16="http://schemas.microsoft.com/office/drawing/2014/main" id="{50191F09-CF7E-486E-AFA6-F675F73FE1B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80" name="文字方塊 179">
          <a:extLst>
            <a:ext uri="{FF2B5EF4-FFF2-40B4-BE49-F238E27FC236}">
              <a16:creationId xmlns:a16="http://schemas.microsoft.com/office/drawing/2014/main" id="{6A857839-60E5-430E-A616-09E93086A54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1" name="文字方塊 180">
          <a:extLst>
            <a:ext uri="{FF2B5EF4-FFF2-40B4-BE49-F238E27FC236}">
              <a16:creationId xmlns:a16="http://schemas.microsoft.com/office/drawing/2014/main" id="{9D148238-11A0-49BD-BDA3-9F2C87E36E7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82" name="文字方塊 181">
          <a:extLst>
            <a:ext uri="{FF2B5EF4-FFF2-40B4-BE49-F238E27FC236}">
              <a16:creationId xmlns:a16="http://schemas.microsoft.com/office/drawing/2014/main" id="{E9123082-DC7F-4E76-B086-5AABF8FDA8A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3" name="文字方塊 182">
          <a:extLst>
            <a:ext uri="{FF2B5EF4-FFF2-40B4-BE49-F238E27FC236}">
              <a16:creationId xmlns:a16="http://schemas.microsoft.com/office/drawing/2014/main" id="{DF53B565-6911-48AE-BED3-0F7D1051DF9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84" name="文字方塊 8">
          <a:extLst>
            <a:ext uri="{FF2B5EF4-FFF2-40B4-BE49-F238E27FC236}">
              <a16:creationId xmlns:a16="http://schemas.microsoft.com/office/drawing/2014/main" id="{8EB0FD43-2D74-4DAE-A706-BD702FE3555D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5" name="文字方塊 184">
          <a:extLst>
            <a:ext uri="{FF2B5EF4-FFF2-40B4-BE49-F238E27FC236}">
              <a16:creationId xmlns:a16="http://schemas.microsoft.com/office/drawing/2014/main" id="{808552CB-BBE9-4393-9E1E-8F4897B517D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6" name="文字方塊 185">
          <a:extLst>
            <a:ext uri="{FF2B5EF4-FFF2-40B4-BE49-F238E27FC236}">
              <a16:creationId xmlns:a16="http://schemas.microsoft.com/office/drawing/2014/main" id="{758BB42C-FBB5-4D32-8F1C-82422EB443B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7" name="文字方塊 186">
          <a:extLst>
            <a:ext uri="{FF2B5EF4-FFF2-40B4-BE49-F238E27FC236}">
              <a16:creationId xmlns:a16="http://schemas.microsoft.com/office/drawing/2014/main" id="{EB8EC7E6-7512-46A9-BE07-B78B0D4B508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88" name="文字方塊 8">
          <a:extLst>
            <a:ext uri="{FF2B5EF4-FFF2-40B4-BE49-F238E27FC236}">
              <a16:creationId xmlns:a16="http://schemas.microsoft.com/office/drawing/2014/main" id="{105C75A2-DB24-4593-9CD7-189B8E02A26E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9" name="文字方塊 188">
          <a:extLst>
            <a:ext uri="{FF2B5EF4-FFF2-40B4-BE49-F238E27FC236}">
              <a16:creationId xmlns:a16="http://schemas.microsoft.com/office/drawing/2014/main" id="{2CAD0237-F442-479C-B5AA-B2BB3D1AF47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90" name="文字方塊 189">
          <a:extLst>
            <a:ext uri="{FF2B5EF4-FFF2-40B4-BE49-F238E27FC236}">
              <a16:creationId xmlns:a16="http://schemas.microsoft.com/office/drawing/2014/main" id="{23D8C1A0-29FC-4D7C-8745-DC3478DD5BD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91" name="文字方塊 190">
          <a:extLst>
            <a:ext uri="{FF2B5EF4-FFF2-40B4-BE49-F238E27FC236}">
              <a16:creationId xmlns:a16="http://schemas.microsoft.com/office/drawing/2014/main" id="{5D1D0933-D4D3-4A8C-8348-5B0A4B3C6F7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92" name="文字方塊 8">
          <a:extLst>
            <a:ext uri="{FF2B5EF4-FFF2-40B4-BE49-F238E27FC236}">
              <a16:creationId xmlns:a16="http://schemas.microsoft.com/office/drawing/2014/main" id="{44A012A1-C61E-44F8-B8CC-70FA100A267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93" name="文字方塊 192">
          <a:extLst>
            <a:ext uri="{FF2B5EF4-FFF2-40B4-BE49-F238E27FC236}">
              <a16:creationId xmlns:a16="http://schemas.microsoft.com/office/drawing/2014/main" id="{95DC52DF-288A-4C59-8B9C-3EF0424B9A0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94" name="文字方塊 193">
          <a:extLst>
            <a:ext uri="{FF2B5EF4-FFF2-40B4-BE49-F238E27FC236}">
              <a16:creationId xmlns:a16="http://schemas.microsoft.com/office/drawing/2014/main" id="{12ABF960-ECCA-4000-9413-589597AB72D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95" name="文字方塊 194">
          <a:extLst>
            <a:ext uri="{FF2B5EF4-FFF2-40B4-BE49-F238E27FC236}">
              <a16:creationId xmlns:a16="http://schemas.microsoft.com/office/drawing/2014/main" id="{4030ADC1-3D7A-48EA-A7DC-04AA01029C5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96" name="文字方塊 8">
          <a:extLst>
            <a:ext uri="{FF2B5EF4-FFF2-40B4-BE49-F238E27FC236}">
              <a16:creationId xmlns:a16="http://schemas.microsoft.com/office/drawing/2014/main" id="{9599FEBA-B5CC-4992-A124-4EF74179743C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97" name="文字方塊 196">
          <a:extLst>
            <a:ext uri="{FF2B5EF4-FFF2-40B4-BE49-F238E27FC236}">
              <a16:creationId xmlns:a16="http://schemas.microsoft.com/office/drawing/2014/main" id="{455E532D-10E7-4D92-81FD-4328661B23F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98" name="文字方塊 197">
          <a:extLst>
            <a:ext uri="{FF2B5EF4-FFF2-40B4-BE49-F238E27FC236}">
              <a16:creationId xmlns:a16="http://schemas.microsoft.com/office/drawing/2014/main" id="{5D6AFD9A-D7C8-4B3B-867C-E02744F5C55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99" name="文字方塊 198">
          <a:extLst>
            <a:ext uri="{FF2B5EF4-FFF2-40B4-BE49-F238E27FC236}">
              <a16:creationId xmlns:a16="http://schemas.microsoft.com/office/drawing/2014/main" id="{F79C9ED3-2151-4DD4-A4E8-985239A2CDA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00" name="文字方塊 8">
          <a:extLst>
            <a:ext uri="{FF2B5EF4-FFF2-40B4-BE49-F238E27FC236}">
              <a16:creationId xmlns:a16="http://schemas.microsoft.com/office/drawing/2014/main" id="{61A0384E-88D6-4673-A195-53D8DEE8084B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1" name="文字方塊 200">
          <a:extLst>
            <a:ext uri="{FF2B5EF4-FFF2-40B4-BE49-F238E27FC236}">
              <a16:creationId xmlns:a16="http://schemas.microsoft.com/office/drawing/2014/main" id="{FB50A906-93D4-4D23-867B-7B389D25A41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2" name="文字方塊 201">
          <a:extLst>
            <a:ext uri="{FF2B5EF4-FFF2-40B4-BE49-F238E27FC236}">
              <a16:creationId xmlns:a16="http://schemas.microsoft.com/office/drawing/2014/main" id="{8385312A-5574-4976-915C-85F35062B1E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3" name="文字方塊 202">
          <a:extLst>
            <a:ext uri="{FF2B5EF4-FFF2-40B4-BE49-F238E27FC236}">
              <a16:creationId xmlns:a16="http://schemas.microsoft.com/office/drawing/2014/main" id="{16441451-70CB-453E-991D-CA966F0CFF2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04" name="文字方塊 8">
          <a:extLst>
            <a:ext uri="{FF2B5EF4-FFF2-40B4-BE49-F238E27FC236}">
              <a16:creationId xmlns:a16="http://schemas.microsoft.com/office/drawing/2014/main" id="{AFEB436A-918E-4D39-9012-CBEEF2A81BB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5" name="文字方塊 204">
          <a:extLst>
            <a:ext uri="{FF2B5EF4-FFF2-40B4-BE49-F238E27FC236}">
              <a16:creationId xmlns:a16="http://schemas.microsoft.com/office/drawing/2014/main" id="{110154CF-849B-48F1-8953-7DD798068BD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6" name="文字方塊 205">
          <a:extLst>
            <a:ext uri="{FF2B5EF4-FFF2-40B4-BE49-F238E27FC236}">
              <a16:creationId xmlns:a16="http://schemas.microsoft.com/office/drawing/2014/main" id="{22461514-7115-468A-B194-5780ADB9A3A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7" name="文字方塊 206">
          <a:extLst>
            <a:ext uri="{FF2B5EF4-FFF2-40B4-BE49-F238E27FC236}">
              <a16:creationId xmlns:a16="http://schemas.microsoft.com/office/drawing/2014/main" id="{65368A47-41B9-48AB-8DFE-F8C66C5EEB5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8" name="文字方塊 207">
          <a:extLst>
            <a:ext uri="{FF2B5EF4-FFF2-40B4-BE49-F238E27FC236}">
              <a16:creationId xmlns:a16="http://schemas.microsoft.com/office/drawing/2014/main" id="{6AB0F934-35B3-48A2-80C7-536F7A3B7BE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09" name="文字方塊 8">
          <a:extLst>
            <a:ext uri="{FF2B5EF4-FFF2-40B4-BE49-F238E27FC236}">
              <a16:creationId xmlns:a16="http://schemas.microsoft.com/office/drawing/2014/main" id="{67E32E6E-AC57-42FD-BDBB-7957A060635C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10" name="文字方塊 209">
          <a:extLst>
            <a:ext uri="{FF2B5EF4-FFF2-40B4-BE49-F238E27FC236}">
              <a16:creationId xmlns:a16="http://schemas.microsoft.com/office/drawing/2014/main" id="{B8D0B77C-466D-423D-9374-DF2740AC1FF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11" name="文字方塊 210">
          <a:extLst>
            <a:ext uri="{FF2B5EF4-FFF2-40B4-BE49-F238E27FC236}">
              <a16:creationId xmlns:a16="http://schemas.microsoft.com/office/drawing/2014/main" id="{25B43643-8060-4A1B-A24D-D706230DB50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12" name="文字方塊 211">
          <a:extLst>
            <a:ext uri="{FF2B5EF4-FFF2-40B4-BE49-F238E27FC236}">
              <a16:creationId xmlns:a16="http://schemas.microsoft.com/office/drawing/2014/main" id="{38E52477-F2E1-4598-8C5B-AA5CA826826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13" name="文字方塊 8">
          <a:extLst>
            <a:ext uri="{FF2B5EF4-FFF2-40B4-BE49-F238E27FC236}">
              <a16:creationId xmlns:a16="http://schemas.microsoft.com/office/drawing/2014/main" id="{667ED17D-C5F8-4EB9-804F-00532CCC8237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14" name="文字方塊 213">
          <a:extLst>
            <a:ext uri="{FF2B5EF4-FFF2-40B4-BE49-F238E27FC236}">
              <a16:creationId xmlns:a16="http://schemas.microsoft.com/office/drawing/2014/main" id="{091E3A99-2FA2-4E98-BE6D-DA668076BDC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15" name="文字方塊 214">
          <a:extLst>
            <a:ext uri="{FF2B5EF4-FFF2-40B4-BE49-F238E27FC236}">
              <a16:creationId xmlns:a16="http://schemas.microsoft.com/office/drawing/2014/main" id="{4E075968-146B-4376-99E3-FB10F93A4A2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16" name="文字方塊 215">
          <a:extLst>
            <a:ext uri="{FF2B5EF4-FFF2-40B4-BE49-F238E27FC236}">
              <a16:creationId xmlns:a16="http://schemas.microsoft.com/office/drawing/2014/main" id="{2A8C257E-1F3C-45BD-88E8-BA8ACF8F5EA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17" name="文字方塊 8">
          <a:extLst>
            <a:ext uri="{FF2B5EF4-FFF2-40B4-BE49-F238E27FC236}">
              <a16:creationId xmlns:a16="http://schemas.microsoft.com/office/drawing/2014/main" id="{12DBB8EE-5D17-491A-BD07-E721CDA305B7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18" name="文字方塊 217">
          <a:extLst>
            <a:ext uri="{FF2B5EF4-FFF2-40B4-BE49-F238E27FC236}">
              <a16:creationId xmlns:a16="http://schemas.microsoft.com/office/drawing/2014/main" id="{26454F7F-F530-4F23-9073-9573AF72125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19" name="文字方塊 218">
          <a:extLst>
            <a:ext uri="{FF2B5EF4-FFF2-40B4-BE49-F238E27FC236}">
              <a16:creationId xmlns:a16="http://schemas.microsoft.com/office/drawing/2014/main" id="{4A906E5C-713E-4547-B08E-134761F59BB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0" name="文字方塊 219">
          <a:extLst>
            <a:ext uri="{FF2B5EF4-FFF2-40B4-BE49-F238E27FC236}">
              <a16:creationId xmlns:a16="http://schemas.microsoft.com/office/drawing/2014/main" id="{D48FDA1E-BEEE-413D-8987-FF1FD5CB212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21" name="文字方塊 8">
          <a:extLst>
            <a:ext uri="{FF2B5EF4-FFF2-40B4-BE49-F238E27FC236}">
              <a16:creationId xmlns:a16="http://schemas.microsoft.com/office/drawing/2014/main" id="{7EA6ABD0-BC9D-40C2-8BD8-20D4D0F93246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2" name="文字方塊 221">
          <a:extLst>
            <a:ext uri="{FF2B5EF4-FFF2-40B4-BE49-F238E27FC236}">
              <a16:creationId xmlns:a16="http://schemas.microsoft.com/office/drawing/2014/main" id="{6E550C25-8B33-4F5A-9298-05761A29AD8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3" name="文字方塊 222">
          <a:extLst>
            <a:ext uri="{FF2B5EF4-FFF2-40B4-BE49-F238E27FC236}">
              <a16:creationId xmlns:a16="http://schemas.microsoft.com/office/drawing/2014/main" id="{4D62FC59-42B9-4A6C-B7DE-61EC9E6D6B6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4" name="文字方塊 223">
          <a:extLst>
            <a:ext uri="{FF2B5EF4-FFF2-40B4-BE49-F238E27FC236}">
              <a16:creationId xmlns:a16="http://schemas.microsoft.com/office/drawing/2014/main" id="{5CFD01D2-3A9B-4C7F-B000-0D5D81228BB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25" name="文字方塊 8">
          <a:extLst>
            <a:ext uri="{FF2B5EF4-FFF2-40B4-BE49-F238E27FC236}">
              <a16:creationId xmlns:a16="http://schemas.microsoft.com/office/drawing/2014/main" id="{B1DEC609-BAEF-4317-BB2E-E9065EE18E39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6" name="文字方塊 225">
          <a:extLst>
            <a:ext uri="{FF2B5EF4-FFF2-40B4-BE49-F238E27FC236}">
              <a16:creationId xmlns:a16="http://schemas.microsoft.com/office/drawing/2014/main" id="{E279C98F-CD58-4757-9473-83627A55A59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7" name="文字方塊 226">
          <a:extLst>
            <a:ext uri="{FF2B5EF4-FFF2-40B4-BE49-F238E27FC236}">
              <a16:creationId xmlns:a16="http://schemas.microsoft.com/office/drawing/2014/main" id="{3F93F66B-6E90-4483-B1FE-7302C4E257F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8" name="文字方塊 227">
          <a:extLst>
            <a:ext uri="{FF2B5EF4-FFF2-40B4-BE49-F238E27FC236}">
              <a16:creationId xmlns:a16="http://schemas.microsoft.com/office/drawing/2014/main" id="{ED822D32-6587-4C02-9181-1917D3D7BE9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29" name="文字方塊 8">
          <a:extLst>
            <a:ext uri="{FF2B5EF4-FFF2-40B4-BE49-F238E27FC236}">
              <a16:creationId xmlns:a16="http://schemas.microsoft.com/office/drawing/2014/main" id="{103CE092-41BE-4F82-80B7-B6B6DDD95FF7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30" name="文字方塊 229">
          <a:extLst>
            <a:ext uri="{FF2B5EF4-FFF2-40B4-BE49-F238E27FC236}">
              <a16:creationId xmlns:a16="http://schemas.microsoft.com/office/drawing/2014/main" id="{B50CE168-1EF5-42A7-8B57-7859BA75982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31" name="文字方塊 230">
          <a:extLst>
            <a:ext uri="{FF2B5EF4-FFF2-40B4-BE49-F238E27FC236}">
              <a16:creationId xmlns:a16="http://schemas.microsoft.com/office/drawing/2014/main" id="{67BE5593-CA65-4236-B90D-01AE9AF8326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32" name="文字方塊 231">
          <a:extLst>
            <a:ext uri="{FF2B5EF4-FFF2-40B4-BE49-F238E27FC236}">
              <a16:creationId xmlns:a16="http://schemas.microsoft.com/office/drawing/2014/main" id="{D07DB9A9-7523-4CFC-B303-0DA546BB070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33" name="文字方塊 8">
          <a:extLst>
            <a:ext uri="{FF2B5EF4-FFF2-40B4-BE49-F238E27FC236}">
              <a16:creationId xmlns:a16="http://schemas.microsoft.com/office/drawing/2014/main" id="{6047A818-4006-418E-A710-CD2B6316AB1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34" name="文字方塊 233">
          <a:extLst>
            <a:ext uri="{FF2B5EF4-FFF2-40B4-BE49-F238E27FC236}">
              <a16:creationId xmlns:a16="http://schemas.microsoft.com/office/drawing/2014/main" id="{0F2E4500-7CFF-4EEA-8F05-885B288537C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35" name="文字方塊 234">
          <a:extLst>
            <a:ext uri="{FF2B5EF4-FFF2-40B4-BE49-F238E27FC236}">
              <a16:creationId xmlns:a16="http://schemas.microsoft.com/office/drawing/2014/main" id="{979350F7-9328-45E7-8C98-3E5DB82AF9E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EAA4D9D2-246E-4735-B400-22B4C2546C1A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DB2F0C37-25C5-4ACD-BA77-868267AA6241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twoCellAnchor editAs="oneCell">
    <xdr:from>
      <xdr:col>3</xdr:col>
      <xdr:colOff>123269</xdr:colOff>
      <xdr:row>1</xdr:row>
      <xdr:rowOff>56021</xdr:rowOff>
    </xdr:from>
    <xdr:to>
      <xdr:col>5</xdr:col>
      <xdr:colOff>669622</xdr:colOff>
      <xdr:row>3</xdr:row>
      <xdr:rowOff>260660</xdr:rowOff>
    </xdr:to>
    <xdr:sp macro="[0]!auto_length" textlink="">
      <xdr:nvSpPr>
        <xdr:cNvPr id="4" name="矩形 3">
          <a:extLst>
            <a:ext uri="{FF2B5EF4-FFF2-40B4-BE49-F238E27FC236}">
              <a16:creationId xmlns:a16="http://schemas.microsoft.com/office/drawing/2014/main" id="{82DE149A-F9C3-4D83-8CDE-716BAB36D49B}"/>
            </a:ext>
          </a:extLst>
        </xdr:cNvPr>
        <xdr:cNvSpPr>
          <a:spLocks noChangeAspect="1"/>
        </xdr:cNvSpPr>
      </xdr:nvSpPr>
      <xdr:spPr>
        <a:xfrm>
          <a:off x="946229" y="360821"/>
          <a:ext cx="2161793" cy="656396"/>
        </a:xfrm>
        <a:prstGeom prst="rect">
          <a:avLst/>
        </a:prstGeom>
        <a:solidFill>
          <a:schemeClr val="bg1"/>
        </a:solidFill>
        <a:ln w="38100">
          <a:solidFill>
            <a:schemeClr val="accent2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2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計算長度</a:t>
          </a:r>
        </a:p>
      </xdr:txBody>
    </xdr:sp>
    <xdr:clientData/>
  </xdr:twoCellAnchor>
  <xdr:oneCellAnchor>
    <xdr:from>
      <xdr:col>13</xdr:col>
      <xdr:colOff>134475</xdr:colOff>
      <xdr:row>1</xdr:row>
      <xdr:rowOff>56021</xdr:rowOff>
    </xdr:from>
    <xdr:ext cx="2160000" cy="360000"/>
    <xdr:sp macro="[0]!auto_angle" textlink="">
      <xdr:nvSpPr>
        <xdr:cNvPr id="5" name="矩形 4">
          <a:extLst>
            <a:ext uri="{FF2B5EF4-FFF2-40B4-BE49-F238E27FC236}">
              <a16:creationId xmlns:a16="http://schemas.microsoft.com/office/drawing/2014/main" id="{767C2E79-190C-4842-AAC1-2132CD32512A}"/>
            </a:ext>
          </a:extLst>
        </xdr:cNvPr>
        <xdr:cNvSpPr>
          <a:spLocks noChangeAspect="1"/>
        </xdr:cNvSpPr>
      </xdr:nvSpPr>
      <xdr:spPr>
        <a:xfrm>
          <a:off x="6215235" y="360821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4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計算角度</a:t>
          </a:r>
          <a:r>
            <a:rPr lang="en-US" altLang="zh-TW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(°)</a:t>
          </a:r>
          <a:endParaRPr lang="zh-TW" altLang="en-US" sz="1600" b="1">
            <a:solidFill>
              <a:schemeClr val="accent4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oneCellAnchor>
  <xdr:oneCellAnchor>
    <xdr:from>
      <xdr:col>24</xdr:col>
      <xdr:colOff>134475</xdr:colOff>
      <xdr:row>1</xdr:row>
      <xdr:rowOff>56022</xdr:rowOff>
    </xdr:from>
    <xdr:ext cx="2160000" cy="360000"/>
    <xdr:sp macro="[0]!auto_area" textlink="">
      <xdr:nvSpPr>
        <xdr:cNvPr id="6" name="矩形 5">
          <a:extLst>
            <a:ext uri="{FF2B5EF4-FFF2-40B4-BE49-F238E27FC236}">
              <a16:creationId xmlns:a16="http://schemas.microsoft.com/office/drawing/2014/main" id="{07A34578-C268-4583-9B1B-737FB94ADB2B}"/>
            </a:ext>
          </a:extLst>
        </xdr:cNvPr>
        <xdr:cNvSpPr>
          <a:spLocks noChangeAspect="1"/>
        </xdr:cNvSpPr>
      </xdr:nvSpPr>
      <xdr:spPr>
        <a:xfrm>
          <a:off x="11747355" y="360822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6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計算面積</a:t>
          </a:r>
        </a:p>
      </xdr:txBody>
    </xdr:sp>
    <xdr:clientData/>
  </xdr:oneCellAnchor>
  <xdr:twoCellAnchor editAs="oneCell">
    <xdr:from>
      <xdr:col>6</xdr:col>
      <xdr:colOff>85169</xdr:colOff>
      <xdr:row>1</xdr:row>
      <xdr:rowOff>51539</xdr:rowOff>
    </xdr:from>
    <xdr:to>
      <xdr:col>7</xdr:col>
      <xdr:colOff>718346</xdr:colOff>
      <xdr:row>3</xdr:row>
      <xdr:rowOff>256178</xdr:rowOff>
    </xdr:to>
    <xdr:sp macro="[0]!clear_length" textlink="">
      <xdr:nvSpPr>
        <xdr:cNvPr id="7" name="矩形 6">
          <a:extLst>
            <a:ext uri="{FF2B5EF4-FFF2-40B4-BE49-F238E27FC236}">
              <a16:creationId xmlns:a16="http://schemas.microsoft.com/office/drawing/2014/main" id="{0DB5BC5C-F03F-4BD6-B247-51D603981927}"/>
            </a:ext>
          </a:extLst>
        </xdr:cNvPr>
        <xdr:cNvSpPr>
          <a:spLocks/>
        </xdr:cNvSpPr>
      </xdr:nvSpPr>
      <xdr:spPr>
        <a:xfrm>
          <a:off x="3331289" y="356339"/>
          <a:ext cx="1440897" cy="656396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twoCellAnchor>
  <xdr:oneCellAnchor>
    <xdr:from>
      <xdr:col>16</xdr:col>
      <xdr:colOff>85169</xdr:colOff>
      <xdr:row>1</xdr:row>
      <xdr:rowOff>51539</xdr:rowOff>
    </xdr:from>
    <xdr:ext cx="1440000" cy="360000"/>
    <xdr:sp macro="[0]!clear_angle" textlink="">
      <xdr:nvSpPr>
        <xdr:cNvPr id="8" name="矩形 7">
          <a:extLst>
            <a:ext uri="{FF2B5EF4-FFF2-40B4-BE49-F238E27FC236}">
              <a16:creationId xmlns:a16="http://schemas.microsoft.com/office/drawing/2014/main" id="{7B95E83C-CA91-4929-BAA1-593A4783D894}"/>
            </a:ext>
          </a:extLst>
        </xdr:cNvPr>
        <xdr:cNvSpPr>
          <a:spLocks/>
        </xdr:cNvSpPr>
      </xdr:nvSpPr>
      <xdr:spPr>
        <a:xfrm>
          <a:off x="8589089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27</xdr:col>
      <xdr:colOff>85169</xdr:colOff>
      <xdr:row>1</xdr:row>
      <xdr:rowOff>51539</xdr:rowOff>
    </xdr:from>
    <xdr:ext cx="1440000" cy="360000"/>
    <xdr:sp macro="[0]!clear_area" textlink="">
      <xdr:nvSpPr>
        <xdr:cNvPr id="9" name="矩形 8">
          <a:extLst>
            <a:ext uri="{FF2B5EF4-FFF2-40B4-BE49-F238E27FC236}">
              <a16:creationId xmlns:a16="http://schemas.microsoft.com/office/drawing/2014/main" id="{E94B062F-2436-4BFA-BF6A-2645E2649F0B}"/>
            </a:ext>
          </a:extLst>
        </xdr:cNvPr>
        <xdr:cNvSpPr>
          <a:spLocks/>
        </xdr:cNvSpPr>
      </xdr:nvSpPr>
      <xdr:spPr>
        <a:xfrm>
          <a:off x="14121209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B4DC26B7-464E-432B-9B5C-4EC77B353143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C5B37923-8187-4839-A872-61BDD2995F15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00DE5BDA-885D-4246-AFFC-7292C7FCEF0D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06B35C68-97BD-4F51-A08A-AC69028017FD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1EABC3D9-E2A0-47F7-8AD6-E1B42312F1A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4FA0320B-8AEE-441B-BCAA-C1B5CD515871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6" name="文字方塊 8">
          <a:extLst>
            <a:ext uri="{FF2B5EF4-FFF2-40B4-BE49-F238E27FC236}">
              <a16:creationId xmlns:a16="http://schemas.microsoft.com/office/drawing/2014/main" id="{7A822A9A-928A-4AB0-BA59-F59DF20BF8A0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7" name="文字方塊 9">
          <a:extLst>
            <a:ext uri="{FF2B5EF4-FFF2-40B4-BE49-F238E27FC236}">
              <a16:creationId xmlns:a16="http://schemas.microsoft.com/office/drawing/2014/main" id="{E34B6124-2695-4000-B771-92A469F9C5B9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E915ADA0-CD30-4AD9-B5F7-EE4289B2408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73778EF4-0747-4B34-8774-91633957CCA4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CBED65DE-1AB0-4041-B21C-101D4E0BD9D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707083DA-D6BB-4C90-860D-598D54DB73E1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5F346D58-D7CF-4E09-8667-F13706DB953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7C0EC84E-9EB2-430B-9FBD-0CF6E68E93ED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4" name="文字方塊 8">
          <a:extLst>
            <a:ext uri="{FF2B5EF4-FFF2-40B4-BE49-F238E27FC236}">
              <a16:creationId xmlns:a16="http://schemas.microsoft.com/office/drawing/2014/main" id="{FB68F890-1CBB-4FE4-AF81-0B16D8AFEC21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5" name="文字方塊 9">
          <a:extLst>
            <a:ext uri="{FF2B5EF4-FFF2-40B4-BE49-F238E27FC236}">
              <a16:creationId xmlns:a16="http://schemas.microsoft.com/office/drawing/2014/main" id="{89D4C210-9CDA-4242-8B9C-3E53F09138CC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7A585C46-C336-4AF6-8B03-BA4CB8738AF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9570008C-A668-410C-A797-14A7486ACA3E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425776F0-0C1D-45E8-8D18-56F0D4C878C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331114DD-BC6F-4138-A8FE-0CF369E7E407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523A4C44-CEF1-448C-BF60-3EA25CD3777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8F27D859-10C6-42F4-84BA-DCE417D8426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32" name="文字方塊 8">
          <a:extLst>
            <a:ext uri="{FF2B5EF4-FFF2-40B4-BE49-F238E27FC236}">
              <a16:creationId xmlns:a16="http://schemas.microsoft.com/office/drawing/2014/main" id="{05490F5B-AD4B-47F7-8F94-5353F503661E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33" name="文字方塊 9">
          <a:extLst>
            <a:ext uri="{FF2B5EF4-FFF2-40B4-BE49-F238E27FC236}">
              <a16:creationId xmlns:a16="http://schemas.microsoft.com/office/drawing/2014/main" id="{02BBC57B-C0E1-4D1F-A266-D1F5A6E46A1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906813B4-BCC7-4723-BB5B-27E6E2292D6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BE92756D-C523-4302-AC90-BC4094A9242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6" name="文字方塊 35">
          <a:extLst>
            <a:ext uri="{FF2B5EF4-FFF2-40B4-BE49-F238E27FC236}">
              <a16:creationId xmlns:a16="http://schemas.microsoft.com/office/drawing/2014/main" id="{30B9645C-7845-4E63-8E4F-67D19F158F9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8AAA74DA-C711-4065-B085-99373904A54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77708566-1855-408A-B298-22EB537DA84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A8D69576-E625-4E68-BD1E-299B22104F0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0" name="文字方塊 39">
          <a:extLst>
            <a:ext uri="{FF2B5EF4-FFF2-40B4-BE49-F238E27FC236}">
              <a16:creationId xmlns:a16="http://schemas.microsoft.com/office/drawing/2014/main" id="{FAAF1FFA-F335-4609-9ADF-904D6769E3B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1" name="文字方塊 40">
          <a:extLst>
            <a:ext uri="{FF2B5EF4-FFF2-40B4-BE49-F238E27FC236}">
              <a16:creationId xmlns:a16="http://schemas.microsoft.com/office/drawing/2014/main" id="{2BE383CC-BB3C-405F-87B7-CA0C40D95B9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2" name="文字方塊 8">
          <a:extLst>
            <a:ext uri="{FF2B5EF4-FFF2-40B4-BE49-F238E27FC236}">
              <a16:creationId xmlns:a16="http://schemas.microsoft.com/office/drawing/2014/main" id="{8FD8CF75-C9A4-4206-A4A4-680AA2F6E62D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3" name="文字方塊 9">
          <a:extLst>
            <a:ext uri="{FF2B5EF4-FFF2-40B4-BE49-F238E27FC236}">
              <a16:creationId xmlns:a16="http://schemas.microsoft.com/office/drawing/2014/main" id="{A6433AB0-4DD7-4F91-A020-AE37E227ED3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7BB82F53-352F-4281-A8B3-3A4FF3CCE74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5" name="文字方塊 44">
          <a:extLst>
            <a:ext uri="{FF2B5EF4-FFF2-40B4-BE49-F238E27FC236}">
              <a16:creationId xmlns:a16="http://schemas.microsoft.com/office/drawing/2014/main" id="{F830DCBD-CF82-4B4B-BD3D-72E9FEB7A65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858982AA-8178-4003-8D8F-BCE6719194B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2A78584B-2870-4FA3-B52A-A6138545C3A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8" name="文字方塊 47">
          <a:extLst>
            <a:ext uri="{FF2B5EF4-FFF2-40B4-BE49-F238E27FC236}">
              <a16:creationId xmlns:a16="http://schemas.microsoft.com/office/drawing/2014/main" id="{2F071EBE-E11D-4948-8046-62B5109981E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9" name="文字方塊 48">
          <a:extLst>
            <a:ext uri="{FF2B5EF4-FFF2-40B4-BE49-F238E27FC236}">
              <a16:creationId xmlns:a16="http://schemas.microsoft.com/office/drawing/2014/main" id="{A49EE246-11F0-4537-8602-41978379AED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0" name="文字方塊 8">
          <a:extLst>
            <a:ext uri="{FF2B5EF4-FFF2-40B4-BE49-F238E27FC236}">
              <a16:creationId xmlns:a16="http://schemas.microsoft.com/office/drawing/2014/main" id="{7D69E564-48CE-4BCF-B6B1-EB24DEAC19F6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51" name="文字方塊 9">
          <a:extLst>
            <a:ext uri="{FF2B5EF4-FFF2-40B4-BE49-F238E27FC236}">
              <a16:creationId xmlns:a16="http://schemas.microsoft.com/office/drawing/2014/main" id="{651B95BC-8FB5-48A6-8504-71EE69A662E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2" name="文字方塊 51">
          <a:extLst>
            <a:ext uri="{FF2B5EF4-FFF2-40B4-BE49-F238E27FC236}">
              <a16:creationId xmlns:a16="http://schemas.microsoft.com/office/drawing/2014/main" id="{04E40157-98DD-408D-8B3F-E14A2F02981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3" name="文字方塊 52">
          <a:extLst>
            <a:ext uri="{FF2B5EF4-FFF2-40B4-BE49-F238E27FC236}">
              <a16:creationId xmlns:a16="http://schemas.microsoft.com/office/drawing/2014/main" id="{DE400753-41F2-4562-937B-DE4F14106D2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B130DE57-59F9-4D4C-BA02-66477B59060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45D7F189-870A-4912-8C6E-A7596AD9432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6" name="文字方塊 55">
          <a:extLst>
            <a:ext uri="{FF2B5EF4-FFF2-40B4-BE49-F238E27FC236}">
              <a16:creationId xmlns:a16="http://schemas.microsoft.com/office/drawing/2014/main" id="{197DA28B-F4FA-49B4-83AE-5C0750FD330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7" name="文字方塊 56">
          <a:extLst>
            <a:ext uri="{FF2B5EF4-FFF2-40B4-BE49-F238E27FC236}">
              <a16:creationId xmlns:a16="http://schemas.microsoft.com/office/drawing/2014/main" id="{C7EB93C4-896D-4661-8A92-C387460FB2B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8" name="文字方塊 8">
          <a:extLst>
            <a:ext uri="{FF2B5EF4-FFF2-40B4-BE49-F238E27FC236}">
              <a16:creationId xmlns:a16="http://schemas.microsoft.com/office/drawing/2014/main" id="{87122AF5-5753-4A53-8367-4B4810C8AE18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59" name="文字方塊 9">
          <a:extLst>
            <a:ext uri="{FF2B5EF4-FFF2-40B4-BE49-F238E27FC236}">
              <a16:creationId xmlns:a16="http://schemas.microsoft.com/office/drawing/2014/main" id="{54F5EB99-4C3C-4709-9874-9C78D6D51A2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0" name="文字方塊 59">
          <a:extLst>
            <a:ext uri="{FF2B5EF4-FFF2-40B4-BE49-F238E27FC236}">
              <a16:creationId xmlns:a16="http://schemas.microsoft.com/office/drawing/2014/main" id="{A5E13BB2-61F2-400D-B220-788F12A8265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800B8B2E-90BD-4B66-8F95-0453C41FD06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6D0801D9-62D9-4195-955D-311CC723BAC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3" name="文字方塊 62">
          <a:extLst>
            <a:ext uri="{FF2B5EF4-FFF2-40B4-BE49-F238E27FC236}">
              <a16:creationId xmlns:a16="http://schemas.microsoft.com/office/drawing/2014/main" id="{B9A95150-D46A-427C-87E8-6B1F71F7570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4" name="文字方塊 63">
          <a:extLst>
            <a:ext uri="{FF2B5EF4-FFF2-40B4-BE49-F238E27FC236}">
              <a16:creationId xmlns:a16="http://schemas.microsoft.com/office/drawing/2014/main" id="{F1CA92CA-68EA-4394-A3AC-F2DF8B8144D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5" name="文字方塊 64">
          <a:extLst>
            <a:ext uri="{FF2B5EF4-FFF2-40B4-BE49-F238E27FC236}">
              <a16:creationId xmlns:a16="http://schemas.microsoft.com/office/drawing/2014/main" id="{7A1C8755-B677-479C-81A3-FF16BE3DBE3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6" name="文字方塊 8">
          <a:extLst>
            <a:ext uri="{FF2B5EF4-FFF2-40B4-BE49-F238E27FC236}">
              <a16:creationId xmlns:a16="http://schemas.microsoft.com/office/drawing/2014/main" id="{D73B6A9A-DC94-40C6-A973-08E9156782D7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67" name="文字方塊 9">
          <a:extLst>
            <a:ext uri="{FF2B5EF4-FFF2-40B4-BE49-F238E27FC236}">
              <a16:creationId xmlns:a16="http://schemas.microsoft.com/office/drawing/2014/main" id="{5577CD0D-D358-4C76-B18B-B49D4182849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8" name="文字方塊 67">
          <a:extLst>
            <a:ext uri="{FF2B5EF4-FFF2-40B4-BE49-F238E27FC236}">
              <a16:creationId xmlns:a16="http://schemas.microsoft.com/office/drawing/2014/main" id="{CB567748-CDBC-4790-9BB0-76DD907A9D2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E6C7A369-09C2-4C48-AA5E-EEE04F83460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A8CE3AB7-645B-413D-8F1F-3A5E2461A98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9C540BF2-5DEA-41C4-8CDF-1E8B4FA73F2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2" name="文字方塊 71">
          <a:extLst>
            <a:ext uri="{FF2B5EF4-FFF2-40B4-BE49-F238E27FC236}">
              <a16:creationId xmlns:a16="http://schemas.microsoft.com/office/drawing/2014/main" id="{6E4CABAB-D120-4C11-927D-4B51A6D043A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73" name="文字方塊 72">
          <a:extLst>
            <a:ext uri="{FF2B5EF4-FFF2-40B4-BE49-F238E27FC236}">
              <a16:creationId xmlns:a16="http://schemas.microsoft.com/office/drawing/2014/main" id="{7DC6F1A8-D6D2-458A-A95E-C8F04384D6D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4" name="文字方塊 8">
          <a:extLst>
            <a:ext uri="{FF2B5EF4-FFF2-40B4-BE49-F238E27FC236}">
              <a16:creationId xmlns:a16="http://schemas.microsoft.com/office/drawing/2014/main" id="{31D3E03C-61E0-4672-AF99-FE444A9EF895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75" name="文字方塊 9">
          <a:extLst>
            <a:ext uri="{FF2B5EF4-FFF2-40B4-BE49-F238E27FC236}">
              <a16:creationId xmlns:a16="http://schemas.microsoft.com/office/drawing/2014/main" id="{EAC9ADE6-3919-464D-A28F-B9709617493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6" name="文字方塊 75">
          <a:extLst>
            <a:ext uri="{FF2B5EF4-FFF2-40B4-BE49-F238E27FC236}">
              <a16:creationId xmlns:a16="http://schemas.microsoft.com/office/drawing/2014/main" id="{3D6A6737-6F13-4C41-9F69-9371FCE49FF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DCAEC646-4EAF-49EC-984A-A04D92310C7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8" name="文字方塊 77">
          <a:extLst>
            <a:ext uri="{FF2B5EF4-FFF2-40B4-BE49-F238E27FC236}">
              <a16:creationId xmlns:a16="http://schemas.microsoft.com/office/drawing/2014/main" id="{6C97D743-D369-4CD6-A0B6-F4C03844161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79" name="文字方塊 78">
          <a:extLst>
            <a:ext uri="{FF2B5EF4-FFF2-40B4-BE49-F238E27FC236}">
              <a16:creationId xmlns:a16="http://schemas.microsoft.com/office/drawing/2014/main" id="{BD5AEE42-9754-4A20-BFD5-E3FF7281B8C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0" name="文字方塊 79">
          <a:extLst>
            <a:ext uri="{FF2B5EF4-FFF2-40B4-BE49-F238E27FC236}">
              <a16:creationId xmlns:a16="http://schemas.microsoft.com/office/drawing/2014/main" id="{D253B410-D46B-43DF-B698-E839F6BC60F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1" name="文字方塊 8">
          <a:extLst>
            <a:ext uri="{FF2B5EF4-FFF2-40B4-BE49-F238E27FC236}">
              <a16:creationId xmlns:a16="http://schemas.microsoft.com/office/drawing/2014/main" id="{8BBC35B1-5D0C-42EC-BAE5-50211BF93D2D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2" name="文字方塊 81">
          <a:extLst>
            <a:ext uri="{FF2B5EF4-FFF2-40B4-BE49-F238E27FC236}">
              <a16:creationId xmlns:a16="http://schemas.microsoft.com/office/drawing/2014/main" id="{BC5CAEB5-CE2D-4129-A2D4-F90761485C3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3" name="文字方塊 82">
          <a:extLst>
            <a:ext uri="{FF2B5EF4-FFF2-40B4-BE49-F238E27FC236}">
              <a16:creationId xmlns:a16="http://schemas.microsoft.com/office/drawing/2014/main" id="{3275EF84-1D64-4E6E-A942-1950943877C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4" name="文字方塊 83">
          <a:extLst>
            <a:ext uri="{FF2B5EF4-FFF2-40B4-BE49-F238E27FC236}">
              <a16:creationId xmlns:a16="http://schemas.microsoft.com/office/drawing/2014/main" id="{D01B244A-E2A1-404A-8860-F630C2D0F00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5" name="文字方塊 8">
          <a:extLst>
            <a:ext uri="{FF2B5EF4-FFF2-40B4-BE49-F238E27FC236}">
              <a16:creationId xmlns:a16="http://schemas.microsoft.com/office/drawing/2014/main" id="{DA65202D-2B1C-4F4B-B86B-7D16B6AB2F16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6" name="文字方塊 85">
          <a:extLst>
            <a:ext uri="{FF2B5EF4-FFF2-40B4-BE49-F238E27FC236}">
              <a16:creationId xmlns:a16="http://schemas.microsoft.com/office/drawing/2014/main" id="{66E606C9-47E2-4BB5-9F2C-C88C3FFE823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7" name="文字方塊 86">
          <a:extLst>
            <a:ext uri="{FF2B5EF4-FFF2-40B4-BE49-F238E27FC236}">
              <a16:creationId xmlns:a16="http://schemas.microsoft.com/office/drawing/2014/main" id="{42A81F0B-D68B-4050-BD2F-03D9D79F9AD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8" name="文字方塊 87">
          <a:extLst>
            <a:ext uri="{FF2B5EF4-FFF2-40B4-BE49-F238E27FC236}">
              <a16:creationId xmlns:a16="http://schemas.microsoft.com/office/drawing/2014/main" id="{0305E8E5-61DA-434D-9430-352A82BF79C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9" name="文字方塊 8">
          <a:extLst>
            <a:ext uri="{FF2B5EF4-FFF2-40B4-BE49-F238E27FC236}">
              <a16:creationId xmlns:a16="http://schemas.microsoft.com/office/drawing/2014/main" id="{10E94625-9AB3-44C0-B168-7612526B546E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0" name="文字方塊 89">
          <a:extLst>
            <a:ext uri="{FF2B5EF4-FFF2-40B4-BE49-F238E27FC236}">
              <a16:creationId xmlns:a16="http://schemas.microsoft.com/office/drawing/2014/main" id="{23BEAC4B-7D52-47B0-A937-B50F4AEAD81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1" name="文字方塊 90">
          <a:extLst>
            <a:ext uri="{FF2B5EF4-FFF2-40B4-BE49-F238E27FC236}">
              <a16:creationId xmlns:a16="http://schemas.microsoft.com/office/drawing/2014/main" id="{EF569C24-6174-4859-B1A2-DCEF6BAA69C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2" name="文字方塊 91">
          <a:extLst>
            <a:ext uri="{FF2B5EF4-FFF2-40B4-BE49-F238E27FC236}">
              <a16:creationId xmlns:a16="http://schemas.microsoft.com/office/drawing/2014/main" id="{D8CDA73F-8696-46F1-AF55-AC1044EEC20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93" name="文字方塊 8">
          <a:extLst>
            <a:ext uri="{FF2B5EF4-FFF2-40B4-BE49-F238E27FC236}">
              <a16:creationId xmlns:a16="http://schemas.microsoft.com/office/drawing/2014/main" id="{69BBFB00-24CD-4DFD-BAA4-18C935D9EACB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4" name="文字方塊 93">
          <a:extLst>
            <a:ext uri="{FF2B5EF4-FFF2-40B4-BE49-F238E27FC236}">
              <a16:creationId xmlns:a16="http://schemas.microsoft.com/office/drawing/2014/main" id="{87606899-865F-4C10-BF03-B4DB7BC01A8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5" name="文字方塊 94">
          <a:extLst>
            <a:ext uri="{FF2B5EF4-FFF2-40B4-BE49-F238E27FC236}">
              <a16:creationId xmlns:a16="http://schemas.microsoft.com/office/drawing/2014/main" id="{178C9344-8F93-48BA-B077-D862E99E8F3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6" name="文字方塊 95">
          <a:extLst>
            <a:ext uri="{FF2B5EF4-FFF2-40B4-BE49-F238E27FC236}">
              <a16:creationId xmlns:a16="http://schemas.microsoft.com/office/drawing/2014/main" id="{07D16BB5-0820-4194-8DA2-212B950B0CB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97" name="文字方塊 8">
          <a:extLst>
            <a:ext uri="{FF2B5EF4-FFF2-40B4-BE49-F238E27FC236}">
              <a16:creationId xmlns:a16="http://schemas.microsoft.com/office/drawing/2014/main" id="{A4394EAF-C5B8-4957-A983-0F716CD6B0E2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8" name="文字方塊 97">
          <a:extLst>
            <a:ext uri="{FF2B5EF4-FFF2-40B4-BE49-F238E27FC236}">
              <a16:creationId xmlns:a16="http://schemas.microsoft.com/office/drawing/2014/main" id="{A16B6D9A-559F-45AC-B078-EF618FE8540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9" name="文字方塊 98">
          <a:extLst>
            <a:ext uri="{FF2B5EF4-FFF2-40B4-BE49-F238E27FC236}">
              <a16:creationId xmlns:a16="http://schemas.microsoft.com/office/drawing/2014/main" id="{7C58DFE7-5151-40E2-8323-0F35003FDD9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0" name="文字方塊 99">
          <a:extLst>
            <a:ext uri="{FF2B5EF4-FFF2-40B4-BE49-F238E27FC236}">
              <a16:creationId xmlns:a16="http://schemas.microsoft.com/office/drawing/2014/main" id="{8C35BF7C-2927-4D49-9DB3-814B6D64928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1" name="文字方塊 8">
          <a:extLst>
            <a:ext uri="{FF2B5EF4-FFF2-40B4-BE49-F238E27FC236}">
              <a16:creationId xmlns:a16="http://schemas.microsoft.com/office/drawing/2014/main" id="{D557062E-A622-48BE-A5FE-097310BFD62E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2" name="文字方塊 101">
          <a:extLst>
            <a:ext uri="{FF2B5EF4-FFF2-40B4-BE49-F238E27FC236}">
              <a16:creationId xmlns:a16="http://schemas.microsoft.com/office/drawing/2014/main" id="{B5E84CB3-DAA1-465D-83F2-0CC7856F6D7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3" name="文字方塊 102">
          <a:extLst>
            <a:ext uri="{FF2B5EF4-FFF2-40B4-BE49-F238E27FC236}">
              <a16:creationId xmlns:a16="http://schemas.microsoft.com/office/drawing/2014/main" id="{D33B5ED7-FDDA-4547-BBF3-D6D88FAAC66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4" name="文字方塊 103">
          <a:extLst>
            <a:ext uri="{FF2B5EF4-FFF2-40B4-BE49-F238E27FC236}">
              <a16:creationId xmlns:a16="http://schemas.microsoft.com/office/drawing/2014/main" id="{DD227206-15C7-402A-A44A-E399386ABFC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5" name="文字方塊 104">
          <a:extLst>
            <a:ext uri="{FF2B5EF4-FFF2-40B4-BE49-F238E27FC236}">
              <a16:creationId xmlns:a16="http://schemas.microsoft.com/office/drawing/2014/main" id="{3CDAF587-EE45-4DFD-B4CD-B6257D85100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6" name="文字方塊 8">
          <a:extLst>
            <a:ext uri="{FF2B5EF4-FFF2-40B4-BE49-F238E27FC236}">
              <a16:creationId xmlns:a16="http://schemas.microsoft.com/office/drawing/2014/main" id="{53BD6A00-E59B-4D02-BFF8-7BE3902D60C5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7" name="文字方塊 106">
          <a:extLst>
            <a:ext uri="{FF2B5EF4-FFF2-40B4-BE49-F238E27FC236}">
              <a16:creationId xmlns:a16="http://schemas.microsoft.com/office/drawing/2014/main" id="{8EAE1F01-2723-4E8E-99FD-2AB23B94006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8" name="文字方塊 107">
          <a:extLst>
            <a:ext uri="{FF2B5EF4-FFF2-40B4-BE49-F238E27FC236}">
              <a16:creationId xmlns:a16="http://schemas.microsoft.com/office/drawing/2014/main" id="{06B8E3F7-E4C0-4007-8419-D061996C553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9" name="文字方塊 108">
          <a:extLst>
            <a:ext uri="{FF2B5EF4-FFF2-40B4-BE49-F238E27FC236}">
              <a16:creationId xmlns:a16="http://schemas.microsoft.com/office/drawing/2014/main" id="{4CC11598-B60C-4FE0-A2CC-169B084D707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10" name="文字方塊 8">
          <a:extLst>
            <a:ext uri="{FF2B5EF4-FFF2-40B4-BE49-F238E27FC236}">
              <a16:creationId xmlns:a16="http://schemas.microsoft.com/office/drawing/2014/main" id="{E1BC52D9-220C-4B5F-A543-B2DBE29952F3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1" name="文字方塊 110">
          <a:extLst>
            <a:ext uri="{FF2B5EF4-FFF2-40B4-BE49-F238E27FC236}">
              <a16:creationId xmlns:a16="http://schemas.microsoft.com/office/drawing/2014/main" id="{926827FA-CC2D-4E92-B64B-9583419E648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2" name="文字方塊 111">
          <a:extLst>
            <a:ext uri="{FF2B5EF4-FFF2-40B4-BE49-F238E27FC236}">
              <a16:creationId xmlns:a16="http://schemas.microsoft.com/office/drawing/2014/main" id="{F9DE5EFC-BAE0-4194-ACD7-82BB2A13197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3" name="文字方塊 112">
          <a:extLst>
            <a:ext uri="{FF2B5EF4-FFF2-40B4-BE49-F238E27FC236}">
              <a16:creationId xmlns:a16="http://schemas.microsoft.com/office/drawing/2014/main" id="{4C87E9F4-7843-4DB6-954B-8424DE5C48E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14" name="文字方塊 8">
          <a:extLst>
            <a:ext uri="{FF2B5EF4-FFF2-40B4-BE49-F238E27FC236}">
              <a16:creationId xmlns:a16="http://schemas.microsoft.com/office/drawing/2014/main" id="{1CB2B365-7A74-45A5-8E98-84E72A8114FC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5" name="文字方塊 114">
          <a:extLst>
            <a:ext uri="{FF2B5EF4-FFF2-40B4-BE49-F238E27FC236}">
              <a16:creationId xmlns:a16="http://schemas.microsoft.com/office/drawing/2014/main" id="{6AF82235-D7FC-4E7A-9893-D0BA1307923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6" name="文字方塊 115">
          <a:extLst>
            <a:ext uri="{FF2B5EF4-FFF2-40B4-BE49-F238E27FC236}">
              <a16:creationId xmlns:a16="http://schemas.microsoft.com/office/drawing/2014/main" id="{B04AD28C-49CA-4DDA-802F-E4681778A2D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7" name="文字方塊 116">
          <a:extLst>
            <a:ext uri="{FF2B5EF4-FFF2-40B4-BE49-F238E27FC236}">
              <a16:creationId xmlns:a16="http://schemas.microsoft.com/office/drawing/2014/main" id="{DF8B8786-99C4-490A-A685-681946C9489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18" name="文字方塊 8">
          <a:extLst>
            <a:ext uri="{FF2B5EF4-FFF2-40B4-BE49-F238E27FC236}">
              <a16:creationId xmlns:a16="http://schemas.microsoft.com/office/drawing/2014/main" id="{F38FC707-CD39-4B41-828D-4F42784FCFBB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9" name="文字方塊 118">
          <a:extLst>
            <a:ext uri="{FF2B5EF4-FFF2-40B4-BE49-F238E27FC236}">
              <a16:creationId xmlns:a16="http://schemas.microsoft.com/office/drawing/2014/main" id="{9F01FE7D-1D49-4361-9EA4-9F5093E3711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0" name="文字方塊 119">
          <a:extLst>
            <a:ext uri="{FF2B5EF4-FFF2-40B4-BE49-F238E27FC236}">
              <a16:creationId xmlns:a16="http://schemas.microsoft.com/office/drawing/2014/main" id="{32490569-FE9F-435B-9CE3-85E4106E1C3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1" name="文字方塊 120">
          <a:extLst>
            <a:ext uri="{FF2B5EF4-FFF2-40B4-BE49-F238E27FC236}">
              <a16:creationId xmlns:a16="http://schemas.microsoft.com/office/drawing/2014/main" id="{2656F2F4-7AF0-47CF-BD52-B0659CA2F0A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22" name="文字方塊 8">
          <a:extLst>
            <a:ext uri="{FF2B5EF4-FFF2-40B4-BE49-F238E27FC236}">
              <a16:creationId xmlns:a16="http://schemas.microsoft.com/office/drawing/2014/main" id="{B092ACFE-D01E-4C15-BDF0-D5190E9F0790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3" name="文字方塊 122">
          <a:extLst>
            <a:ext uri="{FF2B5EF4-FFF2-40B4-BE49-F238E27FC236}">
              <a16:creationId xmlns:a16="http://schemas.microsoft.com/office/drawing/2014/main" id="{BBD77095-5240-4445-9CA3-1DE49D4EC79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4" name="文字方塊 123">
          <a:extLst>
            <a:ext uri="{FF2B5EF4-FFF2-40B4-BE49-F238E27FC236}">
              <a16:creationId xmlns:a16="http://schemas.microsoft.com/office/drawing/2014/main" id="{52319A3E-166C-4F7F-8985-9BD77097FEE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5" name="文字方塊 124">
          <a:extLst>
            <a:ext uri="{FF2B5EF4-FFF2-40B4-BE49-F238E27FC236}">
              <a16:creationId xmlns:a16="http://schemas.microsoft.com/office/drawing/2014/main" id="{1A33C9A3-2983-4905-A640-EBE32495FEE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26" name="文字方塊 8">
          <a:extLst>
            <a:ext uri="{FF2B5EF4-FFF2-40B4-BE49-F238E27FC236}">
              <a16:creationId xmlns:a16="http://schemas.microsoft.com/office/drawing/2014/main" id="{CB18E033-D9A2-4E63-A16E-DA0574EFC00A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7" name="文字方塊 126">
          <a:extLst>
            <a:ext uri="{FF2B5EF4-FFF2-40B4-BE49-F238E27FC236}">
              <a16:creationId xmlns:a16="http://schemas.microsoft.com/office/drawing/2014/main" id="{FB449258-87C6-4611-9603-6189CC6EF44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8" name="文字方塊 127">
          <a:extLst>
            <a:ext uri="{FF2B5EF4-FFF2-40B4-BE49-F238E27FC236}">
              <a16:creationId xmlns:a16="http://schemas.microsoft.com/office/drawing/2014/main" id="{63D6D372-7000-45DF-B3FB-67D11BFB411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9" name="文字方塊 128">
          <a:extLst>
            <a:ext uri="{FF2B5EF4-FFF2-40B4-BE49-F238E27FC236}">
              <a16:creationId xmlns:a16="http://schemas.microsoft.com/office/drawing/2014/main" id="{FF87D0F6-E3FE-425F-94B5-5110E2EE231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30" name="文字方塊 8">
          <a:extLst>
            <a:ext uri="{FF2B5EF4-FFF2-40B4-BE49-F238E27FC236}">
              <a16:creationId xmlns:a16="http://schemas.microsoft.com/office/drawing/2014/main" id="{1CBAE684-3D3F-4BC2-B605-2A1C3286C034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1" name="文字方塊 130">
          <a:extLst>
            <a:ext uri="{FF2B5EF4-FFF2-40B4-BE49-F238E27FC236}">
              <a16:creationId xmlns:a16="http://schemas.microsoft.com/office/drawing/2014/main" id="{BB85E54B-5217-4E89-8194-2764DC7F4F8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2" name="文字方塊 131">
          <a:extLst>
            <a:ext uri="{FF2B5EF4-FFF2-40B4-BE49-F238E27FC236}">
              <a16:creationId xmlns:a16="http://schemas.microsoft.com/office/drawing/2014/main" id="{0F1DD126-A1B0-45C0-B855-94C9E6119CA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770F5417-3AD2-4956-93AC-D2B59A309EF0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E5C3B308-F13D-45E6-BCB7-D8C6A6188B10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twoCellAnchor editAs="oneCell">
    <xdr:from>
      <xdr:col>3</xdr:col>
      <xdr:colOff>123269</xdr:colOff>
      <xdr:row>1</xdr:row>
      <xdr:rowOff>56021</xdr:rowOff>
    </xdr:from>
    <xdr:to>
      <xdr:col>5</xdr:col>
      <xdr:colOff>669622</xdr:colOff>
      <xdr:row>3</xdr:row>
      <xdr:rowOff>260660</xdr:rowOff>
    </xdr:to>
    <xdr:sp macro="[0]!auto_length" textlink="">
      <xdr:nvSpPr>
        <xdr:cNvPr id="4" name="矩形 3">
          <a:extLst>
            <a:ext uri="{FF2B5EF4-FFF2-40B4-BE49-F238E27FC236}">
              <a16:creationId xmlns:a16="http://schemas.microsoft.com/office/drawing/2014/main" id="{A050748E-75DF-4667-AF60-CBCF3EBACB7B}"/>
            </a:ext>
          </a:extLst>
        </xdr:cNvPr>
        <xdr:cNvSpPr>
          <a:spLocks noChangeAspect="1"/>
        </xdr:cNvSpPr>
      </xdr:nvSpPr>
      <xdr:spPr>
        <a:xfrm>
          <a:off x="946229" y="360821"/>
          <a:ext cx="2161793" cy="656396"/>
        </a:xfrm>
        <a:prstGeom prst="rect">
          <a:avLst/>
        </a:prstGeom>
        <a:solidFill>
          <a:schemeClr val="bg1"/>
        </a:solidFill>
        <a:ln w="38100">
          <a:solidFill>
            <a:schemeClr val="accent2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2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計算長度</a:t>
          </a:r>
        </a:p>
      </xdr:txBody>
    </xdr:sp>
    <xdr:clientData/>
  </xdr:twoCellAnchor>
  <xdr:oneCellAnchor>
    <xdr:from>
      <xdr:col>13</xdr:col>
      <xdr:colOff>134475</xdr:colOff>
      <xdr:row>1</xdr:row>
      <xdr:rowOff>56021</xdr:rowOff>
    </xdr:from>
    <xdr:ext cx="2160000" cy="360000"/>
    <xdr:sp macro="[0]!auto_angle" textlink="">
      <xdr:nvSpPr>
        <xdr:cNvPr id="5" name="矩形 4">
          <a:extLst>
            <a:ext uri="{FF2B5EF4-FFF2-40B4-BE49-F238E27FC236}">
              <a16:creationId xmlns:a16="http://schemas.microsoft.com/office/drawing/2014/main" id="{F5167B2A-8CBE-4349-AAD0-3FF7AC7DA1E7}"/>
            </a:ext>
          </a:extLst>
        </xdr:cNvPr>
        <xdr:cNvSpPr>
          <a:spLocks noChangeAspect="1"/>
        </xdr:cNvSpPr>
      </xdr:nvSpPr>
      <xdr:spPr>
        <a:xfrm>
          <a:off x="6215235" y="360821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4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計算角度</a:t>
          </a:r>
          <a:r>
            <a:rPr lang="en-US" altLang="zh-TW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(°)</a:t>
          </a:r>
          <a:endParaRPr lang="zh-TW" altLang="en-US" sz="1600" b="1">
            <a:solidFill>
              <a:schemeClr val="accent4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oneCellAnchor>
  <xdr:oneCellAnchor>
    <xdr:from>
      <xdr:col>24</xdr:col>
      <xdr:colOff>134475</xdr:colOff>
      <xdr:row>1</xdr:row>
      <xdr:rowOff>56022</xdr:rowOff>
    </xdr:from>
    <xdr:ext cx="2160000" cy="360000"/>
    <xdr:sp macro="[0]!auto_area" textlink="">
      <xdr:nvSpPr>
        <xdr:cNvPr id="6" name="矩形 5">
          <a:extLst>
            <a:ext uri="{FF2B5EF4-FFF2-40B4-BE49-F238E27FC236}">
              <a16:creationId xmlns:a16="http://schemas.microsoft.com/office/drawing/2014/main" id="{FEEF1E11-6CED-4F94-9354-F68CBB573EE7}"/>
            </a:ext>
          </a:extLst>
        </xdr:cNvPr>
        <xdr:cNvSpPr>
          <a:spLocks noChangeAspect="1"/>
        </xdr:cNvSpPr>
      </xdr:nvSpPr>
      <xdr:spPr>
        <a:xfrm>
          <a:off x="11747355" y="360822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6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計算面積</a:t>
          </a:r>
        </a:p>
      </xdr:txBody>
    </xdr:sp>
    <xdr:clientData/>
  </xdr:oneCellAnchor>
  <xdr:twoCellAnchor editAs="oneCell">
    <xdr:from>
      <xdr:col>6</xdr:col>
      <xdr:colOff>85169</xdr:colOff>
      <xdr:row>1</xdr:row>
      <xdr:rowOff>51539</xdr:rowOff>
    </xdr:from>
    <xdr:to>
      <xdr:col>7</xdr:col>
      <xdr:colOff>718346</xdr:colOff>
      <xdr:row>3</xdr:row>
      <xdr:rowOff>256178</xdr:rowOff>
    </xdr:to>
    <xdr:sp macro="[0]!clear_length" textlink="">
      <xdr:nvSpPr>
        <xdr:cNvPr id="7" name="矩形 6">
          <a:extLst>
            <a:ext uri="{FF2B5EF4-FFF2-40B4-BE49-F238E27FC236}">
              <a16:creationId xmlns:a16="http://schemas.microsoft.com/office/drawing/2014/main" id="{38BD68A8-74FC-444A-80E6-2BB5CC61183E}"/>
            </a:ext>
          </a:extLst>
        </xdr:cNvPr>
        <xdr:cNvSpPr>
          <a:spLocks/>
        </xdr:cNvSpPr>
      </xdr:nvSpPr>
      <xdr:spPr>
        <a:xfrm>
          <a:off x="3331289" y="356339"/>
          <a:ext cx="1440897" cy="656396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twoCellAnchor>
  <xdr:oneCellAnchor>
    <xdr:from>
      <xdr:col>16</xdr:col>
      <xdr:colOff>85169</xdr:colOff>
      <xdr:row>1</xdr:row>
      <xdr:rowOff>51539</xdr:rowOff>
    </xdr:from>
    <xdr:ext cx="1440000" cy="360000"/>
    <xdr:sp macro="[0]!clear_angle" textlink="">
      <xdr:nvSpPr>
        <xdr:cNvPr id="8" name="矩形 7">
          <a:extLst>
            <a:ext uri="{FF2B5EF4-FFF2-40B4-BE49-F238E27FC236}">
              <a16:creationId xmlns:a16="http://schemas.microsoft.com/office/drawing/2014/main" id="{FC955EEC-4408-4F18-A78F-CAF576844DC1}"/>
            </a:ext>
          </a:extLst>
        </xdr:cNvPr>
        <xdr:cNvSpPr>
          <a:spLocks/>
        </xdr:cNvSpPr>
      </xdr:nvSpPr>
      <xdr:spPr>
        <a:xfrm>
          <a:off x="8589089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27</xdr:col>
      <xdr:colOff>85169</xdr:colOff>
      <xdr:row>1</xdr:row>
      <xdr:rowOff>51539</xdr:rowOff>
    </xdr:from>
    <xdr:ext cx="1440000" cy="360000"/>
    <xdr:sp macro="[0]!clear_area" textlink="">
      <xdr:nvSpPr>
        <xdr:cNvPr id="9" name="矩形 8">
          <a:extLst>
            <a:ext uri="{FF2B5EF4-FFF2-40B4-BE49-F238E27FC236}">
              <a16:creationId xmlns:a16="http://schemas.microsoft.com/office/drawing/2014/main" id="{1856596E-F371-4B1F-84DC-3F673E563E63}"/>
            </a:ext>
          </a:extLst>
        </xdr:cNvPr>
        <xdr:cNvSpPr>
          <a:spLocks/>
        </xdr:cNvSpPr>
      </xdr:nvSpPr>
      <xdr:spPr>
        <a:xfrm>
          <a:off x="14121209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C22F0B9F-506F-4543-A121-CB0D41619DB2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D4E0DE5A-DB8F-4DCF-99EF-1FB8A8BC7F5E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C8932D1B-4646-4FA3-B7D6-21A47C5687BB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C316F229-23EB-4D4D-99FF-EBAB4B62CC06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BF74EC51-E83D-4B20-BF10-1E94EA85AD9F}"/>
            </a:ext>
          </a:extLst>
        </xdr:cNvPr>
        <xdr:cNvSpPr txBox="1"/>
      </xdr:nvSpPr>
      <xdr:spPr>
        <a:xfrm>
          <a:off x="806958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691BAE02-F5E0-4C0F-99E2-3449C6836D58}"/>
            </a:ext>
          </a:extLst>
        </xdr:cNvPr>
        <xdr:cNvSpPr txBox="1">
          <a:spLocks noChangeAspect="1"/>
        </xdr:cNvSpPr>
      </xdr:nvSpPr>
      <xdr:spPr>
        <a:xfrm>
          <a:off x="806958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6" name="文字方塊 8">
          <a:extLst>
            <a:ext uri="{FF2B5EF4-FFF2-40B4-BE49-F238E27FC236}">
              <a16:creationId xmlns:a16="http://schemas.microsoft.com/office/drawing/2014/main" id="{7676EC0B-7420-4EE1-A9BB-0EBB85F8F62F}"/>
            </a:ext>
          </a:extLst>
        </xdr:cNvPr>
        <xdr:cNvSpPr txBox="1"/>
      </xdr:nvSpPr>
      <xdr:spPr>
        <a:xfrm>
          <a:off x="806958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7" name="文字方塊 9">
          <a:extLst>
            <a:ext uri="{FF2B5EF4-FFF2-40B4-BE49-F238E27FC236}">
              <a16:creationId xmlns:a16="http://schemas.microsoft.com/office/drawing/2014/main" id="{DE5E6208-A270-4090-A522-D04207F4CDD2}"/>
            </a:ext>
          </a:extLst>
        </xdr:cNvPr>
        <xdr:cNvSpPr txBox="1">
          <a:spLocks noChangeAspect="1"/>
        </xdr:cNvSpPr>
      </xdr:nvSpPr>
      <xdr:spPr>
        <a:xfrm>
          <a:off x="806958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5479B362-DB83-415C-B407-1EDAACBC3964}"/>
            </a:ext>
          </a:extLst>
        </xdr:cNvPr>
        <xdr:cNvSpPr txBox="1"/>
      </xdr:nvSpPr>
      <xdr:spPr>
        <a:xfrm>
          <a:off x="806958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20ED8B8E-F810-4C17-80F5-340635F608D0}"/>
            </a:ext>
          </a:extLst>
        </xdr:cNvPr>
        <xdr:cNvSpPr txBox="1">
          <a:spLocks noChangeAspect="1"/>
        </xdr:cNvSpPr>
      </xdr:nvSpPr>
      <xdr:spPr>
        <a:xfrm>
          <a:off x="806958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0D193ADB-25D7-44F7-A1E8-898123D66C38}"/>
            </a:ext>
          </a:extLst>
        </xdr:cNvPr>
        <xdr:cNvSpPr txBox="1"/>
      </xdr:nvSpPr>
      <xdr:spPr>
        <a:xfrm>
          <a:off x="806958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E34747A3-CF42-4F1F-B301-03250F3E012C}"/>
            </a:ext>
          </a:extLst>
        </xdr:cNvPr>
        <xdr:cNvSpPr txBox="1">
          <a:spLocks noChangeAspect="1"/>
        </xdr:cNvSpPr>
      </xdr:nvSpPr>
      <xdr:spPr>
        <a:xfrm>
          <a:off x="806958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3F1F5E88-F636-4C44-BF7C-EEE9CF61716A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8EF28DC9-AE32-4162-B14A-DDF6529E93C7}"/>
            </a:ext>
          </a:extLst>
        </xdr:cNvPr>
        <xdr:cNvSpPr txBox="1">
          <a:spLocks noChangeAspect="1"/>
        </xdr:cNvSpPr>
      </xdr:nvSpPr>
      <xdr:spPr>
        <a:xfrm>
          <a:off x="808355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4" name="文字方塊 8">
          <a:extLst>
            <a:ext uri="{FF2B5EF4-FFF2-40B4-BE49-F238E27FC236}">
              <a16:creationId xmlns:a16="http://schemas.microsoft.com/office/drawing/2014/main" id="{AFF799AE-A267-497E-999D-3BDE09B23233}"/>
            </a:ext>
          </a:extLst>
        </xdr:cNvPr>
        <xdr:cNvSpPr txBox="1"/>
      </xdr:nvSpPr>
      <xdr:spPr>
        <a:xfrm>
          <a:off x="808355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5" name="文字方塊 9">
          <a:extLst>
            <a:ext uri="{FF2B5EF4-FFF2-40B4-BE49-F238E27FC236}">
              <a16:creationId xmlns:a16="http://schemas.microsoft.com/office/drawing/2014/main" id="{58F0D660-45A7-45D4-B661-FC1951777E8E}"/>
            </a:ext>
          </a:extLst>
        </xdr:cNvPr>
        <xdr:cNvSpPr txBox="1">
          <a:spLocks noChangeAspect="1"/>
        </xdr:cNvSpPr>
      </xdr:nvSpPr>
      <xdr:spPr>
        <a:xfrm>
          <a:off x="808355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C2A5686C-BBDB-4854-A6DD-6F98A2B3F343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ED37EED0-B880-4929-8313-807B801B898B}"/>
            </a:ext>
          </a:extLst>
        </xdr:cNvPr>
        <xdr:cNvSpPr txBox="1">
          <a:spLocks noChangeAspect="1"/>
        </xdr:cNvSpPr>
      </xdr:nvSpPr>
      <xdr:spPr>
        <a:xfrm>
          <a:off x="808355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342ABFF6-A47F-4C00-90B6-BDE4BBA7DC18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EEC4AC76-7467-4F1E-9F0F-C8D9205C06CD}"/>
            </a:ext>
          </a:extLst>
        </xdr:cNvPr>
        <xdr:cNvSpPr txBox="1">
          <a:spLocks noChangeAspect="1"/>
        </xdr:cNvSpPr>
      </xdr:nvSpPr>
      <xdr:spPr>
        <a:xfrm>
          <a:off x="808355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A2F54A3C-793B-464A-931E-065A40DF23FA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61CE8174-1919-4A53-9F2A-3BD0CA2125A6}"/>
            </a:ext>
          </a:extLst>
        </xdr:cNvPr>
        <xdr:cNvSpPr txBox="1">
          <a:spLocks noChangeAspect="1"/>
        </xdr:cNvSpPr>
      </xdr:nvSpPr>
      <xdr:spPr>
        <a:xfrm>
          <a:off x="808355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2" name="文字方塊 31">
          <a:extLst>
            <a:ext uri="{FF2B5EF4-FFF2-40B4-BE49-F238E27FC236}">
              <a16:creationId xmlns:a16="http://schemas.microsoft.com/office/drawing/2014/main" id="{C18C46FF-F232-4F47-8089-793B530AAC6D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3" name="文字方塊 32">
          <a:extLst>
            <a:ext uri="{FF2B5EF4-FFF2-40B4-BE49-F238E27FC236}">
              <a16:creationId xmlns:a16="http://schemas.microsoft.com/office/drawing/2014/main" id="{28A42931-F09A-44D0-AB1D-8DEF439D3AAF}"/>
            </a:ext>
          </a:extLst>
        </xdr:cNvPr>
        <xdr:cNvSpPr txBox="1">
          <a:spLocks noChangeAspect="1"/>
        </xdr:cNvSpPr>
      </xdr:nvSpPr>
      <xdr:spPr>
        <a:xfrm>
          <a:off x="808355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34" name="文字方塊 8">
          <a:extLst>
            <a:ext uri="{FF2B5EF4-FFF2-40B4-BE49-F238E27FC236}">
              <a16:creationId xmlns:a16="http://schemas.microsoft.com/office/drawing/2014/main" id="{D511F735-323C-4959-BB40-81375C68384F}"/>
            </a:ext>
          </a:extLst>
        </xdr:cNvPr>
        <xdr:cNvSpPr txBox="1"/>
      </xdr:nvSpPr>
      <xdr:spPr>
        <a:xfrm>
          <a:off x="808355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35" name="文字方塊 9">
          <a:extLst>
            <a:ext uri="{FF2B5EF4-FFF2-40B4-BE49-F238E27FC236}">
              <a16:creationId xmlns:a16="http://schemas.microsoft.com/office/drawing/2014/main" id="{2B14F598-4F3C-442F-B0C8-3E0F74EE7789}"/>
            </a:ext>
          </a:extLst>
        </xdr:cNvPr>
        <xdr:cNvSpPr txBox="1">
          <a:spLocks noChangeAspect="1"/>
        </xdr:cNvSpPr>
      </xdr:nvSpPr>
      <xdr:spPr>
        <a:xfrm>
          <a:off x="808355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6" name="文字方塊 35">
          <a:extLst>
            <a:ext uri="{FF2B5EF4-FFF2-40B4-BE49-F238E27FC236}">
              <a16:creationId xmlns:a16="http://schemas.microsoft.com/office/drawing/2014/main" id="{C6DE2E7C-F4B4-4659-A4F1-5AB1308A45C9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0AD88413-03D3-4D33-AD23-FD01E8BB429B}"/>
            </a:ext>
          </a:extLst>
        </xdr:cNvPr>
        <xdr:cNvSpPr txBox="1">
          <a:spLocks noChangeAspect="1"/>
        </xdr:cNvSpPr>
      </xdr:nvSpPr>
      <xdr:spPr>
        <a:xfrm>
          <a:off x="808355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BAF4DCA3-5AA1-4FB1-8FD2-CBC1E60B4C5F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76CBBFA2-F8BD-4E49-B443-7642E560E913}"/>
            </a:ext>
          </a:extLst>
        </xdr:cNvPr>
        <xdr:cNvSpPr txBox="1">
          <a:spLocks noChangeAspect="1"/>
        </xdr:cNvSpPr>
      </xdr:nvSpPr>
      <xdr:spPr>
        <a:xfrm>
          <a:off x="808355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0" name="文字方塊 39">
          <a:extLst>
            <a:ext uri="{FF2B5EF4-FFF2-40B4-BE49-F238E27FC236}">
              <a16:creationId xmlns:a16="http://schemas.microsoft.com/office/drawing/2014/main" id="{367A60FC-26ED-4CE6-9763-53D2E1D78CAC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1" name="文字方塊 40">
          <a:extLst>
            <a:ext uri="{FF2B5EF4-FFF2-40B4-BE49-F238E27FC236}">
              <a16:creationId xmlns:a16="http://schemas.microsoft.com/office/drawing/2014/main" id="{C32D338F-4FC5-46C5-9798-908693B02AB9}"/>
            </a:ext>
          </a:extLst>
        </xdr:cNvPr>
        <xdr:cNvSpPr txBox="1">
          <a:spLocks noChangeAspect="1"/>
        </xdr:cNvSpPr>
      </xdr:nvSpPr>
      <xdr:spPr>
        <a:xfrm>
          <a:off x="808355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2" name="文字方塊 8">
          <a:extLst>
            <a:ext uri="{FF2B5EF4-FFF2-40B4-BE49-F238E27FC236}">
              <a16:creationId xmlns:a16="http://schemas.microsoft.com/office/drawing/2014/main" id="{7438B7DF-E9AB-4DBB-B62B-916CD1E77A0F}"/>
            </a:ext>
          </a:extLst>
        </xdr:cNvPr>
        <xdr:cNvSpPr txBox="1"/>
      </xdr:nvSpPr>
      <xdr:spPr>
        <a:xfrm>
          <a:off x="808355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3" name="文字方塊 9">
          <a:extLst>
            <a:ext uri="{FF2B5EF4-FFF2-40B4-BE49-F238E27FC236}">
              <a16:creationId xmlns:a16="http://schemas.microsoft.com/office/drawing/2014/main" id="{14135DE0-A876-4A81-B92F-C93FEEA3351C}"/>
            </a:ext>
          </a:extLst>
        </xdr:cNvPr>
        <xdr:cNvSpPr txBox="1">
          <a:spLocks noChangeAspect="1"/>
        </xdr:cNvSpPr>
      </xdr:nvSpPr>
      <xdr:spPr>
        <a:xfrm>
          <a:off x="808355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07792B6F-BBF7-4906-A4A3-5CF2821D7BDB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5" name="文字方塊 44">
          <a:extLst>
            <a:ext uri="{FF2B5EF4-FFF2-40B4-BE49-F238E27FC236}">
              <a16:creationId xmlns:a16="http://schemas.microsoft.com/office/drawing/2014/main" id="{624195F7-6C11-44BC-B246-76F99B1750C2}"/>
            </a:ext>
          </a:extLst>
        </xdr:cNvPr>
        <xdr:cNvSpPr txBox="1">
          <a:spLocks noChangeAspect="1"/>
        </xdr:cNvSpPr>
      </xdr:nvSpPr>
      <xdr:spPr>
        <a:xfrm>
          <a:off x="808355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A8832408-A326-46A5-A178-2EBFA0FC5D1F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8FF8E8EF-BC38-4FFB-8D93-EA55A1527FC5}"/>
            </a:ext>
          </a:extLst>
        </xdr:cNvPr>
        <xdr:cNvSpPr txBox="1">
          <a:spLocks noChangeAspect="1"/>
        </xdr:cNvSpPr>
      </xdr:nvSpPr>
      <xdr:spPr>
        <a:xfrm>
          <a:off x="808355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8" name="文字方塊 47">
          <a:extLst>
            <a:ext uri="{FF2B5EF4-FFF2-40B4-BE49-F238E27FC236}">
              <a16:creationId xmlns:a16="http://schemas.microsoft.com/office/drawing/2014/main" id="{4A96E393-0243-4491-8DBD-99AF9966CAE9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9" name="文字方塊 48">
          <a:extLst>
            <a:ext uri="{FF2B5EF4-FFF2-40B4-BE49-F238E27FC236}">
              <a16:creationId xmlns:a16="http://schemas.microsoft.com/office/drawing/2014/main" id="{82CCD028-8577-4DCB-ABA2-712CA735DBF3}"/>
            </a:ext>
          </a:extLst>
        </xdr:cNvPr>
        <xdr:cNvSpPr txBox="1">
          <a:spLocks noChangeAspect="1"/>
        </xdr:cNvSpPr>
      </xdr:nvSpPr>
      <xdr:spPr>
        <a:xfrm>
          <a:off x="808355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0" name="文字方塊 8">
          <a:extLst>
            <a:ext uri="{FF2B5EF4-FFF2-40B4-BE49-F238E27FC236}">
              <a16:creationId xmlns:a16="http://schemas.microsoft.com/office/drawing/2014/main" id="{258F5F53-7EE6-401C-8B30-D6E579817F60}"/>
            </a:ext>
          </a:extLst>
        </xdr:cNvPr>
        <xdr:cNvSpPr txBox="1"/>
      </xdr:nvSpPr>
      <xdr:spPr>
        <a:xfrm>
          <a:off x="808355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51" name="文字方塊 9">
          <a:extLst>
            <a:ext uri="{FF2B5EF4-FFF2-40B4-BE49-F238E27FC236}">
              <a16:creationId xmlns:a16="http://schemas.microsoft.com/office/drawing/2014/main" id="{02236BE7-848F-42A6-A39C-5F6B6C2A0989}"/>
            </a:ext>
          </a:extLst>
        </xdr:cNvPr>
        <xdr:cNvSpPr txBox="1">
          <a:spLocks noChangeAspect="1"/>
        </xdr:cNvSpPr>
      </xdr:nvSpPr>
      <xdr:spPr>
        <a:xfrm>
          <a:off x="808355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2" name="文字方塊 51">
          <a:extLst>
            <a:ext uri="{FF2B5EF4-FFF2-40B4-BE49-F238E27FC236}">
              <a16:creationId xmlns:a16="http://schemas.microsoft.com/office/drawing/2014/main" id="{2D09CB2D-3FF6-47F3-A5FE-17A2CBB32B66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3" name="文字方塊 52">
          <a:extLst>
            <a:ext uri="{FF2B5EF4-FFF2-40B4-BE49-F238E27FC236}">
              <a16:creationId xmlns:a16="http://schemas.microsoft.com/office/drawing/2014/main" id="{0CF99568-D25B-45E9-BA19-07024529CA4B}"/>
            </a:ext>
          </a:extLst>
        </xdr:cNvPr>
        <xdr:cNvSpPr txBox="1">
          <a:spLocks noChangeAspect="1"/>
        </xdr:cNvSpPr>
      </xdr:nvSpPr>
      <xdr:spPr>
        <a:xfrm>
          <a:off x="808355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07E68C20-843C-4D99-8BD9-76F008519A6A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076EA4D0-3158-4FB7-9858-12CB288807F6}"/>
            </a:ext>
          </a:extLst>
        </xdr:cNvPr>
        <xdr:cNvSpPr txBox="1">
          <a:spLocks noChangeAspect="1"/>
        </xdr:cNvSpPr>
      </xdr:nvSpPr>
      <xdr:spPr>
        <a:xfrm>
          <a:off x="808355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6" name="文字方塊 55">
          <a:extLst>
            <a:ext uri="{FF2B5EF4-FFF2-40B4-BE49-F238E27FC236}">
              <a16:creationId xmlns:a16="http://schemas.microsoft.com/office/drawing/2014/main" id="{7F91C6FE-7A03-4845-9134-4A4697BD3AB1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7" name="文字方塊 56">
          <a:extLst>
            <a:ext uri="{FF2B5EF4-FFF2-40B4-BE49-F238E27FC236}">
              <a16:creationId xmlns:a16="http://schemas.microsoft.com/office/drawing/2014/main" id="{9AEF3DAC-783B-4EFA-A936-532780BF6202}"/>
            </a:ext>
          </a:extLst>
        </xdr:cNvPr>
        <xdr:cNvSpPr txBox="1">
          <a:spLocks noChangeAspect="1"/>
        </xdr:cNvSpPr>
      </xdr:nvSpPr>
      <xdr:spPr>
        <a:xfrm>
          <a:off x="808355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8" name="文字方塊 8">
          <a:extLst>
            <a:ext uri="{FF2B5EF4-FFF2-40B4-BE49-F238E27FC236}">
              <a16:creationId xmlns:a16="http://schemas.microsoft.com/office/drawing/2014/main" id="{EDF0D337-5C64-4176-9420-78A15E126E44}"/>
            </a:ext>
          </a:extLst>
        </xdr:cNvPr>
        <xdr:cNvSpPr txBox="1"/>
      </xdr:nvSpPr>
      <xdr:spPr>
        <a:xfrm>
          <a:off x="808355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59" name="文字方塊 9">
          <a:extLst>
            <a:ext uri="{FF2B5EF4-FFF2-40B4-BE49-F238E27FC236}">
              <a16:creationId xmlns:a16="http://schemas.microsoft.com/office/drawing/2014/main" id="{0560926F-F2BC-460F-9666-6536692D6169}"/>
            </a:ext>
          </a:extLst>
        </xdr:cNvPr>
        <xdr:cNvSpPr txBox="1">
          <a:spLocks noChangeAspect="1"/>
        </xdr:cNvSpPr>
      </xdr:nvSpPr>
      <xdr:spPr>
        <a:xfrm>
          <a:off x="808355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0" name="文字方塊 59">
          <a:extLst>
            <a:ext uri="{FF2B5EF4-FFF2-40B4-BE49-F238E27FC236}">
              <a16:creationId xmlns:a16="http://schemas.microsoft.com/office/drawing/2014/main" id="{AFC2B544-82E5-44DE-8819-A7B41B7762AB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37F115DF-E3FB-4DCC-A91F-F4C91CD6AA26}"/>
            </a:ext>
          </a:extLst>
        </xdr:cNvPr>
        <xdr:cNvSpPr txBox="1">
          <a:spLocks noChangeAspect="1"/>
        </xdr:cNvSpPr>
      </xdr:nvSpPr>
      <xdr:spPr>
        <a:xfrm>
          <a:off x="808355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279BFA2D-E6E2-4CC8-BCCE-B41DEB22553D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3" name="文字方塊 62">
          <a:extLst>
            <a:ext uri="{FF2B5EF4-FFF2-40B4-BE49-F238E27FC236}">
              <a16:creationId xmlns:a16="http://schemas.microsoft.com/office/drawing/2014/main" id="{AC987CF7-69C2-4F3E-9D00-D02F350623C7}"/>
            </a:ext>
          </a:extLst>
        </xdr:cNvPr>
        <xdr:cNvSpPr txBox="1">
          <a:spLocks noChangeAspect="1"/>
        </xdr:cNvSpPr>
      </xdr:nvSpPr>
      <xdr:spPr>
        <a:xfrm>
          <a:off x="808355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4" name="文字方塊 63">
          <a:extLst>
            <a:ext uri="{FF2B5EF4-FFF2-40B4-BE49-F238E27FC236}">
              <a16:creationId xmlns:a16="http://schemas.microsoft.com/office/drawing/2014/main" id="{3B4DE7B9-5607-4317-83C9-04684D273B94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5" name="文字方塊 64">
          <a:extLst>
            <a:ext uri="{FF2B5EF4-FFF2-40B4-BE49-F238E27FC236}">
              <a16:creationId xmlns:a16="http://schemas.microsoft.com/office/drawing/2014/main" id="{1F6E232D-C69D-446C-A16B-89B3011CF675}"/>
            </a:ext>
          </a:extLst>
        </xdr:cNvPr>
        <xdr:cNvSpPr txBox="1">
          <a:spLocks noChangeAspect="1"/>
        </xdr:cNvSpPr>
      </xdr:nvSpPr>
      <xdr:spPr>
        <a:xfrm>
          <a:off x="808355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6" name="文字方塊 8">
          <a:extLst>
            <a:ext uri="{FF2B5EF4-FFF2-40B4-BE49-F238E27FC236}">
              <a16:creationId xmlns:a16="http://schemas.microsoft.com/office/drawing/2014/main" id="{572993EF-A88F-4132-9087-BFA13BF93B39}"/>
            </a:ext>
          </a:extLst>
        </xdr:cNvPr>
        <xdr:cNvSpPr txBox="1"/>
      </xdr:nvSpPr>
      <xdr:spPr>
        <a:xfrm>
          <a:off x="808355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67" name="文字方塊 9">
          <a:extLst>
            <a:ext uri="{FF2B5EF4-FFF2-40B4-BE49-F238E27FC236}">
              <a16:creationId xmlns:a16="http://schemas.microsoft.com/office/drawing/2014/main" id="{3EA1C863-7AAC-4830-9E29-4AF29FF7358E}"/>
            </a:ext>
          </a:extLst>
        </xdr:cNvPr>
        <xdr:cNvSpPr txBox="1">
          <a:spLocks noChangeAspect="1"/>
        </xdr:cNvSpPr>
      </xdr:nvSpPr>
      <xdr:spPr>
        <a:xfrm>
          <a:off x="808355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8" name="文字方塊 67">
          <a:extLst>
            <a:ext uri="{FF2B5EF4-FFF2-40B4-BE49-F238E27FC236}">
              <a16:creationId xmlns:a16="http://schemas.microsoft.com/office/drawing/2014/main" id="{0B40D200-06B4-4774-84DF-8567A3F4C2D3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BD3F3500-86D2-4756-9D9C-C9B99F1C9EAA}"/>
            </a:ext>
          </a:extLst>
        </xdr:cNvPr>
        <xdr:cNvSpPr txBox="1">
          <a:spLocks noChangeAspect="1"/>
        </xdr:cNvSpPr>
      </xdr:nvSpPr>
      <xdr:spPr>
        <a:xfrm>
          <a:off x="808355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52EA195B-009F-4D8B-AD46-3970A7D6DD90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8B9F47E7-4EED-4C3A-80DD-A3432564EE2F}"/>
            </a:ext>
          </a:extLst>
        </xdr:cNvPr>
        <xdr:cNvSpPr txBox="1">
          <a:spLocks noChangeAspect="1"/>
        </xdr:cNvSpPr>
      </xdr:nvSpPr>
      <xdr:spPr>
        <a:xfrm>
          <a:off x="808355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2" name="文字方塊 71">
          <a:extLst>
            <a:ext uri="{FF2B5EF4-FFF2-40B4-BE49-F238E27FC236}">
              <a16:creationId xmlns:a16="http://schemas.microsoft.com/office/drawing/2014/main" id="{15851C65-CDEC-4FEE-80A1-00FD20FC6579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3" name="文字方塊 8">
          <a:extLst>
            <a:ext uri="{FF2B5EF4-FFF2-40B4-BE49-F238E27FC236}">
              <a16:creationId xmlns:a16="http://schemas.microsoft.com/office/drawing/2014/main" id="{71B383F2-1A05-4AB8-ADA4-4D3CDD751DBB}"/>
            </a:ext>
          </a:extLst>
        </xdr:cNvPr>
        <xdr:cNvSpPr txBox="1"/>
      </xdr:nvSpPr>
      <xdr:spPr>
        <a:xfrm>
          <a:off x="808355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4" name="文字方塊 73">
          <a:extLst>
            <a:ext uri="{FF2B5EF4-FFF2-40B4-BE49-F238E27FC236}">
              <a16:creationId xmlns:a16="http://schemas.microsoft.com/office/drawing/2014/main" id="{CD00CDFD-D7DA-48C2-BC29-21FA04FFBDEB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5" name="文字方塊 74">
          <a:extLst>
            <a:ext uri="{FF2B5EF4-FFF2-40B4-BE49-F238E27FC236}">
              <a16:creationId xmlns:a16="http://schemas.microsoft.com/office/drawing/2014/main" id="{BD32D692-0E26-4EC4-ABC0-2A60A873D837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6" name="文字方塊 75">
          <a:extLst>
            <a:ext uri="{FF2B5EF4-FFF2-40B4-BE49-F238E27FC236}">
              <a16:creationId xmlns:a16="http://schemas.microsoft.com/office/drawing/2014/main" id="{7C3132BB-9CC0-4C99-B134-63CD23D463E4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7" name="文字方塊 8">
          <a:extLst>
            <a:ext uri="{FF2B5EF4-FFF2-40B4-BE49-F238E27FC236}">
              <a16:creationId xmlns:a16="http://schemas.microsoft.com/office/drawing/2014/main" id="{F657745F-EE93-44D2-8519-3D4CA780EF28}"/>
            </a:ext>
          </a:extLst>
        </xdr:cNvPr>
        <xdr:cNvSpPr txBox="1"/>
      </xdr:nvSpPr>
      <xdr:spPr>
        <a:xfrm>
          <a:off x="808355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8" name="文字方塊 77">
          <a:extLst>
            <a:ext uri="{FF2B5EF4-FFF2-40B4-BE49-F238E27FC236}">
              <a16:creationId xmlns:a16="http://schemas.microsoft.com/office/drawing/2014/main" id="{3A10FE19-6383-4B48-BEE0-47C01CECB866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9" name="文字方塊 78">
          <a:extLst>
            <a:ext uri="{FF2B5EF4-FFF2-40B4-BE49-F238E27FC236}">
              <a16:creationId xmlns:a16="http://schemas.microsoft.com/office/drawing/2014/main" id="{41E7D83A-4644-4A3B-8A3F-3D99D87970CB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0" name="文字方塊 79">
          <a:extLst>
            <a:ext uri="{FF2B5EF4-FFF2-40B4-BE49-F238E27FC236}">
              <a16:creationId xmlns:a16="http://schemas.microsoft.com/office/drawing/2014/main" id="{23C8E5F7-F87C-4BB2-B550-E8512CC8AF79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1" name="文字方塊 8">
          <a:extLst>
            <a:ext uri="{FF2B5EF4-FFF2-40B4-BE49-F238E27FC236}">
              <a16:creationId xmlns:a16="http://schemas.microsoft.com/office/drawing/2014/main" id="{0D758B61-66DC-4E6A-A7AE-DCB9707F6B4D}"/>
            </a:ext>
          </a:extLst>
        </xdr:cNvPr>
        <xdr:cNvSpPr txBox="1"/>
      </xdr:nvSpPr>
      <xdr:spPr>
        <a:xfrm>
          <a:off x="808355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2" name="文字方塊 81">
          <a:extLst>
            <a:ext uri="{FF2B5EF4-FFF2-40B4-BE49-F238E27FC236}">
              <a16:creationId xmlns:a16="http://schemas.microsoft.com/office/drawing/2014/main" id="{5CF67B54-6300-4FC7-97F6-6D18112B442C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3" name="文字方塊 82">
          <a:extLst>
            <a:ext uri="{FF2B5EF4-FFF2-40B4-BE49-F238E27FC236}">
              <a16:creationId xmlns:a16="http://schemas.microsoft.com/office/drawing/2014/main" id="{E15F9C76-C386-469F-BEB8-A19C03C6B7D7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4" name="文字方塊 83">
          <a:extLst>
            <a:ext uri="{FF2B5EF4-FFF2-40B4-BE49-F238E27FC236}">
              <a16:creationId xmlns:a16="http://schemas.microsoft.com/office/drawing/2014/main" id="{52C0122F-B6FF-4F1E-BA0C-A4C2C173773B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5" name="文字方塊 8">
          <a:extLst>
            <a:ext uri="{FF2B5EF4-FFF2-40B4-BE49-F238E27FC236}">
              <a16:creationId xmlns:a16="http://schemas.microsoft.com/office/drawing/2014/main" id="{A4E65B99-BDEF-4C52-80E4-E14FA46BA7B4}"/>
            </a:ext>
          </a:extLst>
        </xdr:cNvPr>
        <xdr:cNvSpPr txBox="1"/>
      </xdr:nvSpPr>
      <xdr:spPr>
        <a:xfrm>
          <a:off x="808355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6" name="文字方塊 85">
          <a:extLst>
            <a:ext uri="{FF2B5EF4-FFF2-40B4-BE49-F238E27FC236}">
              <a16:creationId xmlns:a16="http://schemas.microsoft.com/office/drawing/2014/main" id="{26E050B5-E3EE-4298-A5BE-530DE63A614E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7" name="文字方塊 86">
          <a:extLst>
            <a:ext uri="{FF2B5EF4-FFF2-40B4-BE49-F238E27FC236}">
              <a16:creationId xmlns:a16="http://schemas.microsoft.com/office/drawing/2014/main" id="{2A479434-692B-4060-9F68-C21E2AE80322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8" name="文字方塊 87">
          <a:extLst>
            <a:ext uri="{FF2B5EF4-FFF2-40B4-BE49-F238E27FC236}">
              <a16:creationId xmlns:a16="http://schemas.microsoft.com/office/drawing/2014/main" id="{82A8C545-C84A-4542-BF69-037DD36DBF8D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9" name="文字方塊 8">
          <a:extLst>
            <a:ext uri="{FF2B5EF4-FFF2-40B4-BE49-F238E27FC236}">
              <a16:creationId xmlns:a16="http://schemas.microsoft.com/office/drawing/2014/main" id="{CBF7D157-23F8-4CA1-BE09-39B49D00A5C8}"/>
            </a:ext>
          </a:extLst>
        </xdr:cNvPr>
        <xdr:cNvSpPr txBox="1"/>
      </xdr:nvSpPr>
      <xdr:spPr>
        <a:xfrm>
          <a:off x="808355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0" name="文字方塊 89">
          <a:extLst>
            <a:ext uri="{FF2B5EF4-FFF2-40B4-BE49-F238E27FC236}">
              <a16:creationId xmlns:a16="http://schemas.microsoft.com/office/drawing/2014/main" id="{FD446C7D-14A8-4615-937F-7A8DAC45C465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1" name="文字方塊 90">
          <a:extLst>
            <a:ext uri="{FF2B5EF4-FFF2-40B4-BE49-F238E27FC236}">
              <a16:creationId xmlns:a16="http://schemas.microsoft.com/office/drawing/2014/main" id="{A1616B5C-597F-4F97-8369-C51A7E1DC06C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2" name="文字方塊 91">
          <a:extLst>
            <a:ext uri="{FF2B5EF4-FFF2-40B4-BE49-F238E27FC236}">
              <a16:creationId xmlns:a16="http://schemas.microsoft.com/office/drawing/2014/main" id="{FA009BB1-BC3E-47CB-AE59-2C2CE47C2EE1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93" name="文字方塊 8">
          <a:extLst>
            <a:ext uri="{FF2B5EF4-FFF2-40B4-BE49-F238E27FC236}">
              <a16:creationId xmlns:a16="http://schemas.microsoft.com/office/drawing/2014/main" id="{D4AFAEB7-38F5-4D05-9801-D6548FAAC38D}"/>
            </a:ext>
          </a:extLst>
        </xdr:cNvPr>
        <xdr:cNvSpPr txBox="1"/>
      </xdr:nvSpPr>
      <xdr:spPr>
        <a:xfrm>
          <a:off x="808355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4" name="文字方塊 93">
          <a:extLst>
            <a:ext uri="{FF2B5EF4-FFF2-40B4-BE49-F238E27FC236}">
              <a16:creationId xmlns:a16="http://schemas.microsoft.com/office/drawing/2014/main" id="{C1B3F4A6-E287-4A01-992F-A473575FA9FC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5" name="文字方塊 94">
          <a:extLst>
            <a:ext uri="{FF2B5EF4-FFF2-40B4-BE49-F238E27FC236}">
              <a16:creationId xmlns:a16="http://schemas.microsoft.com/office/drawing/2014/main" id="{E398B334-D8BB-46C4-9840-E0A3A7A7DF25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6" name="文字方塊 95">
          <a:extLst>
            <a:ext uri="{FF2B5EF4-FFF2-40B4-BE49-F238E27FC236}">
              <a16:creationId xmlns:a16="http://schemas.microsoft.com/office/drawing/2014/main" id="{91A7B6F2-E355-464A-A60A-3C0BC9AF4131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7" name="文字方塊 96">
          <a:extLst>
            <a:ext uri="{FF2B5EF4-FFF2-40B4-BE49-F238E27FC236}">
              <a16:creationId xmlns:a16="http://schemas.microsoft.com/office/drawing/2014/main" id="{6111303A-192E-4F1F-B17D-77DF2F4FB89C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98" name="文字方塊 8">
          <a:extLst>
            <a:ext uri="{FF2B5EF4-FFF2-40B4-BE49-F238E27FC236}">
              <a16:creationId xmlns:a16="http://schemas.microsoft.com/office/drawing/2014/main" id="{787AE9BB-E797-4D39-9C7B-3F1E8325B15D}"/>
            </a:ext>
          </a:extLst>
        </xdr:cNvPr>
        <xdr:cNvSpPr txBox="1"/>
      </xdr:nvSpPr>
      <xdr:spPr>
        <a:xfrm>
          <a:off x="808355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9" name="文字方塊 98">
          <a:extLst>
            <a:ext uri="{FF2B5EF4-FFF2-40B4-BE49-F238E27FC236}">
              <a16:creationId xmlns:a16="http://schemas.microsoft.com/office/drawing/2014/main" id="{9E4A2551-0089-44BF-888E-5BF742DC7F26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0" name="文字方塊 99">
          <a:extLst>
            <a:ext uri="{FF2B5EF4-FFF2-40B4-BE49-F238E27FC236}">
              <a16:creationId xmlns:a16="http://schemas.microsoft.com/office/drawing/2014/main" id="{FD4E0DAE-5B41-444D-8267-1598359E8439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1" name="文字方塊 100">
          <a:extLst>
            <a:ext uri="{FF2B5EF4-FFF2-40B4-BE49-F238E27FC236}">
              <a16:creationId xmlns:a16="http://schemas.microsoft.com/office/drawing/2014/main" id="{17AAF622-3EE1-4191-A1E5-5E057FF5257C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2" name="文字方塊 8">
          <a:extLst>
            <a:ext uri="{FF2B5EF4-FFF2-40B4-BE49-F238E27FC236}">
              <a16:creationId xmlns:a16="http://schemas.microsoft.com/office/drawing/2014/main" id="{D03123C2-F993-49D8-817B-AA0FBDFC6962}"/>
            </a:ext>
          </a:extLst>
        </xdr:cNvPr>
        <xdr:cNvSpPr txBox="1"/>
      </xdr:nvSpPr>
      <xdr:spPr>
        <a:xfrm>
          <a:off x="808355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3" name="文字方塊 102">
          <a:extLst>
            <a:ext uri="{FF2B5EF4-FFF2-40B4-BE49-F238E27FC236}">
              <a16:creationId xmlns:a16="http://schemas.microsoft.com/office/drawing/2014/main" id="{BF6CFB21-DA69-4C43-BB71-DB4B24CF0A6C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4" name="文字方塊 103">
          <a:extLst>
            <a:ext uri="{FF2B5EF4-FFF2-40B4-BE49-F238E27FC236}">
              <a16:creationId xmlns:a16="http://schemas.microsoft.com/office/drawing/2014/main" id="{02DA6959-0D95-4CEB-B9C9-6130F2DD8601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5" name="文字方塊 104">
          <a:extLst>
            <a:ext uri="{FF2B5EF4-FFF2-40B4-BE49-F238E27FC236}">
              <a16:creationId xmlns:a16="http://schemas.microsoft.com/office/drawing/2014/main" id="{2C599D86-0FB3-448B-B9EB-018B2C2E3F93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6" name="文字方塊 8">
          <a:extLst>
            <a:ext uri="{FF2B5EF4-FFF2-40B4-BE49-F238E27FC236}">
              <a16:creationId xmlns:a16="http://schemas.microsoft.com/office/drawing/2014/main" id="{21C3FEDE-1509-41F8-B4A6-AB9CBBBD7295}"/>
            </a:ext>
          </a:extLst>
        </xdr:cNvPr>
        <xdr:cNvSpPr txBox="1"/>
      </xdr:nvSpPr>
      <xdr:spPr>
        <a:xfrm>
          <a:off x="808355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7" name="文字方塊 106">
          <a:extLst>
            <a:ext uri="{FF2B5EF4-FFF2-40B4-BE49-F238E27FC236}">
              <a16:creationId xmlns:a16="http://schemas.microsoft.com/office/drawing/2014/main" id="{FE7458C6-68FC-4141-B914-C685CAD04F3F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8" name="文字方塊 107">
          <a:extLst>
            <a:ext uri="{FF2B5EF4-FFF2-40B4-BE49-F238E27FC236}">
              <a16:creationId xmlns:a16="http://schemas.microsoft.com/office/drawing/2014/main" id="{F388CD1F-3D27-49F0-92E4-D664F99CE60B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9" name="文字方塊 108">
          <a:extLst>
            <a:ext uri="{FF2B5EF4-FFF2-40B4-BE49-F238E27FC236}">
              <a16:creationId xmlns:a16="http://schemas.microsoft.com/office/drawing/2014/main" id="{25C6641E-275C-497B-B4C1-C25FB70169FA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10" name="文字方塊 8">
          <a:extLst>
            <a:ext uri="{FF2B5EF4-FFF2-40B4-BE49-F238E27FC236}">
              <a16:creationId xmlns:a16="http://schemas.microsoft.com/office/drawing/2014/main" id="{29AE2A48-EC17-4BD0-8AF4-8A167E856342}"/>
            </a:ext>
          </a:extLst>
        </xdr:cNvPr>
        <xdr:cNvSpPr txBox="1"/>
      </xdr:nvSpPr>
      <xdr:spPr>
        <a:xfrm>
          <a:off x="808355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1" name="文字方塊 110">
          <a:extLst>
            <a:ext uri="{FF2B5EF4-FFF2-40B4-BE49-F238E27FC236}">
              <a16:creationId xmlns:a16="http://schemas.microsoft.com/office/drawing/2014/main" id="{EEB34112-22C6-47E5-812F-D42959BED200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2" name="文字方塊 111">
          <a:extLst>
            <a:ext uri="{FF2B5EF4-FFF2-40B4-BE49-F238E27FC236}">
              <a16:creationId xmlns:a16="http://schemas.microsoft.com/office/drawing/2014/main" id="{4B04127B-4CE1-4AE2-AA63-7248131F8718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3" name="文字方塊 112">
          <a:extLst>
            <a:ext uri="{FF2B5EF4-FFF2-40B4-BE49-F238E27FC236}">
              <a16:creationId xmlns:a16="http://schemas.microsoft.com/office/drawing/2014/main" id="{EF029A29-E0AB-4688-BCCB-B2DF6B537CF4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14" name="文字方塊 8">
          <a:extLst>
            <a:ext uri="{FF2B5EF4-FFF2-40B4-BE49-F238E27FC236}">
              <a16:creationId xmlns:a16="http://schemas.microsoft.com/office/drawing/2014/main" id="{9A1564BA-3C68-4E72-ABE4-8C5E71BB1943}"/>
            </a:ext>
          </a:extLst>
        </xdr:cNvPr>
        <xdr:cNvSpPr txBox="1"/>
      </xdr:nvSpPr>
      <xdr:spPr>
        <a:xfrm>
          <a:off x="808355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5" name="文字方塊 114">
          <a:extLst>
            <a:ext uri="{FF2B5EF4-FFF2-40B4-BE49-F238E27FC236}">
              <a16:creationId xmlns:a16="http://schemas.microsoft.com/office/drawing/2014/main" id="{BE019B7F-6948-4E90-ABCD-8DB0EBA70ED5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6" name="文字方塊 115">
          <a:extLst>
            <a:ext uri="{FF2B5EF4-FFF2-40B4-BE49-F238E27FC236}">
              <a16:creationId xmlns:a16="http://schemas.microsoft.com/office/drawing/2014/main" id="{82163B2A-295B-4770-A3FF-3191C799F4B7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7" name="文字方塊 116">
          <a:extLst>
            <a:ext uri="{FF2B5EF4-FFF2-40B4-BE49-F238E27FC236}">
              <a16:creationId xmlns:a16="http://schemas.microsoft.com/office/drawing/2014/main" id="{535F381A-8E1B-4D16-AF8B-AB76F803324B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18" name="文字方塊 8">
          <a:extLst>
            <a:ext uri="{FF2B5EF4-FFF2-40B4-BE49-F238E27FC236}">
              <a16:creationId xmlns:a16="http://schemas.microsoft.com/office/drawing/2014/main" id="{9581028B-5761-41AC-B82D-26577B509028}"/>
            </a:ext>
          </a:extLst>
        </xdr:cNvPr>
        <xdr:cNvSpPr txBox="1"/>
      </xdr:nvSpPr>
      <xdr:spPr>
        <a:xfrm>
          <a:off x="808355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9" name="文字方塊 118">
          <a:extLst>
            <a:ext uri="{FF2B5EF4-FFF2-40B4-BE49-F238E27FC236}">
              <a16:creationId xmlns:a16="http://schemas.microsoft.com/office/drawing/2014/main" id="{F2B1A5D6-D9DC-4543-A98F-249355D79812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0" name="文字方塊 119">
          <a:extLst>
            <a:ext uri="{FF2B5EF4-FFF2-40B4-BE49-F238E27FC236}">
              <a16:creationId xmlns:a16="http://schemas.microsoft.com/office/drawing/2014/main" id="{BE8576FD-E753-4972-AEB7-B3C2561F40CD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1" name="文字方塊 120">
          <a:extLst>
            <a:ext uri="{FF2B5EF4-FFF2-40B4-BE49-F238E27FC236}">
              <a16:creationId xmlns:a16="http://schemas.microsoft.com/office/drawing/2014/main" id="{77506779-D0AC-4316-92EE-52563E25A95F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22" name="文字方塊 8">
          <a:extLst>
            <a:ext uri="{FF2B5EF4-FFF2-40B4-BE49-F238E27FC236}">
              <a16:creationId xmlns:a16="http://schemas.microsoft.com/office/drawing/2014/main" id="{F7DCBD8F-5B5A-4D5D-8DB1-AD635DEC81BB}"/>
            </a:ext>
          </a:extLst>
        </xdr:cNvPr>
        <xdr:cNvSpPr txBox="1"/>
      </xdr:nvSpPr>
      <xdr:spPr>
        <a:xfrm>
          <a:off x="808355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3" name="文字方塊 122">
          <a:extLst>
            <a:ext uri="{FF2B5EF4-FFF2-40B4-BE49-F238E27FC236}">
              <a16:creationId xmlns:a16="http://schemas.microsoft.com/office/drawing/2014/main" id="{8B47EC19-CB3C-4338-9F8B-D46719B643D9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4" name="文字方塊 123">
          <a:extLst>
            <a:ext uri="{FF2B5EF4-FFF2-40B4-BE49-F238E27FC236}">
              <a16:creationId xmlns:a16="http://schemas.microsoft.com/office/drawing/2014/main" id="{05EE183E-9196-4B9C-AAE0-4C576752ED0E}"/>
            </a:ext>
          </a:extLst>
        </xdr:cNvPr>
        <xdr:cNvSpPr txBox="1"/>
      </xdr:nvSpPr>
      <xdr:spPr>
        <a:xfrm>
          <a:off x="808355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374BFD91-739E-45EB-B76B-49DA7F4FCF25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55F48094-4397-4965-ABAB-929240C03025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twoCellAnchor editAs="oneCell">
    <xdr:from>
      <xdr:col>3</xdr:col>
      <xdr:colOff>123269</xdr:colOff>
      <xdr:row>1</xdr:row>
      <xdr:rowOff>56021</xdr:rowOff>
    </xdr:from>
    <xdr:to>
      <xdr:col>5</xdr:col>
      <xdr:colOff>669622</xdr:colOff>
      <xdr:row>3</xdr:row>
      <xdr:rowOff>260660</xdr:rowOff>
    </xdr:to>
    <xdr:sp macro="[0]!auto_length" textlink="">
      <xdr:nvSpPr>
        <xdr:cNvPr id="4" name="矩形 3">
          <a:extLst>
            <a:ext uri="{FF2B5EF4-FFF2-40B4-BE49-F238E27FC236}">
              <a16:creationId xmlns:a16="http://schemas.microsoft.com/office/drawing/2014/main" id="{57ACF11A-A61E-4D9B-AA67-13A8204657D6}"/>
            </a:ext>
          </a:extLst>
        </xdr:cNvPr>
        <xdr:cNvSpPr>
          <a:spLocks noChangeAspect="1"/>
        </xdr:cNvSpPr>
      </xdr:nvSpPr>
      <xdr:spPr>
        <a:xfrm>
          <a:off x="946229" y="360821"/>
          <a:ext cx="2161793" cy="656396"/>
        </a:xfrm>
        <a:prstGeom prst="rect">
          <a:avLst/>
        </a:prstGeom>
        <a:solidFill>
          <a:schemeClr val="bg1"/>
        </a:solidFill>
        <a:ln w="38100">
          <a:solidFill>
            <a:schemeClr val="accent2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2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計算長度</a:t>
          </a:r>
        </a:p>
      </xdr:txBody>
    </xdr:sp>
    <xdr:clientData/>
  </xdr:twoCellAnchor>
  <xdr:oneCellAnchor>
    <xdr:from>
      <xdr:col>13</xdr:col>
      <xdr:colOff>134475</xdr:colOff>
      <xdr:row>1</xdr:row>
      <xdr:rowOff>56021</xdr:rowOff>
    </xdr:from>
    <xdr:ext cx="2160000" cy="360000"/>
    <xdr:sp macro="[0]!auto_angle" textlink="">
      <xdr:nvSpPr>
        <xdr:cNvPr id="5" name="矩形 4">
          <a:extLst>
            <a:ext uri="{FF2B5EF4-FFF2-40B4-BE49-F238E27FC236}">
              <a16:creationId xmlns:a16="http://schemas.microsoft.com/office/drawing/2014/main" id="{B36D37DA-B386-40B1-9174-98DCCE946E0D}"/>
            </a:ext>
          </a:extLst>
        </xdr:cNvPr>
        <xdr:cNvSpPr>
          <a:spLocks noChangeAspect="1"/>
        </xdr:cNvSpPr>
      </xdr:nvSpPr>
      <xdr:spPr>
        <a:xfrm>
          <a:off x="6215235" y="360821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4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計算角度</a:t>
          </a:r>
          <a:r>
            <a:rPr lang="en-US" altLang="zh-TW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(°)</a:t>
          </a:r>
          <a:endParaRPr lang="zh-TW" altLang="en-US" sz="1600" b="1">
            <a:solidFill>
              <a:schemeClr val="accent4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oneCellAnchor>
  <xdr:oneCellAnchor>
    <xdr:from>
      <xdr:col>24</xdr:col>
      <xdr:colOff>134475</xdr:colOff>
      <xdr:row>1</xdr:row>
      <xdr:rowOff>56022</xdr:rowOff>
    </xdr:from>
    <xdr:ext cx="2160000" cy="360000"/>
    <xdr:sp macro="[0]!auto_area" textlink="">
      <xdr:nvSpPr>
        <xdr:cNvPr id="6" name="矩形 5">
          <a:extLst>
            <a:ext uri="{FF2B5EF4-FFF2-40B4-BE49-F238E27FC236}">
              <a16:creationId xmlns:a16="http://schemas.microsoft.com/office/drawing/2014/main" id="{1FBC8BF1-5506-41AC-802C-C7567E4F17C7}"/>
            </a:ext>
          </a:extLst>
        </xdr:cNvPr>
        <xdr:cNvSpPr>
          <a:spLocks noChangeAspect="1"/>
        </xdr:cNvSpPr>
      </xdr:nvSpPr>
      <xdr:spPr>
        <a:xfrm>
          <a:off x="11747355" y="360822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6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計算面積</a:t>
          </a:r>
        </a:p>
      </xdr:txBody>
    </xdr:sp>
    <xdr:clientData/>
  </xdr:oneCellAnchor>
  <xdr:twoCellAnchor editAs="oneCell">
    <xdr:from>
      <xdr:col>6</xdr:col>
      <xdr:colOff>85169</xdr:colOff>
      <xdr:row>1</xdr:row>
      <xdr:rowOff>51539</xdr:rowOff>
    </xdr:from>
    <xdr:to>
      <xdr:col>7</xdr:col>
      <xdr:colOff>718346</xdr:colOff>
      <xdr:row>3</xdr:row>
      <xdr:rowOff>256178</xdr:rowOff>
    </xdr:to>
    <xdr:sp macro="[0]!clear_length" textlink="">
      <xdr:nvSpPr>
        <xdr:cNvPr id="7" name="矩形 6">
          <a:extLst>
            <a:ext uri="{FF2B5EF4-FFF2-40B4-BE49-F238E27FC236}">
              <a16:creationId xmlns:a16="http://schemas.microsoft.com/office/drawing/2014/main" id="{DB53D49B-EA5F-499E-9B54-0CED0F37373C}"/>
            </a:ext>
          </a:extLst>
        </xdr:cNvPr>
        <xdr:cNvSpPr>
          <a:spLocks/>
        </xdr:cNvSpPr>
      </xdr:nvSpPr>
      <xdr:spPr>
        <a:xfrm>
          <a:off x="3331289" y="356339"/>
          <a:ext cx="1440897" cy="656396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twoCellAnchor>
  <xdr:oneCellAnchor>
    <xdr:from>
      <xdr:col>16</xdr:col>
      <xdr:colOff>85169</xdr:colOff>
      <xdr:row>1</xdr:row>
      <xdr:rowOff>51539</xdr:rowOff>
    </xdr:from>
    <xdr:ext cx="1440000" cy="360000"/>
    <xdr:sp macro="[0]!clear_angle" textlink="">
      <xdr:nvSpPr>
        <xdr:cNvPr id="8" name="矩形 7">
          <a:extLst>
            <a:ext uri="{FF2B5EF4-FFF2-40B4-BE49-F238E27FC236}">
              <a16:creationId xmlns:a16="http://schemas.microsoft.com/office/drawing/2014/main" id="{A5950E7E-371E-4081-83C6-7F8DCDB828DA}"/>
            </a:ext>
          </a:extLst>
        </xdr:cNvPr>
        <xdr:cNvSpPr>
          <a:spLocks/>
        </xdr:cNvSpPr>
      </xdr:nvSpPr>
      <xdr:spPr>
        <a:xfrm>
          <a:off x="8589089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27</xdr:col>
      <xdr:colOff>85169</xdr:colOff>
      <xdr:row>1</xdr:row>
      <xdr:rowOff>51539</xdr:rowOff>
    </xdr:from>
    <xdr:ext cx="1440000" cy="360000"/>
    <xdr:sp macro="[0]!clear_area" textlink="">
      <xdr:nvSpPr>
        <xdr:cNvPr id="9" name="矩形 8">
          <a:extLst>
            <a:ext uri="{FF2B5EF4-FFF2-40B4-BE49-F238E27FC236}">
              <a16:creationId xmlns:a16="http://schemas.microsoft.com/office/drawing/2014/main" id="{5FBD0AA4-4E4B-457B-8F78-80CF8D6CFA43}"/>
            </a:ext>
          </a:extLst>
        </xdr:cNvPr>
        <xdr:cNvSpPr>
          <a:spLocks/>
        </xdr:cNvSpPr>
      </xdr:nvSpPr>
      <xdr:spPr>
        <a:xfrm>
          <a:off x="14121209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2261A361-BEED-4E0B-95CA-8AFD1712BC65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DF31B0AB-9B4E-4949-B062-D858F3C1D79A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442BC2F1-6460-4DD3-B673-43E2D7A406F9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EE3EEBB0-7118-450D-AEC8-D06232298EE3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CF07F5E4-D603-4E23-883A-536C5E47CFB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E2784D4B-B124-4E52-A353-860487ED984D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6" name="文字方塊 8">
          <a:extLst>
            <a:ext uri="{FF2B5EF4-FFF2-40B4-BE49-F238E27FC236}">
              <a16:creationId xmlns:a16="http://schemas.microsoft.com/office/drawing/2014/main" id="{4755ACDE-5379-4B33-9F8F-30060C8C50CE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7" name="文字方塊 9">
          <a:extLst>
            <a:ext uri="{FF2B5EF4-FFF2-40B4-BE49-F238E27FC236}">
              <a16:creationId xmlns:a16="http://schemas.microsoft.com/office/drawing/2014/main" id="{C28EEE5F-9775-4033-BB7E-A339235750D6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56BE9D0C-DCB1-4E17-841E-8909E15893E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6D6DC267-01C9-427A-B841-A16EBDEE90D6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2EA64D60-7A39-43F7-9953-19A45EEAC8D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0814911A-542A-4B7C-AD8D-CD4EA07FACC0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1FBC061C-8B56-4731-92EC-78C105F511C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33DC3B7B-529B-49A1-BAEF-52946F51B46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4" name="文字方塊 8">
          <a:extLst>
            <a:ext uri="{FF2B5EF4-FFF2-40B4-BE49-F238E27FC236}">
              <a16:creationId xmlns:a16="http://schemas.microsoft.com/office/drawing/2014/main" id="{6E121CB5-AD2A-476E-AE49-A378C17322C6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5" name="文字方塊 9">
          <a:extLst>
            <a:ext uri="{FF2B5EF4-FFF2-40B4-BE49-F238E27FC236}">
              <a16:creationId xmlns:a16="http://schemas.microsoft.com/office/drawing/2014/main" id="{B066962C-8B86-4A3F-B318-DD61F36B150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4E9E198A-56F7-4F75-8A47-967FAB0D91A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FF108B48-EEEC-4030-8CFA-E91FB3CC577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A7E26A2A-DFA3-4BC1-B8E2-8928113A5DD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72B8DDD8-CE0E-49B3-8B64-4809FBA0DBB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675890D8-68AF-4566-87D8-ED565C7BD0A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1D2C2EEA-A7BA-43C1-AC9B-7AC16327335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2" name="文字方塊 31">
          <a:extLst>
            <a:ext uri="{FF2B5EF4-FFF2-40B4-BE49-F238E27FC236}">
              <a16:creationId xmlns:a16="http://schemas.microsoft.com/office/drawing/2014/main" id="{B418AE6D-C969-4B44-8264-19BD14D2EA9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3" name="文字方塊 32">
          <a:extLst>
            <a:ext uri="{FF2B5EF4-FFF2-40B4-BE49-F238E27FC236}">
              <a16:creationId xmlns:a16="http://schemas.microsoft.com/office/drawing/2014/main" id="{224A8A27-45C1-4435-A784-AE1ABD36287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34" name="文字方塊 8">
          <a:extLst>
            <a:ext uri="{FF2B5EF4-FFF2-40B4-BE49-F238E27FC236}">
              <a16:creationId xmlns:a16="http://schemas.microsoft.com/office/drawing/2014/main" id="{D6421D82-593F-4264-837C-93B51DBADEB5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35" name="文字方塊 9">
          <a:extLst>
            <a:ext uri="{FF2B5EF4-FFF2-40B4-BE49-F238E27FC236}">
              <a16:creationId xmlns:a16="http://schemas.microsoft.com/office/drawing/2014/main" id="{24733C93-BF57-4CF8-9A7B-2204936F895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6" name="文字方塊 35">
          <a:extLst>
            <a:ext uri="{FF2B5EF4-FFF2-40B4-BE49-F238E27FC236}">
              <a16:creationId xmlns:a16="http://schemas.microsoft.com/office/drawing/2014/main" id="{547461F4-8446-4539-A734-A3E769C8588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61B9425E-95BD-462D-AB1D-3192457802A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58422FCA-32F6-4CAD-B9D8-A881B5FC9D3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9ED87DF2-C16D-4558-B272-90B1563DCC2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0" name="文字方塊 39">
          <a:extLst>
            <a:ext uri="{FF2B5EF4-FFF2-40B4-BE49-F238E27FC236}">
              <a16:creationId xmlns:a16="http://schemas.microsoft.com/office/drawing/2014/main" id="{CD819142-4686-4C62-A7CE-C432F543472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1" name="文字方塊 40">
          <a:extLst>
            <a:ext uri="{FF2B5EF4-FFF2-40B4-BE49-F238E27FC236}">
              <a16:creationId xmlns:a16="http://schemas.microsoft.com/office/drawing/2014/main" id="{88E10315-7549-4311-9DF1-861EC622ADD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2" name="文字方塊 8">
          <a:extLst>
            <a:ext uri="{FF2B5EF4-FFF2-40B4-BE49-F238E27FC236}">
              <a16:creationId xmlns:a16="http://schemas.microsoft.com/office/drawing/2014/main" id="{CFE3ECB6-392C-4959-B778-0658C06E63C5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3" name="文字方塊 9">
          <a:extLst>
            <a:ext uri="{FF2B5EF4-FFF2-40B4-BE49-F238E27FC236}">
              <a16:creationId xmlns:a16="http://schemas.microsoft.com/office/drawing/2014/main" id="{560CFB30-427E-45C8-BF03-ADBD5E3C7B4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54D4CDDD-AB1F-418B-A382-A886039E64C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5" name="文字方塊 44">
          <a:extLst>
            <a:ext uri="{FF2B5EF4-FFF2-40B4-BE49-F238E27FC236}">
              <a16:creationId xmlns:a16="http://schemas.microsoft.com/office/drawing/2014/main" id="{B84F958F-F899-4E4A-8FE8-CB76824861D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9C5FDEE1-61B9-42A8-AC40-C33EF233823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8D63667E-5A24-40E6-8FD2-4CC3E3E0BC6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8" name="文字方塊 47">
          <a:extLst>
            <a:ext uri="{FF2B5EF4-FFF2-40B4-BE49-F238E27FC236}">
              <a16:creationId xmlns:a16="http://schemas.microsoft.com/office/drawing/2014/main" id="{5DC1D1A0-C896-4887-A53C-E5487D2F94F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9" name="文字方塊 48">
          <a:extLst>
            <a:ext uri="{FF2B5EF4-FFF2-40B4-BE49-F238E27FC236}">
              <a16:creationId xmlns:a16="http://schemas.microsoft.com/office/drawing/2014/main" id="{77D1157C-A9BD-4C32-8379-701712698A3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0" name="文字方塊 8">
          <a:extLst>
            <a:ext uri="{FF2B5EF4-FFF2-40B4-BE49-F238E27FC236}">
              <a16:creationId xmlns:a16="http://schemas.microsoft.com/office/drawing/2014/main" id="{77E90ED5-7DA9-411D-8B42-91470663F00B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51" name="文字方塊 9">
          <a:extLst>
            <a:ext uri="{FF2B5EF4-FFF2-40B4-BE49-F238E27FC236}">
              <a16:creationId xmlns:a16="http://schemas.microsoft.com/office/drawing/2014/main" id="{8C29911C-4479-43C8-92AC-8FE7F76851C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2" name="文字方塊 51">
          <a:extLst>
            <a:ext uri="{FF2B5EF4-FFF2-40B4-BE49-F238E27FC236}">
              <a16:creationId xmlns:a16="http://schemas.microsoft.com/office/drawing/2014/main" id="{B19C2EE5-889D-444B-984C-8EE95578209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3" name="文字方塊 52">
          <a:extLst>
            <a:ext uri="{FF2B5EF4-FFF2-40B4-BE49-F238E27FC236}">
              <a16:creationId xmlns:a16="http://schemas.microsoft.com/office/drawing/2014/main" id="{B310C773-3D78-47FF-9782-5877BD8A7BD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625510EB-9779-444A-B9C9-C49DB583893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F79D07F3-92D6-417C-8B9A-9324390767F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6" name="文字方塊 55">
          <a:extLst>
            <a:ext uri="{FF2B5EF4-FFF2-40B4-BE49-F238E27FC236}">
              <a16:creationId xmlns:a16="http://schemas.microsoft.com/office/drawing/2014/main" id="{8503F362-6D73-48C6-97C0-CC1925B1130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7" name="文字方塊 56">
          <a:extLst>
            <a:ext uri="{FF2B5EF4-FFF2-40B4-BE49-F238E27FC236}">
              <a16:creationId xmlns:a16="http://schemas.microsoft.com/office/drawing/2014/main" id="{A7679EBE-9C0A-4BC6-9E7B-9109C6FD6E3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8" name="文字方塊 8">
          <a:extLst>
            <a:ext uri="{FF2B5EF4-FFF2-40B4-BE49-F238E27FC236}">
              <a16:creationId xmlns:a16="http://schemas.microsoft.com/office/drawing/2014/main" id="{E3F0E104-F75D-4969-A075-350BE1371E51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59" name="文字方塊 9">
          <a:extLst>
            <a:ext uri="{FF2B5EF4-FFF2-40B4-BE49-F238E27FC236}">
              <a16:creationId xmlns:a16="http://schemas.microsoft.com/office/drawing/2014/main" id="{22896BCE-6E37-45A5-AEB0-978E9641274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0" name="文字方塊 59">
          <a:extLst>
            <a:ext uri="{FF2B5EF4-FFF2-40B4-BE49-F238E27FC236}">
              <a16:creationId xmlns:a16="http://schemas.microsoft.com/office/drawing/2014/main" id="{A782F62D-51AF-4FC2-87C8-F0DD18610AB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4E00FD65-842F-476D-B25D-61A02591701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4C3D0887-3E00-451D-8011-8E86464E378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3" name="文字方塊 62">
          <a:extLst>
            <a:ext uri="{FF2B5EF4-FFF2-40B4-BE49-F238E27FC236}">
              <a16:creationId xmlns:a16="http://schemas.microsoft.com/office/drawing/2014/main" id="{B937CF5B-4F9C-4E13-AD84-CF43E97E78C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4" name="文字方塊 63">
          <a:extLst>
            <a:ext uri="{FF2B5EF4-FFF2-40B4-BE49-F238E27FC236}">
              <a16:creationId xmlns:a16="http://schemas.microsoft.com/office/drawing/2014/main" id="{A7BBB8B5-194E-4535-864C-0E11DA2A7DD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5" name="文字方塊 64">
          <a:extLst>
            <a:ext uri="{FF2B5EF4-FFF2-40B4-BE49-F238E27FC236}">
              <a16:creationId xmlns:a16="http://schemas.microsoft.com/office/drawing/2014/main" id="{B2D03709-ADAE-49BC-B5EE-E2CAC972668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6" name="文字方塊 8">
          <a:extLst>
            <a:ext uri="{FF2B5EF4-FFF2-40B4-BE49-F238E27FC236}">
              <a16:creationId xmlns:a16="http://schemas.microsoft.com/office/drawing/2014/main" id="{63F97F46-5BF2-4B24-947F-BF2DD9B5A7A9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67" name="文字方塊 9">
          <a:extLst>
            <a:ext uri="{FF2B5EF4-FFF2-40B4-BE49-F238E27FC236}">
              <a16:creationId xmlns:a16="http://schemas.microsoft.com/office/drawing/2014/main" id="{D06C6558-9CDA-4B2F-B1D8-962133469FE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8" name="文字方塊 67">
          <a:extLst>
            <a:ext uri="{FF2B5EF4-FFF2-40B4-BE49-F238E27FC236}">
              <a16:creationId xmlns:a16="http://schemas.microsoft.com/office/drawing/2014/main" id="{9542B6A4-3AA1-4175-8A30-49C48D90D47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7998E3CE-F956-4C50-84DF-CFAD92A65FB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556532AC-B13A-4978-B2A7-CAF3AF6EAB1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2BDA9A21-F99D-4C34-98F5-4D42466DA39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2" name="文字方塊 71">
          <a:extLst>
            <a:ext uri="{FF2B5EF4-FFF2-40B4-BE49-F238E27FC236}">
              <a16:creationId xmlns:a16="http://schemas.microsoft.com/office/drawing/2014/main" id="{9CF55730-5559-4215-B6AA-004D7CC5162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3" name="文字方塊 8">
          <a:extLst>
            <a:ext uri="{FF2B5EF4-FFF2-40B4-BE49-F238E27FC236}">
              <a16:creationId xmlns:a16="http://schemas.microsoft.com/office/drawing/2014/main" id="{0F4689B0-6A83-497C-9B5A-20392FC79D4C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4" name="文字方塊 73">
          <a:extLst>
            <a:ext uri="{FF2B5EF4-FFF2-40B4-BE49-F238E27FC236}">
              <a16:creationId xmlns:a16="http://schemas.microsoft.com/office/drawing/2014/main" id="{59B9B37B-2402-45A9-9867-A1F576C24DA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5" name="文字方塊 74">
          <a:extLst>
            <a:ext uri="{FF2B5EF4-FFF2-40B4-BE49-F238E27FC236}">
              <a16:creationId xmlns:a16="http://schemas.microsoft.com/office/drawing/2014/main" id="{88E39352-0A94-47A0-BB91-253C9AA65EE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6" name="文字方塊 75">
          <a:extLst>
            <a:ext uri="{FF2B5EF4-FFF2-40B4-BE49-F238E27FC236}">
              <a16:creationId xmlns:a16="http://schemas.microsoft.com/office/drawing/2014/main" id="{FE2EC653-8C77-4EAB-80C4-9CC9F197F44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7" name="文字方塊 8">
          <a:extLst>
            <a:ext uri="{FF2B5EF4-FFF2-40B4-BE49-F238E27FC236}">
              <a16:creationId xmlns:a16="http://schemas.microsoft.com/office/drawing/2014/main" id="{CFA3BDA4-C0FB-47A1-AC17-4AD90CAA5806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8" name="文字方塊 77">
          <a:extLst>
            <a:ext uri="{FF2B5EF4-FFF2-40B4-BE49-F238E27FC236}">
              <a16:creationId xmlns:a16="http://schemas.microsoft.com/office/drawing/2014/main" id="{1D1D815C-0840-44BD-A6E9-73F283FED31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9" name="文字方塊 78">
          <a:extLst>
            <a:ext uri="{FF2B5EF4-FFF2-40B4-BE49-F238E27FC236}">
              <a16:creationId xmlns:a16="http://schemas.microsoft.com/office/drawing/2014/main" id="{8EA0490B-3ECC-423B-B676-365FA6FBBD4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0" name="文字方塊 79">
          <a:extLst>
            <a:ext uri="{FF2B5EF4-FFF2-40B4-BE49-F238E27FC236}">
              <a16:creationId xmlns:a16="http://schemas.microsoft.com/office/drawing/2014/main" id="{1E1AF9E1-79D3-4350-B828-0876FB36A69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1" name="文字方塊 8">
          <a:extLst>
            <a:ext uri="{FF2B5EF4-FFF2-40B4-BE49-F238E27FC236}">
              <a16:creationId xmlns:a16="http://schemas.microsoft.com/office/drawing/2014/main" id="{ADF6327F-A6E8-4428-A807-C6E269743331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2" name="文字方塊 81">
          <a:extLst>
            <a:ext uri="{FF2B5EF4-FFF2-40B4-BE49-F238E27FC236}">
              <a16:creationId xmlns:a16="http://schemas.microsoft.com/office/drawing/2014/main" id="{49A32BC9-6EC5-415F-AD07-95EBF4444CA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3" name="文字方塊 82">
          <a:extLst>
            <a:ext uri="{FF2B5EF4-FFF2-40B4-BE49-F238E27FC236}">
              <a16:creationId xmlns:a16="http://schemas.microsoft.com/office/drawing/2014/main" id="{B51A8A9F-EC7C-4CBD-A9D3-2F215C6CEAB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4" name="文字方塊 83">
          <a:extLst>
            <a:ext uri="{FF2B5EF4-FFF2-40B4-BE49-F238E27FC236}">
              <a16:creationId xmlns:a16="http://schemas.microsoft.com/office/drawing/2014/main" id="{1D9D38C7-3280-4644-9ED5-A66D46B1B79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5" name="文字方塊 8">
          <a:extLst>
            <a:ext uri="{FF2B5EF4-FFF2-40B4-BE49-F238E27FC236}">
              <a16:creationId xmlns:a16="http://schemas.microsoft.com/office/drawing/2014/main" id="{64664B7A-B16A-4F01-8894-5C5840CD9F64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6" name="文字方塊 85">
          <a:extLst>
            <a:ext uri="{FF2B5EF4-FFF2-40B4-BE49-F238E27FC236}">
              <a16:creationId xmlns:a16="http://schemas.microsoft.com/office/drawing/2014/main" id="{566347B8-14A5-4349-B4B6-20367866BF6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7" name="文字方塊 86">
          <a:extLst>
            <a:ext uri="{FF2B5EF4-FFF2-40B4-BE49-F238E27FC236}">
              <a16:creationId xmlns:a16="http://schemas.microsoft.com/office/drawing/2014/main" id="{DFAB49B5-D491-4DAB-9F90-5E64A74CEED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8" name="文字方塊 87">
          <a:extLst>
            <a:ext uri="{FF2B5EF4-FFF2-40B4-BE49-F238E27FC236}">
              <a16:creationId xmlns:a16="http://schemas.microsoft.com/office/drawing/2014/main" id="{D9EFC093-9150-4A63-B124-24E25318BF5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9" name="文字方塊 8">
          <a:extLst>
            <a:ext uri="{FF2B5EF4-FFF2-40B4-BE49-F238E27FC236}">
              <a16:creationId xmlns:a16="http://schemas.microsoft.com/office/drawing/2014/main" id="{906537FB-CCD0-4718-A4C0-C065B2EFF06C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0" name="文字方塊 89">
          <a:extLst>
            <a:ext uri="{FF2B5EF4-FFF2-40B4-BE49-F238E27FC236}">
              <a16:creationId xmlns:a16="http://schemas.microsoft.com/office/drawing/2014/main" id="{348010B4-5D02-49F6-B887-39C147A73F1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1" name="文字方塊 90">
          <a:extLst>
            <a:ext uri="{FF2B5EF4-FFF2-40B4-BE49-F238E27FC236}">
              <a16:creationId xmlns:a16="http://schemas.microsoft.com/office/drawing/2014/main" id="{46DAB867-1725-4A88-A521-0C58F2A91D3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2" name="文字方塊 91">
          <a:extLst>
            <a:ext uri="{FF2B5EF4-FFF2-40B4-BE49-F238E27FC236}">
              <a16:creationId xmlns:a16="http://schemas.microsoft.com/office/drawing/2014/main" id="{3481FDF5-A800-4186-AEB3-C3BFF1BCB57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93" name="文字方塊 8">
          <a:extLst>
            <a:ext uri="{FF2B5EF4-FFF2-40B4-BE49-F238E27FC236}">
              <a16:creationId xmlns:a16="http://schemas.microsoft.com/office/drawing/2014/main" id="{E16FD4D0-A23C-4F53-A7C4-1A1967E9A6F9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4" name="文字方塊 93">
          <a:extLst>
            <a:ext uri="{FF2B5EF4-FFF2-40B4-BE49-F238E27FC236}">
              <a16:creationId xmlns:a16="http://schemas.microsoft.com/office/drawing/2014/main" id="{75FD5024-BAFE-442E-AB15-9A43FBFF519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5" name="文字方塊 94">
          <a:extLst>
            <a:ext uri="{FF2B5EF4-FFF2-40B4-BE49-F238E27FC236}">
              <a16:creationId xmlns:a16="http://schemas.microsoft.com/office/drawing/2014/main" id="{C4DF2872-0053-440E-9375-AB70490F388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6" name="文字方塊 95">
          <a:extLst>
            <a:ext uri="{FF2B5EF4-FFF2-40B4-BE49-F238E27FC236}">
              <a16:creationId xmlns:a16="http://schemas.microsoft.com/office/drawing/2014/main" id="{96936E89-45FF-446A-89DB-79074208B7B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7" name="文字方塊 96">
          <a:extLst>
            <a:ext uri="{FF2B5EF4-FFF2-40B4-BE49-F238E27FC236}">
              <a16:creationId xmlns:a16="http://schemas.microsoft.com/office/drawing/2014/main" id="{D7016CD1-6437-46B3-8658-35341AB7EEA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98" name="文字方塊 8">
          <a:extLst>
            <a:ext uri="{FF2B5EF4-FFF2-40B4-BE49-F238E27FC236}">
              <a16:creationId xmlns:a16="http://schemas.microsoft.com/office/drawing/2014/main" id="{A55C6707-BED8-4D53-872F-CAEBA6310F2D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9" name="文字方塊 98">
          <a:extLst>
            <a:ext uri="{FF2B5EF4-FFF2-40B4-BE49-F238E27FC236}">
              <a16:creationId xmlns:a16="http://schemas.microsoft.com/office/drawing/2014/main" id="{F556EABB-43FF-4483-9DDB-6011130C523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0" name="文字方塊 99">
          <a:extLst>
            <a:ext uri="{FF2B5EF4-FFF2-40B4-BE49-F238E27FC236}">
              <a16:creationId xmlns:a16="http://schemas.microsoft.com/office/drawing/2014/main" id="{B94E61BA-BC68-4E37-9DFF-90CCFAB8CFD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1" name="文字方塊 100">
          <a:extLst>
            <a:ext uri="{FF2B5EF4-FFF2-40B4-BE49-F238E27FC236}">
              <a16:creationId xmlns:a16="http://schemas.microsoft.com/office/drawing/2014/main" id="{5C126691-4B77-4D37-9963-074C9AA47D6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2" name="文字方塊 8">
          <a:extLst>
            <a:ext uri="{FF2B5EF4-FFF2-40B4-BE49-F238E27FC236}">
              <a16:creationId xmlns:a16="http://schemas.microsoft.com/office/drawing/2014/main" id="{C4F36783-3C33-493D-AFC8-534B4CB0857B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3" name="文字方塊 102">
          <a:extLst>
            <a:ext uri="{FF2B5EF4-FFF2-40B4-BE49-F238E27FC236}">
              <a16:creationId xmlns:a16="http://schemas.microsoft.com/office/drawing/2014/main" id="{9C5BA8A7-18DF-4269-94CB-CF5203C3B59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4" name="文字方塊 103">
          <a:extLst>
            <a:ext uri="{FF2B5EF4-FFF2-40B4-BE49-F238E27FC236}">
              <a16:creationId xmlns:a16="http://schemas.microsoft.com/office/drawing/2014/main" id="{DAFE5576-0A92-4944-B03F-A29A70A1D19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5" name="文字方塊 104">
          <a:extLst>
            <a:ext uri="{FF2B5EF4-FFF2-40B4-BE49-F238E27FC236}">
              <a16:creationId xmlns:a16="http://schemas.microsoft.com/office/drawing/2014/main" id="{073E30F6-B42B-484E-AE6E-C8E60E531F2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6" name="文字方塊 8">
          <a:extLst>
            <a:ext uri="{FF2B5EF4-FFF2-40B4-BE49-F238E27FC236}">
              <a16:creationId xmlns:a16="http://schemas.microsoft.com/office/drawing/2014/main" id="{BB1271D3-B022-4B70-B29F-7EF60C2B3378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7" name="文字方塊 106">
          <a:extLst>
            <a:ext uri="{FF2B5EF4-FFF2-40B4-BE49-F238E27FC236}">
              <a16:creationId xmlns:a16="http://schemas.microsoft.com/office/drawing/2014/main" id="{F03E27DC-F38A-48A9-AED0-21563BE621D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8" name="文字方塊 107">
          <a:extLst>
            <a:ext uri="{FF2B5EF4-FFF2-40B4-BE49-F238E27FC236}">
              <a16:creationId xmlns:a16="http://schemas.microsoft.com/office/drawing/2014/main" id="{B6D6E4C8-59CB-4611-AE8F-DADE16180CD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9" name="文字方塊 108">
          <a:extLst>
            <a:ext uri="{FF2B5EF4-FFF2-40B4-BE49-F238E27FC236}">
              <a16:creationId xmlns:a16="http://schemas.microsoft.com/office/drawing/2014/main" id="{590221EB-2D99-49B5-A927-EF0B4DDA096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10" name="文字方塊 8">
          <a:extLst>
            <a:ext uri="{FF2B5EF4-FFF2-40B4-BE49-F238E27FC236}">
              <a16:creationId xmlns:a16="http://schemas.microsoft.com/office/drawing/2014/main" id="{CA768574-4F25-4334-93E1-29C17527CD3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1" name="文字方塊 110">
          <a:extLst>
            <a:ext uri="{FF2B5EF4-FFF2-40B4-BE49-F238E27FC236}">
              <a16:creationId xmlns:a16="http://schemas.microsoft.com/office/drawing/2014/main" id="{8F9214EA-3EC0-44B4-8666-6E959CE2154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2" name="文字方塊 111">
          <a:extLst>
            <a:ext uri="{FF2B5EF4-FFF2-40B4-BE49-F238E27FC236}">
              <a16:creationId xmlns:a16="http://schemas.microsoft.com/office/drawing/2014/main" id="{80E5494B-A982-4240-AEEF-F18C14D5B57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3" name="文字方塊 112">
          <a:extLst>
            <a:ext uri="{FF2B5EF4-FFF2-40B4-BE49-F238E27FC236}">
              <a16:creationId xmlns:a16="http://schemas.microsoft.com/office/drawing/2014/main" id="{C45744DE-11CC-4F36-A3D0-B0B98B7D2D4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14" name="文字方塊 8">
          <a:extLst>
            <a:ext uri="{FF2B5EF4-FFF2-40B4-BE49-F238E27FC236}">
              <a16:creationId xmlns:a16="http://schemas.microsoft.com/office/drawing/2014/main" id="{B213C2EB-0986-41CC-A8F0-7292F8C96D81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5" name="文字方塊 114">
          <a:extLst>
            <a:ext uri="{FF2B5EF4-FFF2-40B4-BE49-F238E27FC236}">
              <a16:creationId xmlns:a16="http://schemas.microsoft.com/office/drawing/2014/main" id="{72AB6147-30A2-4F14-A2D9-C039B88E0A6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6" name="文字方塊 115">
          <a:extLst>
            <a:ext uri="{FF2B5EF4-FFF2-40B4-BE49-F238E27FC236}">
              <a16:creationId xmlns:a16="http://schemas.microsoft.com/office/drawing/2014/main" id="{465CFB15-C384-4240-9846-4E070D7F33F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7" name="文字方塊 116">
          <a:extLst>
            <a:ext uri="{FF2B5EF4-FFF2-40B4-BE49-F238E27FC236}">
              <a16:creationId xmlns:a16="http://schemas.microsoft.com/office/drawing/2014/main" id="{3D22B4D4-D394-4E8E-98E8-94B45C7BBAB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18" name="文字方塊 8">
          <a:extLst>
            <a:ext uri="{FF2B5EF4-FFF2-40B4-BE49-F238E27FC236}">
              <a16:creationId xmlns:a16="http://schemas.microsoft.com/office/drawing/2014/main" id="{076E9640-6378-47D0-9B44-D3F452F5039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9" name="文字方塊 118">
          <a:extLst>
            <a:ext uri="{FF2B5EF4-FFF2-40B4-BE49-F238E27FC236}">
              <a16:creationId xmlns:a16="http://schemas.microsoft.com/office/drawing/2014/main" id="{932E4445-2C0F-4E40-A834-95E7E21D731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0" name="文字方塊 119">
          <a:extLst>
            <a:ext uri="{FF2B5EF4-FFF2-40B4-BE49-F238E27FC236}">
              <a16:creationId xmlns:a16="http://schemas.microsoft.com/office/drawing/2014/main" id="{283443CC-D75B-47E6-89C9-A62D0E15397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1" name="文字方塊 120">
          <a:extLst>
            <a:ext uri="{FF2B5EF4-FFF2-40B4-BE49-F238E27FC236}">
              <a16:creationId xmlns:a16="http://schemas.microsoft.com/office/drawing/2014/main" id="{3A4FFD1A-4048-467A-9BD8-917FDAF2C4E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22" name="文字方塊 8">
          <a:extLst>
            <a:ext uri="{FF2B5EF4-FFF2-40B4-BE49-F238E27FC236}">
              <a16:creationId xmlns:a16="http://schemas.microsoft.com/office/drawing/2014/main" id="{6085AF91-18D3-4D36-9305-4D462A480B13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3" name="文字方塊 122">
          <a:extLst>
            <a:ext uri="{FF2B5EF4-FFF2-40B4-BE49-F238E27FC236}">
              <a16:creationId xmlns:a16="http://schemas.microsoft.com/office/drawing/2014/main" id="{55D259B4-7DBC-4401-B453-2E63250626A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4" name="文字方塊 123">
          <a:extLst>
            <a:ext uri="{FF2B5EF4-FFF2-40B4-BE49-F238E27FC236}">
              <a16:creationId xmlns:a16="http://schemas.microsoft.com/office/drawing/2014/main" id="{524A7A4E-78FF-4DD1-AABA-78C3DD43240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24669750" y="1642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>
          <a:spLocks noChangeAspect="1"/>
        </xdr:cNvSpPr>
      </xdr:nvSpPr>
      <xdr:spPr>
        <a:xfrm>
          <a:off x="24669750" y="107005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twoCellAnchor editAs="oneCell">
    <xdr:from>
      <xdr:col>3</xdr:col>
      <xdr:colOff>123269</xdr:colOff>
      <xdr:row>1</xdr:row>
      <xdr:rowOff>56021</xdr:rowOff>
    </xdr:from>
    <xdr:to>
      <xdr:col>5</xdr:col>
      <xdr:colOff>669622</xdr:colOff>
      <xdr:row>3</xdr:row>
      <xdr:rowOff>261941</xdr:rowOff>
    </xdr:to>
    <xdr:sp macro="[0]!auto_length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>
          <a:spLocks noChangeAspect="1"/>
        </xdr:cNvSpPr>
      </xdr:nvSpPr>
      <xdr:spPr>
        <a:xfrm>
          <a:off x="951944" y="360821"/>
          <a:ext cx="2165603" cy="551621"/>
        </a:xfrm>
        <a:prstGeom prst="rect">
          <a:avLst/>
        </a:prstGeom>
        <a:solidFill>
          <a:schemeClr val="bg1"/>
        </a:solidFill>
        <a:ln w="38100">
          <a:solidFill>
            <a:schemeClr val="accent2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2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計算長度</a:t>
          </a:r>
        </a:p>
      </xdr:txBody>
    </xdr:sp>
    <xdr:clientData/>
  </xdr:twoCellAnchor>
  <xdr:oneCellAnchor>
    <xdr:from>
      <xdr:col>13</xdr:col>
      <xdr:colOff>134475</xdr:colOff>
      <xdr:row>1</xdr:row>
      <xdr:rowOff>56021</xdr:rowOff>
    </xdr:from>
    <xdr:ext cx="2160000" cy="360000"/>
    <xdr:sp macro="[0]!auto_angle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>
          <a:spLocks noChangeAspect="1"/>
        </xdr:cNvSpPr>
      </xdr:nvSpPr>
      <xdr:spPr>
        <a:xfrm>
          <a:off x="6240000" y="360821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4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計算角度</a:t>
          </a:r>
          <a:r>
            <a:rPr lang="en-US" altLang="zh-TW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(°)</a:t>
          </a:r>
          <a:endParaRPr lang="zh-TW" altLang="en-US" sz="1600" b="1">
            <a:solidFill>
              <a:schemeClr val="accent4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oneCellAnchor>
  <xdr:oneCellAnchor>
    <xdr:from>
      <xdr:col>24</xdr:col>
      <xdr:colOff>134475</xdr:colOff>
      <xdr:row>1</xdr:row>
      <xdr:rowOff>56022</xdr:rowOff>
    </xdr:from>
    <xdr:ext cx="2160000" cy="360000"/>
    <xdr:sp macro="[0]!auto_area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>
          <a:spLocks noChangeAspect="1"/>
        </xdr:cNvSpPr>
      </xdr:nvSpPr>
      <xdr:spPr>
        <a:xfrm>
          <a:off x="11793075" y="360822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6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計算面積</a:t>
          </a:r>
        </a:p>
      </xdr:txBody>
    </xdr:sp>
    <xdr:clientData/>
  </xdr:oneCellAnchor>
  <xdr:twoCellAnchor editAs="oneCell">
    <xdr:from>
      <xdr:col>6</xdr:col>
      <xdr:colOff>85169</xdr:colOff>
      <xdr:row>1</xdr:row>
      <xdr:rowOff>51539</xdr:rowOff>
    </xdr:from>
    <xdr:to>
      <xdr:col>7</xdr:col>
      <xdr:colOff>718346</xdr:colOff>
      <xdr:row>3</xdr:row>
      <xdr:rowOff>257459</xdr:rowOff>
    </xdr:to>
    <xdr:sp macro="[0]!clear_length" textlink="">
      <xdr:nvSpPr>
        <xdr:cNvPr id="7" name="矩形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>
          <a:spLocks/>
        </xdr:cNvSpPr>
      </xdr:nvSpPr>
      <xdr:spPr>
        <a:xfrm>
          <a:off x="3342719" y="356339"/>
          <a:ext cx="1442802" cy="551621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twoCellAnchor>
  <xdr:oneCellAnchor>
    <xdr:from>
      <xdr:col>16</xdr:col>
      <xdr:colOff>85169</xdr:colOff>
      <xdr:row>1</xdr:row>
      <xdr:rowOff>51539</xdr:rowOff>
    </xdr:from>
    <xdr:ext cx="1440000" cy="360000"/>
    <xdr:sp macro="[0]!clear_angle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>
          <a:spLocks/>
        </xdr:cNvSpPr>
      </xdr:nvSpPr>
      <xdr:spPr>
        <a:xfrm>
          <a:off x="8619569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27</xdr:col>
      <xdr:colOff>85169</xdr:colOff>
      <xdr:row>1</xdr:row>
      <xdr:rowOff>51539</xdr:rowOff>
    </xdr:from>
    <xdr:ext cx="1440000" cy="360000"/>
    <xdr:sp macro="[0]!clear_area" textlink="">
      <xdr:nvSpPr>
        <xdr:cNvPr id="9" name="矩形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>
          <a:spLocks/>
        </xdr:cNvSpPr>
      </xdr:nvSpPr>
      <xdr:spPr>
        <a:xfrm>
          <a:off x="14172644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30314B42-76CE-47A8-B433-F23985E0A163}"/>
            </a:ext>
          </a:extLst>
        </xdr:cNvPr>
        <xdr:cNvSpPr txBox="1"/>
      </xdr:nvSpPr>
      <xdr:spPr>
        <a:xfrm>
          <a:off x="7924800" y="16046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17BCF770-7AC0-4988-8603-B8636AB384C5}"/>
            </a:ext>
          </a:extLst>
        </xdr:cNvPr>
        <xdr:cNvSpPr txBox="1">
          <a:spLocks noChangeAspect="1"/>
        </xdr:cNvSpPr>
      </xdr:nvSpPr>
      <xdr:spPr>
        <a:xfrm>
          <a:off x="7924800" y="10148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DF3A5BFC-91D2-48D3-9043-37505A880B9B}"/>
            </a:ext>
          </a:extLst>
        </xdr:cNvPr>
        <xdr:cNvSpPr txBox="1"/>
      </xdr:nvSpPr>
      <xdr:spPr>
        <a:xfrm>
          <a:off x="79883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53DBD469-ABBC-4887-8679-BBACFC264F8B}"/>
            </a:ext>
          </a:extLst>
        </xdr:cNvPr>
        <xdr:cNvSpPr txBox="1">
          <a:spLocks noChangeAspect="1"/>
        </xdr:cNvSpPr>
      </xdr:nvSpPr>
      <xdr:spPr>
        <a:xfrm>
          <a:off x="79883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47CE3AEE-7279-483D-9BB1-900769AA0095}"/>
            </a:ext>
          </a:extLst>
        </xdr:cNvPr>
        <xdr:cNvSpPr txBox="1"/>
      </xdr:nvSpPr>
      <xdr:spPr>
        <a:xfrm>
          <a:off x="79883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0BE6A0BA-4A7B-426A-B8B1-7A85E0C8B638}"/>
            </a:ext>
          </a:extLst>
        </xdr:cNvPr>
        <xdr:cNvSpPr txBox="1">
          <a:spLocks noChangeAspect="1"/>
        </xdr:cNvSpPr>
      </xdr:nvSpPr>
      <xdr:spPr>
        <a:xfrm>
          <a:off x="79883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6" name="文字方塊 8">
          <a:extLst>
            <a:ext uri="{FF2B5EF4-FFF2-40B4-BE49-F238E27FC236}">
              <a16:creationId xmlns:a16="http://schemas.microsoft.com/office/drawing/2014/main" id="{C5DF5B18-889F-4DBC-9F7A-6B751502A1F4}"/>
            </a:ext>
          </a:extLst>
        </xdr:cNvPr>
        <xdr:cNvSpPr txBox="1"/>
      </xdr:nvSpPr>
      <xdr:spPr>
        <a:xfrm>
          <a:off x="79883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7" name="文字方塊 9">
          <a:extLst>
            <a:ext uri="{FF2B5EF4-FFF2-40B4-BE49-F238E27FC236}">
              <a16:creationId xmlns:a16="http://schemas.microsoft.com/office/drawing/2014/main" id="{3CAE4AEE-0E07-4A55-BCE0-8B76A4FD4C8D}"/>
            </a:ext>
          </a:extLst>
        </xdr:cNvPr>
        <xdr:cNvSpPr txBox="1">
          <a:spLocks noChangeAspect="1"/>
        </xdr:cNvSpPr>
      </xdr:nvSpPr>
      <xdr:spPr>
        <a:xfrm>
          <a:off x="79883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AE393D25-BBA4-457C-9B55-432A9E9934E9}"/>
            </a:ext>
          </a:extLst>
        </xdr:cNvPr>
        <xdr:cNvSpPr txBox="1"/>
      </xdr:nvSpPr>
      <xdr:spPr>
        <a:xfrm>
          <a:off x="79883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741FCF02-DF06-4168-A8E3-698D285D3F9C}"/>
            </a:ext>
          </a:extLst>
        </xdr:cNvPr>
        <xdr:cNvSpPr txBox="1">
          <a:spLocks noChangeAspect="1"/>
        </xdr:cNvSpPr>
      </xdr:nvSpPr>
      <xdr:spPr>
        <a:xfrm>
          <a:off x="79883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B28209AD-9681-42F6-9F25-8C636F6FB259}"/>
            </a:ext>
          </a:extLst>
        </xdr:cNvPr>
        <xdr:cNvSpPr txBox="1"/>
      </xdr:nvSpPr>
      <xdr:spPr>
        <a:xfrm>
          <a:off x="79883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36386CA1-1A00-485D-AD5B-297687AB45F6}"/>
            </a:ext>
          </a:extLst>
        </xdr:cNvPr>
        <xdr:cNvSpPr txBox="1">
          <a:spLocks noChangeAspect="1"/>
        </xdr:cNvSpPr>
      </xdr:nvSpPr>
      <xdr:spPr>
        <a:xfrm>
          <a:off x="79883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295A8ADC-C450-4183-9CDA-D41AAD62F837}"/>
            </a:ext>
          </a:extLst>
        </xdr:cNvPr>
        <xdr:cNvSpPr txBox="1"/>
      </xdr:nvSpPr>
      <xdr:spPr>
        <a:xfrm>
          <a:off x="79883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AB4F1DFD-0B99-4725-BDF5-B77E79AB01D9}"/>
            </a:ext>
          </a:extLst>
        </xdr:cNvPr>
        <xdr:cNvSpPr txBox="1">
          <a:spLocks noChangeAspect="1"/>
        </xdr:cNvSpPr>
      </xdr:nvSpPr>
      <xdr:spPr>
        <a:xfrm>
          <a:off x="79883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4" name="文字方塊 8">
          <a:extLst>
            <a:ext uri="{FF2B5EF4-FFF2-40B4-BE49-F238E27FC236}">
              <a16:creationId xmlns:a16="http://schemas.microsoft.com/office/drawing/2014/main" id="{FD5D8BDA-6FD0-4117-8DF2-EFE149D524BE}"/>
            </a:ext>
          </a:extLst>
        </xdr:cNvPr>
        <xdr:cNvSpPr txBox="1"/>
      </xdr:nvSpPr>
      <xdr:spPr>
        <a:xfrm>
          <a:off x="79883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5" name="文字方塊 9">
          <a:extLst>
            <a:ext uri="{FF2B5EF4-FFF2-40B4-BE49-F238E27FC236}">
              <a16:creationId xmlns:a16="http://schemas.microsoft.com/office/drawing/2014/main" id="{A513C05B-6450-4558-89B4-F5E343F62C47}"/>
            </a:ext>
          </a:extLst>
        </xdr:cNvPr>
        <xdr:cNvSpPr txBox="1">
          <a:spLocks noChangeAspect="1"/>
        </xdr:cNvSpPr>
      </xdr:nvSpPr>
      <xdr:spPr>
        <a:xfrm>
          <a:off x="79883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BB93BB4C-9A7A-463B-9087-35CF1EB1DFEE}"/>
            </a:ext>
          </a:extLst>
        </xdr:cNvPr>
        <xdr:cNvSpPr txBox="1"/>
      </xdr:nvSpPr>
      <xdr:spPr>
        <a:xfrm>
          <a:off x="79883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9EFE3CAC-70B4-4F7B-A605-8EC2F0C8AD2E}"/>
            </a:ext>
          </a:extLst>
        </xdr:cNvPr>
        <xdr:cNvSpPr txBox="1">
          <a:spLocks noChangeAspect="1"/>
        </xdr:cNvSpPr>
      </xdr:nvSpPr>
      <xdr:spPr>
        <a:xfrm>
          <a:off x="79883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04D2B54B-5C8C-4AA5-821C-258AF06F1661}"/>
            </a:ext>
          </a:extLst>
        </xdr:cNvPr>
        <xdr:cNvSpPr txBox="1"/>
      </xdr:nvSpPr>
      <xdr:spPr>
        <a:xfrm>
          <a:off x="79883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F9C40DA1-FDE3-4BDB-96DB-EB9324441E18}"/>
            </a:ext>
          </a:extLst>
        </xdr:cNvPr>
        <xdr:cNvSpPr txBox="1">
          <a:spLocks noChangeAspect="1"/>
        </xdr:cNvSpPr>
      </xdr:nvSpPr>
      <xdr:spPr>
        <a:xfrm>
          <a:off x="79883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76E0BDF1-0048-4F44-A279-E6ECB154E53C}"/>
            </a:ext>
          </a:extLst>
        </xdr:cNvPr>
        <xdr:cNvSpPr txBox="1"/>
      </xdr:nvSpPr>
      <xdr:spPr>
        <a:xfrm>
          <a:off x="79883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F249D6AD-83A9-47CE-820F-56036C915B07}"/>
            </a:ext>
          </a:extLst>
        </xdr:cNvPr>
        <xdr:cNvSpPr txBox="1">
          <a:spLocks noChangeAspect="1"/>
        </xdr:cNvSpPr>
      </xdr:nvSpPr>
      <xdr:spPr>
        <a:xfrm>
          <a:off x="79883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32" name="文字方塊 8">
          <a:extLst>
            <a:ext uri="{FF2B5EF4-FFF2-40B4-BE49-F238E27FC236}">
              <a16:creationId xmlns:a16="http://schemas.microsoft.com/office/drawing/2014/main" id="{62733AD8-CC09-4AC7-83B8-262DFC08EDEF}"/>
            </a:ext>
          </a:extLst>
        </xdr:cNvPr>
        <xdr:cNvSpPr txBox="1"/>
      </xdr:nvSpPr>
      <xdr:spPr>
        <a:xfrm>
          <a:off x="79883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33" name="文字方塊 9">
          <a:extLst>
            <a:ext uri="{FF2B5EF4-FFF2-40B4-BE49-F238E27FC236}">
              <a16:creationId xmlns:a16="http://schemas.microsoft.com/office/drawing/2014/main" id="{BEE6B4FE-0D05-4627-99C0-F9AAED9B259D}"/>
            </a:ext>
          </a:extLst>
        </xdr:cNvPr>
        <xdr:cNvSpPr txBox="1">
          <a:spLocks noChangeAspect="1"/>
        </xdr:cNvSpPr>
      </xdr:nvSpPr>
      <xdr:spPr>
        <a:xfrm>
          <a:off x="79883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FDF33315-295F-44AD-84DB-71B99E6E317F}"/>
            </a:ext>
          </a:extLst>
        </xdr:cNvPr>
        <xdr:cNvSpPr txBox="1"/>
      </xdr:nvSpPr>
      <xdr:spPr>
        <a:xfrm>
          <a:off x="79883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A8790E72-3234-4DC0-AA5D-B7A95CB638ED}"/>
            </a:ext>
          </a:extLst>
        </xdr:cNvPr>
        <xdr:cNvSpPr txBox="1">
          <a:spLocks noChangeAspect="1"/>
        </xdr:cNvSpPr>
      </xdr:nvSpPr>
      <xdr:spPr>
        <a:xfrm>
          <a:off x="79883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6" name="文字方塊 35">
          <a:extLst>
            <a:ext uri="{FF2B5EF4-FFF2-40B4-BE49-F238E27FC236}">
              <a16:creationId xmlns:a16="http://schemas.microsoft.com/office/drawing/2014/main" id="{0A145654-9A6C-40D5-8EA9-3F01CE0ECEDA}"/>
            </a:ext>
          </a:extLst>
        </xdr:cNvPr>
        <xdr:cNvSpPr txBox="1"/>
      </xdr:nvSpPr>
      <xdr:spPr>
        <a:xfrm>
          <a:off x="79883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2D13D962-B409-4132-B17B-35DFBF4901AD}"/>
            </a:ext>
          </a:extLst>
        </xdr:cNvPr>
        <xdr:cNvSpPr txBox="1">
          <a:spLocks noChangeAspect="1"/>
        </xdr:cNvSpPr>
      </xdr:nvSpPr>
      <xdr:spPr>
        <a:xfrm>
          <a:off x="79883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E3B4E7D8-26C9-479B-853C-6734E1578C57}"/>
            </a:ext>
          </a:extLst>
        </xdr:cNvPr>
        <xdr:cNvSpPr txBox="1"/>
      </xdr:nvSpPr>
      <xdr:spPr>
        <a:xfrm>
          <a:off x="79883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7BAE39AD-F76B-4A52-927D-B597E2758A4E}"/>
            </a:ext>
          </a:extLst>
        </xdr:cNvPr>
        <xdr:cNvSpPr txBox="1">
          <a:spLocks noChangeAspect="1"/>
        </xdr:cNvSpPr>
      </xdr:nvSpPr>
      <xdr:spPr>
        <a:xfrm>
          <a:off x="79883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0" name="文字方塊 8">
          <a:extLst>
            <a:ext uri="{FF2B5EF4-FFF2-40B4-BE49-F238E27FC236}">
              <a16:creationId xmlns:a16="http://schemas.microsoft.com/office/drawing/2014/main" id="{E9105CCF-4FCF-4623-A227-CE7FB2C0059D}"/>
            </a:ext>
          </a:extLst>
        </xdr:cNvPr>
        <xdr:cNvSpPr txBox="1"/>
      </xdr:nvSpPr>
      <xdr:spPr>
        <a:xfrm>
          <a:off x="79883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1" name="文字方塊 9">
          <a:extLst>
            <a:ext uri="{FF2B5EF4-FFF2-40B4-BE49-F238E27FC236}">
              <a16:creationId xmlns:a16="http://schemas.microsoft.com/office/drawing/2014/main" id="{0B7DA3DB-FF03-48BE-AD50-E8585FB73A1E}"/>
            </a:ext>
          </a:extLst>
        </xdr:cNvPr>
        <xdr:cNvSpPr txBox="1">
          <a:spLocks noChangeAspect="1"/>
        </xdr:cNvSpPr>
      </xdr:nvSpPr>
      <xdr:spPr>
        <a:xfrm>
          <a:off x="79883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FD84A121-62F9-46CE-BCC5-F45D57ECB73A}"/>
            </a:ext>
          </a:extLst>
        </xdr:cNvPr>
        <xdr:cNvSpPr txBox="1"/>
      </xdr:nvSpPr>
      <xdr:spPr>
        <a:xfrm>
          <a:off x="79883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6B59400E-6667-4BAC-8F05-690422AE876E}"/>
            </a:ext>
          </a:extLst>
        </xdr:cNvPr>
        <xdr:cNvSpPr txBox="1">
          <a:spLocks noChangeAspect="1"/>
        </xdr:cNvSpPr>
      </xdr:nvSpPr>
      <xdr:spPr>
        <a:xfrm>
          <a:off x="79883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7629C12E-CDA6-4F33-B772-5B64802B8E2C}"/>
            </a:ext>
          </a:extLst>
        </xdr:cNvPr>
        <xdr:cNvSpPr txBox="1"/>
      </xdr:nvSpPr>
      <xdr:spPr>
        <a:xfrm>
          <a:off x="79883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5" name="文字方塊 44">
          <a:extLst>
            <a:ext uri="{FF2B5EF4-FFF2-40B4-BE49-F238E27FC236}">
              <a16:creationId xmlns:a16="http://schemas.microsoft.com/office/drawing/2014/main" id="{51B2449F-C6D4-453D-9068-BE5DB0F51B0C}"/>
            </a:ext>
          </a:extLst>
        </xdr:cNvPr>
        <xdr:cNvSpPr txBox="1">
          <a:spLocks noChangeAspect="1"/>
        </xdr:cNvSpPr>
      </xdr:nvSpPr>
      <xdr:spPr>
        <a:xfrm>
          <a:off x="79883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24669750" y="16427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>
          <a:spLocks noChangeAspect="1"/>
        </xdr:cNvSpPr>
      </xdr:nvSpPr>
      <xdr:spPr>
        <a:xfrm>
          <a:off x="24669750" y="107005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twoCellAnchor editAs="oneCell">
    <xdr:from>
      <xdr:col>3</xdr:col>
      <xdr:colOff>123269</xdr:colOff>
      <xdr:row>1</xdr:row>
      <xdr:rowOff>56021</xdr:rowOff>
    </xdr:from>
    <xdr:to>
      <xdr:col>6</xdr:col>
      <xdr:colOff>209701</xdr:colOff>
      <xdr:row>3</xdr:row>
      <xdr:rowOff>374960</xdr:rowOff>
    </xdr:to>
    <xdr:sp macro="[0]!auto_length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>
          <a:spLocks noChangeAspect="1"/>
        </xdr:cNvSpPr>
      </xdr:nvSpPr>
      <xdr:spPr>
        <a:xfrm>
          <a:off x="951944" y="360821"/>
          <a:ext cx="2165603" cy="665921"/>
        </a:xfrm>
        <a:prstGeom prst="rect">
          <a:avLst/>
        </a:prstGeom>
        <a:solidFill>
          <a:schemeClr val="bg1"/>
        </a:solidFill>
        <a:ln w="38100">
          <a:solidFill>
            <a:schemeClr val="accent2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2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計算長度</a:t>
          </a:r>
        </a:p>
      </xdr:txBody>
    </xdr:sp>
    <xdr:clientData/>
  </xdr:twoCellAnchor>
  <xdr:oneCellAnchor>
    <xdr:from>
      <xdr:col>13</xdr:col>
      <xdr:colOff>134475</xdr:colOff>
      <xdr:row>1</xdr:row>
      <xdr:rowOff>56021</xdr:rowOff>
    </xdr:from>
    <xdr:ext cx="2160000" cy="360000"/>
    <xdr:sp macro="[0]!auto_angle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>
          <a:spLocks noChangeAspect="1"/>
        </xdr:cNvSpPr>
      </xdr:nvSpPr>
      <xdr:spPr>
        <a:xfrm>
          <a:off x="6240000" y="360821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4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計算角度</a:t>
          </a:r>
          <a:r>
            <a:rPr lang="en-US" altLang="zh-TW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(°)</a:t>
          </a:r>
          <a:endParaRPr lang="zh-TW" altLang="en-US" sz="1600" b="1">
            <a:solidFill>
              <a:schemeClr val="accent4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oneCellAnchor>
  <xdr:oneCellAnchor>
    <xdr:from>
      <xdr:col>24</xdr:col>
      <xdr:colOff>134475</xdr:colOff>
      <xdr:row>1</xdr:row>
      <xdr:rowOff>56022</xdr:rowOff>
    </xdr:from>
    <xdr:ext cx="2160000" cy="360000"/>
    <xdr:sp macro="[0]!auto_area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>
          <a:spLocks noChangeAspect="1"/>
        </xdr:cNvSpPr>
      </xdr:nvSpPr>
      <xdr:spPr>
        <a:xfrm>
          <a:off x="11793075" y="360822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6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計算面積</a:t>
          </a:r>
        </a:p>
      </xdr:txBody>
    </xdr:sp>
    <xdr:clientData/>
  </xdr:oneCellAnchor>
  <xdr:twoCellAnchor editAs="oneCell">
    <xdr:from>
      <xdr:col>6</xdr:col>
      <xdr:colOff>85169</xdr:colOff>
      <xdr:row>1</xdr:row>
      <xdr:rowOff>51539</xdr:rowOff>
    </xdr:from>
    <xdr:to>
      <xdr:col>8</xdr:col>
      <xdr:colOff>156370</xdr:colOff>
      <xdr:row>3</xdr:row>
      <xdr:rowOff>370478</xdr:rowOff>
    </xdr:to>
    <xdr:sp macro="[0]!clear_length" textlink="">
      <xdr:nvSpPr>
        <xdr:cNvPr id="7" name="矩形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>
          <a:spLocks/>
        </xdr:cNvSpPr>
      </xdr:nvSpPr>
      <xdr:spPr>
        <a:xfrm>
          <a:off x="3342719" y="356339"/>
          <a:ext cx="1442802" cy="665921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twoCellAnchor>
  <xdr:oneCellAnchor>
    <xdr:from>
      <xdr:col>16</xdr:col>
      <xdr:colOff>85169</xdr:colOff>
      <xdr:row>1</xdr:row>
      <xdr:rowOff>51539</xdr:rowOff>
    </xdr:from>
    <xdr:ext cx="1440000" cy="360000"/>
    <xdr:sp macro="[0]!clear_angle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>
          <a:spLocks/>
        </xdr:cNvSpPr>
      </xdr:nvSpPr>
      <xdr:spPr>
        <a:xfrm>
          <a:off x="8619569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27</xdr:col>
      <xdr:colOff>85169</xdr:colOff>
      <xdr:row>1</xdr:row>
      <xdr:rowOff>51539</xdr:rowOff>
    </xdr:from>
    <xdr:ext cx="1440000" cy="360000"/>
    <xdr:sp macro="[0]!clear_area" textlink="">
      <xdr:nvSpPr>
        <xdr:cNvPr id="9" name="矩形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>
          <a:spLocks/>
        </xdr:cNvSpPr>
      </xdr:nvSpPr>
      <xdr:spPr>
        <a:xfrm>
          <a:off x="14172644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688BB704-BB4E-42EA-89B0-17495AAF893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9C41973B-9784-4795-806B-C1B44613F9AC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2" name="文字方塊 8">
          <a:extLst>
            <a:ext uri="{FF2B5EF4-FFF2-40B4-BE49-F238E27FC236}">
              <a16:creationId xmlns:a16="http://schemas.microsoft.com/office/drawing/2014/main" id="{43A1F94B-EE3F-4A92-B4D7-1C6A7CBD2D39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3" name="文字方塊 9">
          <a:extLst>
            <a:ext uri="{FF2B5EF4-FFF2-40B4-BE49-F238E27FC236}">
              <a16:creationId xmlns:a16="http://schemas.microsoft.com/office/drawing/2014/main" id="{DDEF7AC3-0769-4F12-B441-ADB015F38F3E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54788F2C-8043-424A-8928-93E1A057ADE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6F7E757C-96FD-4608-894C-9AE0A1E74369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" name="文字方塊 15">
          <a:extLst>
            <a:ext uri="{FF2B5EF4-FFF2-40B4-BE49-F238E27FC236}">
              <a16:creationId xmlns:a16="http://schemas.microsoft.com/office/drawing/2014/main" id="{DC1BFC1E-2927-4F5B-B49B-7168F7D206B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7" name="文字方塊 16">
          <a:extLst>
            <a:ext uri="{FF2B5EF4-FFF2-40B4-BE49-F238E27FC236}">
              <a16:creationId xmlns:a16="http://schemas.microsoft.com/office/drawing/2014/main" id="{01981FBD-39ED-4843-B9BD-AA5C4D15E0F9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A5F2F77C-0957-450F-9D7E-8957FC721A6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1FAAD752-4535-413F-A339-F21714A3823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0" name="文字方塊 8">
          <a:extLst>
            <a:ext uri="{FF2B5EF4-FFF2-40B4-BE49-F238E27FC236}">
              <a16:creationId xmlns:a16="http://schemas.microsoft.com/office/drawing/2014/main" id="{87073DC9-2A97-4B53-9A1A-CFED068586B9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1" name="文字方塊 9">
          <a:extLst>
            <a:ext uri="{FF2B5EF4-FFF2-40B4-BE49-F238E27FC236}">
              <a16:creationId xmlns:a16="http://schemas.microsoft.com/office/drawing/2014/main" id="{CE1DCE09-D7CE-4738-9C15-F756659A91F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26243809-492C-455F-B8CD-CE050BC8F16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7EDCFDB1-5BCD-484D-89C4-B9DDACB7A09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4" name="文字方塊 23">
          <a:extLst>
            <a:ext uri="{FF2B5EF4-FFF2-40B4-BE49-F238E27FC236}">
              <a16:creationId xmlns:a16="http://schemas.microsoft.com/office/drawing/2014/main" id="{6CB8E48C-B7BD-4BE4-925B-E86ED29B4B1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5" name="文字方塊 24">
          <a:extLst>
            <a:ext uri="{FF2B5EF4-FFF2-40B4-BE49-F238E27FC236}">
              <a16:creationId xmlns:a16="http://schemas.microsoft.com/office/drawing/2014/main" id="{D7723EDB-CB98-416B-9ED9-A635B95F890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C0D3D0CA-A67B-4086-9367-C9A3BE2F15D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44A311F4-90BA-43BB-9599-F397A4AEC76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8" name="文字方塊 8">
          <a:extLst>
            <a:ext uri="{FF2B5EF4-FFF2-40B4-BE49-F238E27FC236}">
              <a16:creationId xmlns:a16="http://schemas.microsoft.com/office/drawing/2014/main" id="{31821E99-796D-4BFC-B962-94B8679BDD18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9" name="文字方塊 9">
          <a:extLst>
            <a:ext uri="{FF2B5EF4-FFF2-40B4-BE49-F238E27FC236}">
              <a16:creationId xmlns:a16="http://schemas.microsoft.com/office/drawing/2014/main" id="{E9346EBC-85E8-4DF5-89B1-10E8E81AAA5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B3D498C1-11BB-4EF1-9310-0BC66E22A80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73E7EE78-C47F-4AC2-8B90-5F55E0ECF02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2" name="文字方塊 31">
          <a:extLst>
            <a:ext uri="{FF2B5EF4-FFF2-40B4-BE49-F238E27FC236}">
              <a16:creationId xmlns:a16="http://schemas.microsoft.com/office/drawing/2014/main" id="{95A6FFDE-C781-4423-82C5-6FF1492FA37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3" name="文字方塊 32">
          <a:extLst>
            <a:ext uri="{FF2B5EF4-FFF2-40B4-BE49-F238E27FC236}">
              <a16:creationId xmlns:a16="http://schemas.microsoft.com/office/drawing/2014/main" id="{53A1D1A7-A426-4FCF-8F33-60A7F667C34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CA37B5C3-AFB9-4BFB-8A80-159917E726B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18F25CB2-A4D7-4947-93F8-5CEA3C9C7E9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36" name="文字方塊 8">
          <a:extLst>
            <a:ext uri="{FF2B5EF4-FFF2-40B4-BE49-F238E27FC236}">
              <a16:creationId xmlns:a16="http://schemas.microsoft.com/office/drawing/2014/main" id="{F197A302-670A-4F16-BDB7-58E193EA050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37" name="文字方塊 9">
          <a:extLst>
            <a:ext uri="{FF2B5EF4-FFF2-40B4-BE49-F238E27FC236}">
              <a16:creationId xmlns:a16="http://schemas.microsoft.com/office/drawing/2014/main" id="{0E653686-8F08-4BBE-9848-805EF1CA3BA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6BD52E22-E2C4-4FFC-B11C-B3E0A71C255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4AACBBB9-CDCF-4B15-A054-60CF3C73610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0" name="文字方塊 39">
          <a:extLst>
            <a:ext uri="{FF2B5EF4-FFF2-40B4-BE49-F238E27FC236}">
              <a16:creationId xmlns:a16="http://schemas.microsoft.com/office/drawing/2014/main" id="{2A981AB5-AF1A-4B6F-A8F3-87687D32707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1" name="文字方塊 40">
          <a:extLst>
            <a:ext uri="{FF2B5EF4-FFF2-40B4-BE49-F238E27FC236}">
              <a16:creationId xmlns:a16="http://schemas.microsoft.com/office/drawing/2014/main" id="{5546816D-7C45-4EDF-A7E8-BCF3E3A02F5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5695782C-561B-4AD8-951B-685BA1B5626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29B7662D-BAC0-42BD-8ED9-3C80B72F965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4" name="文字方塊 8">
          <a:extLst>
            <a:ext uri="{FF2B5EF4-FFF2-40B4-BE49-F238E27FC236}">
              <a16:creationId xmlns:a16="http://schemas.microsoft.com/office/drawing/2014/main" id="{788A2989-DC2D-4DCE-9CD5-1A9196970554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5" name="文字方塊 9">
          <a:extLst>
            <a:ext uri="{FF2B5EF4-FFF2-40B4-BE49-F238E27FC236}">
              <a16:creationId xmlns:a16="http://schemas.microsoft.com/office/drawing/2014/main" id="{E8DDB315-7289-46B3-B30F-2DD232CE203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3A8E37C1-5AD4-4CD1-9C02-0D144D73134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DC537BE2-B4E9-4058-8C6E-DF8E8F4173A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8" name="文字方塊 47">
          <a:extLst>
            <a:ext uri="{FF2B5EF4-FFF2-40B4-BE49-F238E27FC236}">
              <a16:creationId xmlns:a16="http://schemas.microsoft.com/office/drawing/2014/main" id="{D7F5ED20-E2DA-466B-9B13-7F53CE4A650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9" name="文字方塊 48">
          <a:extLst>
            <a:ext uri="{FF2B5EF4-FFF2-40B4-BE49-F238E27FC236}">
              <a16:creationId xmlns:a16="http://schemas.microsoft.com/office/drawing/2014/main" id="{63B2D9A8-E5A5-4821-96A1-9CBA30C5CB2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4D77844C-04F3-4E60-8DCA-03C4546E48D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9A278AB3-6A20-4A28-8699-2FE646BD614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2" name="文字方塊 8">
          <a:extLst>
            <a:ext uri="{FF2B5EF4-FFF2-40B4-BE49-F238E27FC236}">
              <a16:creationId xmlns:a16="http://schemas.microsoft.com/office/drawing/2014/main" id="{7C53F2F8-E82C-4593-8A56-F74A89DF7C5C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53" name="文字方塊 9">
          <a:extLst>
            <a:ext uri="{FF2B5EF4-FFF2-40B4-BE49-F238E27FC236}">
              <a16:creationId xmlns:a16="http://schemas.microsoft.com/office/drawing/2014/main" id="{4FA48D06-B29B-4958-BBDE-77127D2AB7D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782D68E7-2A7E-4D0C-9D2B-BB618EDD74C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1A8CF44E-4AA2-4F41-B199-85FDC06F053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6" name="文字方塊 55">
          <a:extLst>
            <a:ext uri="{FF2B5EF4-FFF2-40B4-BE49-F238E27FC236}">
              <a16:creationId xmlns:a16="http://schemas.microsoft.com/office/drawing/2014/main" id="{6AB34DFA-2E69-4DA1-AC62-D1DF59C14DF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7" name="文字方塊 56">
          <a:extLst>
            <a:ext uri="{FF2B5EF4-FFF2-40B4-BE49-F238E27FC236}">
              <a16:creationId xmlns:a16="http://schemas.microsoft.com/office/drawing/2014/main" id="{386E75C0-C942-47CB-8E10-BBF415E71E0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85019E30-8BC6-48BF-A56B-29DE0339917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9" name="文字方塊 58">
          <a:extLst>
            <a:ext uri="{FF2B5EF4-FFF2-40B4-BE49-F238E27FC236}">
              <a16:creationId xmlns:a16="http://schemas.microsoft.com/office/drawing/2014/main" id="{954F1DB1-DBC5-4886-A224-060929780CF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0" name="文字方塊 8">
          <a:extLst>
            <a:ext uri="{FF2B5EF4-FFF2-40B4-BE49-F238E27FC236}">
              <a16:creationId xmlns:a16="http://schemas.microsoft.com/office/drawing/2014/main" id="{D1CD9778-3104-4CA7-83DA-AB2F334687C1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61" name="文字方塊 9">
          <a:extLst>
            <a:ext uri="{FF2B5EF4-FFF2-40B4-BE49-F238E27FC236}">
              <a16:creationId xmlns:a16="http://schemas.microsoft.com/office/drawing/2014/main" id="{0806D6B1-3417-45F1-8C61-E058DD1DCA4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A82C4F11-665C-4052-8BD4-BA9E09593E8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3" name="文字方塊 62">
          <a:extLst>
            <a:ext uri="{FF2B5EF4-FFF2-40B4-BE49-F238E27FC236}">
              <a16:creationId xmlns:a16="http://schemas.microsoft.com/office/drawing/2014/main" id="{D08683BC-0E24-43D7-B154-3AADCD8A6C0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4" name="文字方塊 63">
          <a:extLst>
            <a:ext uri="{FF2B5EF4-FFF2-40B4-BE49-F238E27FC236}">
              <a16:creationId xmlns:a16="http://schemas.microsoft.com/office/drawing/2014/main" id="{457EDAE4-B0AA-4EDF-B432-1F86293F5F7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5" name="文字方塊 64">
          <a:extLst>
            <a:ext uri="{FF2B5EF4-FFF2-40B4-BE49-F238E27FC236}">
              <a16:creationId xmlns:a16="http://schemas.microsoft.com/office/drawing/2014/main" id="{60F3D955-316C-45BF-87E8-333D8E19E70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DDCB7C98-F7F4-48DA-8D1F-791788453F0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7" name="文字方塊 66">
          <a:extLst>
            <a:ext uri="{FF2B5EF4-FFF2-40B4-BE49-F238E27FC236}">
              <a16:creationId xmlns:a16="http://schemas.microsoft.com/office/drawing/2014/main" id="{99F5B7FC-5C83-40CA-8BE5-9832DB6018B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8" name="文字方塊 8">
          <a:extLst>
            <a:ext uri="{FF2B5EF4-FFF2-40B4-BE49-F238E27FC236}">
              <a16:creationId xmlns:a16="http://schemas.microsoft.com/office/drawing/2014/main" id="{7C1EF57E-5CE7-414D-9239-EDFAE4156EAC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69" name="文字方塊 9">
          <a:extLst>
            <a:ext uri="{FF2B5EF4-FFF2-40B4-BE49-F238E27FC236}">
              <a16:creationId xmlns:a16="http://schemas.microsoft.com/office/drawing/2014/main" id="{19F9AA65-AFF8-4A2B-BDDC-766D08DFEDC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0A73AAFA-8308-465F-8AAB-6C0D0331AEE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99C167EC-9EC8-4304-9318-03FC4BBABD5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2" name="文字方塊 71">
          <a:extLst>
            <a:ext uri="{FF2B5EF4-FFF2-40B4-BE49-F238E27FC236}">
              <a16:creationId xmlns:a16="http://schemas.microsoft.com/office/drawing/2014/main" id="{020BCB82-D8E1-4076-A56B-3630A743D3B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73" name="文字方塊 72">
          <a:extLst>
            <a:ext uri="{FF2B5EF4-FFF2-40B4-BE49-F238E27FC236}">
              <a16:creationId xmlns:a16="http://schemas.microsoft.com/office/drawing/2014/main" id="{A20C88F4-4D22-4478-8098-A1110446C57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28803600" y="1585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>
          <a:spLocks noChangeAspect="1"/>
        </xdr:cNvSpPr>
      </xdr:nvSpPr>
      <xdr:spPr>
        <a:xfrm>
          <a:off x="28803600" y="101290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twoCellAnchor editAs="oneCell">
    <xdr:from>
      <xdr:col>3</xdr:col>
      <xdr:colOff>123269</xdr:colOff>
      <xdr:row>1</xdr:row>
      <xdr:rowOff>56021</xdr:rowOff>
    </xdr:from>
    <xdr:to>
      <xdr:col>6</xdr:col>
      <xdr:colOff>231472</xdr:colOff>
      <xdr:row>3</xdr:row>
      <xdr:rowOff>481220</xdr:rowOff>
    </xdr:to>
    <xdr:sp macro="[0]!auto_length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>
          <a:spLocks noChangeAspect="1"/>
        </xdr:cNvSpPr>
      </xdr:nvSpPr>
      <xdr:spPr>
        <a:xfrm>
          <a:off x="2180669" y="322721"/>
          <a:ext cx="2165603" cy="761171"/>
        </a:xfrm>
        <a:prstGeom prst="rect">
          <a:avLst/>
        </a:prstGeom>
        <a:solidFill>
          <a:schemeClr val="bg1"/>
        </a:solidFill>
        <a:ln w="38100">
          <a:solidFill>
            <a:schemeClr val="accent2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2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計算長度</a:t>
          </a:r>
        </a:p>
      </xdr:txBody>
    </xdr:sp>
    <xdr:clientData/>
  </xdr:twoCellAnchor>
  <xdr:oneCellAnchor>
    <xdr:from>
      <xdr:col>13</xdr:col>
      <xdr:colOff>134475</xdr:colOff>
      <xdr:row>1</xdr:row>
      <xdr:rowOff>56021</xdr:rowOff>
    </xdr:from>
    <xdr:ext cx="2160000" cy="360000"/>
    <xdr:sp macro="[0]!auto_angle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>
          <a:spLocks noChangeAspect="1"/>
        </xdr:cNvSpPr>
      </xdr:nvSpPr>
      <xdr:spPr>
        <a:xfrm>
          <a:off x="9049875" y="322721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4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計算角度</a:t>
          </a:r>
          <a:r>
            <a:rPr lang="en-US" altLang="zh-TW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(°)</a:t>
          </a:r>
          <a:endParaRPr lang="zh-TW" altLang="en-US" sz="1600" b="1">
            <a:solidFill>
              <a:schemeClr val="accent4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oneCellAnchor>
  <xdr:oneCellAnchor>
    <xdr:from>
      <xdr:col>24</xdr:col>
      <xdr:colOff>134475</xdr:colOff>
      <xdr:row>1</xdr:row>
      <xdr:rowOff>56022</xdr:rowOff>
    </xdr:from>
    <xdr:ext cx="2160000" cy="360000"/>
    <xdr:sp macro="[0]!auto_area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>
          <a:spLocks noChangeAspect="1"/>
        </xdr:cNvSpPr>
      </xdr:nvSpPr>
      <xdr:spPr>
        <a:xfrm>
          <a:off x="16593675" y="322722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6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計算面積</a:t>
          </a:r>
        </a:p>
      </xdr:txBody>
    </xdr:sp>
    <xdr:clientData/>
  </xdr:oneCellAnchor>
  <xdr:twoCellAnchor editAs="oneCell">
    <xdr:from>
      <xdr:col>6</xdr:col>
      <xdr:colOff>85169</xdr:colOff>
      <xdr:row>1</xdr:row>
      <xdr:rowOff>51539</xdr:rowOff>
    </xdr:from>
    <xdr:to>
      <xdr:col>8</xdr:col>
      <xdr:colOff>156371</xdr:colOff>
      <xdr:row>3</xdr:row>
      <xdr:rowOff>476738</xdr:rowOff>
    </xdr:to>
    <xdr:sp macro="[0]!clear_length" textlink="">
      <xdr:nvSpPr>
        <xdr:cNvPr id="7" name="矩形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>
          <a:spLocks/>
        </xdr:cNvSpPr>
      </xdr:nvSpPr>
      <xdr:spPr>
        <a:xfrm>
          <a:off x="4199969" y="318239"/>
          <a:ext cx="1442802" cy="761171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twoCellAnchor>
  <xdr:oneCellAnchor>
    <xdr:from>
      <xdr:col>16</xdr:col>
      <xdr:colOff>85169</xdr:colOff>
      <xdr:row>1</xdr:row>
      <xdr:rowOff>51539</xdr:rowOff>
    </xdr:from>
    <xdr:ext cx="1440000" cy="360000"/>
    <xdr:sp macro="[0]!clear_angle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>
          <a:spLocks/>
        </xdr:cNvSpPr>
      </xdr:nvSpPr>
      <xdr:spPr>
        <a:xfrm>
          <a:off x="11057969" y="3182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27</xdr:col>
      <xdr:colOff>85169</xdr:colOff>
      <xdr:row>1</xdr:row>
      <xdr:rowOff>51539</xdr:rowOff>
    </xdr:from>
    <xdr:ext cx="1440000" cy="360000"/>
    <xdr:sp macro="[0]!clear_area" textlink="">
      <xdr:nvSpPr>
        <xdr:cNvPr id="9" name="矩形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>
          <a:spLocks/>
        </xdr:cNvSpPr>
      </xdr:nvSpPr>
      <xdr:spPr>
        <a:xfrm>
          <a:off x="18601769" y="3182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82949DBA-4E34-414F-9F4C-6426FF541D9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6C18397F-7887-43A6-B1DD-FE114EE9852A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919BE108-C9F4-4AC1-9DBC-A4990B927F0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3F6EEA47-FB97-4BD5-BFC9-729DBB7D1C9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BDF71320-4BA6-4062-8C44-778EC66A9F5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B7DAA0E1-77E1-4AF9-A566-83BF5CCD899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6" name="文字方塊 8">
          <a:extLst>
            <a:ext uri="{FF2B5EF4-FFF2-40B4-BE49-F238E27FC236}">
              <a16:creationId xmlns:a16="http://schemas.microsoft.com/office/drawing/2014/main" id="{369952CD-8DAA-4DD6-869B-BF88F97E9662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7" name="文字方塊 9">
          <a:extLst>
            <a:ext uri="{FF2B5EF4-FFF2-40B4-BE49-F238E27FC236}">
              <a16:creationId xmlns:a16="http://schemas.microsoft.com/office/drawing/2014/main" id="{E6169F2F-C0FF-433C-B370-C4CCAEF3E0A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7E8BF921-CF34-424B-A266-37262DC1D2F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CF8A26FB-8E3F-4B2C-BD5D-9DDBE8D6C9F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E22CC711-AB2B-47D6-82A8-955C57FC0C5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9F8ECD73-B9EB-4074-A750-8A19A7DB29F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0FD5A959-E99E-4BC3-8536-0215E33B150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DE064A2B-753D-48E1-BA05-8C319E28527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4" name="文字方塊 8">
          <a:extLst>
            <a:ext uri="{FF2B5EF4-FFF2-40B4-BE49-F238E27FC236}">
              <a16:creationId xmlns:a16="http://schemas.microsoft.com/office/drawing/2014/main" id="{FB24AE15-EAEB-4045-89DE-1CE3C69164E1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5" name="文字方塊 9">
          <a:extLst>
            <a:ext uri="{FF2B5EF4-FFF2-40B4-BE49-F238E27FC236}">
              <a16:creationId xmlns:a16="http://schemas.microsoft.com/office/drawing/2014/main" id="{EF004C91-49AA-485E-9685-2FFFCB48E54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3904E661-EE67-4DC6-900B-C4FA30A7C38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2EC72195-AB54-49F3-8A64-DF1E1393593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30D06A25-0C86-49C7-BC62-A0EF0DE4C5C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EFFCA263-91ED-4B79-ACC3-CF602936A6F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E4CE9C6F-2B2F-439A-BDB8-702E9C38EE5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589BCCF6-140C-43A9-8B79-7E3D37E1340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32" name="文字方塊 8">
          <a:extLst>
            <a:ext uri="{FF2B5EF4-FFF2-40B4-BE49-F238E27FC236}">
              <a16:creationId xmlns:a16="http://schemas.microsoft.com/office/drawing/2014/main" id="{83B1C060-52E0-4C66-9806-55353FCE35A3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33" name="文字方塊 9">
          <a:extLst>
            <a:ext uri="{FF2B5EF4-FFF2-40B4-BE49-F238E27FC236}">
              <a16:creationId xmlns:a16="http://schemas.microsoft.com/office/drawing/2014/main" id="{B392D948-CAE5-48D5-BAD4-B7F3C5E2F92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065F0EFA-B799-4C22-B5D1-C9B081425A0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615FCE5B-1AD2-4EEF-902A-2DD15521B05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6" name="文字方塊 35">
          <a:extLst>
            <a:ext uri="{FF2B5EF4-FFF2-40B4-BE49-F238E27FC236}">
              <a16:creationId xmlns:a16="http://schemas.microsoft.com/office/drawing/2014/main" id="{E36032BC-114D-43F7-A912-5ADDDFEE4AA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E99769BA-5C8E-488E-A28B-9B59AACE229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F4507F01-84E6-4D70-A8F3-BF572B9C165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FA710189-CA3F-4855-A384-0B4256CCDB9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0" name="文字方塊 8">
          <a:extLst>
            <a:ext uri="{FF2B5EF4-FFF2-40B4-BE49-F238E27FC236}">
              <a16:creationId xmlns:a16="http://schemas.microsoft.com/office/drawing/2014/main" id="{6EF65C15-BBE6-4C51-BBD6-C1BAFB1C31EB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1" name="文字方塊 9">
          <a:extLst>
            <a:ext uri="{FF2B5EF4-FFF2-40B4-BE49-F238E27FC236}">
              <a16:creationId xmlns:a16="http://schemas.microsoft.com/office/drawing/2014/main" id="{7675B9DB-191B-4237-927D-7B6BED1D6AA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EAF30BA5-B281-4CA1-AA6E-8703B702959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C9AED7E4-6968-450E-8E6C-E1DF6BA62CD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BE5A87F9-9D8A-45AC-A003-56DEEC365BD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5" name="文字方塊 44">
          <a:extLst>
            <a:ext uri="{FF2B5EF4-FFF2-40B4-BE49-F238E27FC236}">
              <a16:creationId xmlns:a16="http://schemas.microsoft.com/office/drawing/2014/main" id="{99E7FEA0-CFC4-4CD8-B42D-D7801334816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5ABA2B53-5C76-476B-9B1C-A3634626746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B2DFECFB-8CF5-4EAC-82CF-AC66F9AE10E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8" name="文字方塊 8">
          <a:extLst>
            <a:ext uri="{FF2B5EF4-FFF2-40B4-BE49-F238E27FC236}">
              <a16:creationId xmlns:a16="http://schemas.microsoft.com/office/drawing/2014/main" id="{A52B882F-F924-49D8-9CA9-58D23F71F665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9" name="文字方塊 9">
          <a:extLst>
            <a:ext uri="{FF2B5EF4-FFF2-40B4-BE49-F238E27FC236}">
              <a16:creationId xmlns:a16="http://schemas.microsoft.com/office/drawing/2014/main" id="{CFF114F5-B7C0-4B0A-A1C5-1743D3B9E26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48BD381F-64F6-4607-BBC0-9716180351F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251F9FE0-02D7-4DC8-A8EC-1E665287054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2" name="文字方塊 51">
          <a:extLst>
            <a:ext uri="{FF2B5EF4-FFF2-40B4-BE49-F238E27FC236}">
              <a16:creationId xmlns:a16="http://schemas.microsoft.com/office/drawing/2014/main" id="{38945FD8-165E-4043-9FBB-2336429A566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3" name="文字方塊 52">
          <a:extLst>
            <a:ext uri="{FF2B5EF4-FFF2-40B4-BE49-F238E27FC236}">
              <a16:creationId xmlns:a16="http://schemas.microsoft.com/office/drawing/2014/main" id="{A9415A2E-EBB6-45A1-B826-278B047F945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3CE06839-4AD8-48E1-A4CD-EEFECB9F0FA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05A8D3FA-6C32-48B4-A4D1-B05E6383D4F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6" name="文字方塊 8">
          <a:extLst>
            <a:ext uri="{FF2B5EF4-FFF2-40B4-BE49-F238E27FC236}">
              <a16:creationId xmlns:a16="http://schemas.microsoft.com/office/drawing/2014/main" id="{69A460B4-6269-4E06-BE63-35C7C910E745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57" name="文字方塊 9">
          <a:extLst>
            <a:ext uri="{FF2B5EF4-FFF2-40B4-BE49-F238E27FC236}">
              <a16:creationId xmlns:a16="http://schemas.microsoft.com/office/drawing/2014/main" id="{780EFE51-732F-4E8E-9F87-0AFDF4D52C9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91F4F179-2BA4-470B-9877-7F1A270B1EC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9" name="文字方塊 58">
          <a:extLst>
            <a:ext uri="{FF2B5EF4-FFF2-40B4-BE49-F238E27FC236}">
              <a16:creationId xmlns:a16="http://schemas.microsoft.com/office/drawing/2014/main" id="{DDBA4888-943D-45FD-B448-001576616D8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0" name="文字方塊 59">
          <a:extLst>
            <a:ext uri="{FF2B5EF4-FFF2-40B4-BE49-F238E27FC236}">
              <a16:creationId xmlns:a16="http://schemas.microsoft.com/office/drawing/2014/main" id="{F9831D52-FCD1-405C-85FD-BA5CA7E7543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7D9C4FB6-11E3-469E-983F-BA61D729B55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96BD7799-2E40-4C78-90D2-E1E59C5DAFA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3" name="文字方塊 62">
          <a:extLst>
            <a:ext uri="{FF2B5EF4-FFF2-40B4-BE49-F238E27FC236}">
              <a16:creationId xmlns:a16="http://schemas.microsoft.com/office/drawing/2014/main" id="{3DEE3C2E-ECAD-49A9-BAE2-283A4869768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4" name="文字方塊 8">
          <a:extLst>
            <a:ext uri="{FF2B5EF4-FFF2-40B4-BE49-F238E27FC236}">
              <a16:creationId xmlns:a16="http://schemas.microsoft.com/office/drawing/2014/main" id="{7067AAC4-72E8-4B46-9F84-E69F23750BBB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65" name="文字方塊 9">
          <a:extLst>
            <a:ext uri="{FF2B5EF4-FFF2-40B4-BE49-F238E27FC236}">
              <a16:creationId xmlns:a16="http://schemas.microsoft.com/office/drawing/2014/main" id="{DFC8D227-467E-4DB9-9FC4-01E23F778D0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58CC2E86-4F86-44AF-9D47-7029AAE261D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7" name="文字方塊 66">
          <a:extLst>
            <a:ext uri="{FF2B5EF4-FFF2-40B4-BE49-F238E27FC236}">
              <a16:creationId xmlns:a16="http://schemas.microsoft.com/office/drawing/2014/main" id="{9D904741-1B93-414F-890C-FF9897A5C3E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8" name="文字方塊 67">
          <a:extLst>
            <a:ext uri="{FF2B5EF4-FFF2-40B4-BE49-F238E27FC236}">
              <a16:creationId xmlns:a16="http://schemas.microsoft.com/office/drawing/2014/main" id="{5D470058-1C76-4BE9-B66C-A75C91159AF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6CF15317-D4F9-45C3-8F56-BE261D17361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28803600" y="1585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>
          <a:spLocks noChangeAspect="1"/>
        </xdr:cNvSpPr>
      </xdr:nvSpPr>
      <xdr:spPr>
        <a:xfrm>
          <a:off x="28803600" y="101290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twoCellAnchor editAs="oneCell">
    <xdr:from>
      <xdr:col>3</xdr:col>
      <xdr:colOff>123269</xdr:colOff>
      <xdr:row>1</xdr:row>
      <xdr:rowOff>56021</xdr:rowOff>
    </xdr:from>
    <xdr:to>
      <xdr:col>6</xdr:col>
      <xdr:colOff>231472</xdr:colOff>
      <xdr:row>3</xdr:row>
      <xdr:rowOff>481220</xdr:rowOff>
    </xdr:to>
    <xdr:sp macro="[0]!auto_length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>
          <a:spLocks noChangeAspect="1"/>
        </xdr:cNvSpPr>
      </xdr:nvSpPr>
      <xdr:spPr>
        <a:xfrm>
          <a:off x="2180669" y="322721"/>
          <a:ext cx="2165603" cy="761171"/>
        </a:xfrm>
        <a:prstGeom prst="rect">
          <a:avLst/>
        </a:prstGeom>
        <a:solidFill>
          <a:schemeClr val="bg1"/>
        </a:solidFill>
        <a:ln w="38100">
          <a:solidFill>
            <a:schemeClr val="accent2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2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計算長度</a:t>
          </a:r>
        </a:p>
      </xdr:txBody>
    </xdr:sp>
    <xdr:clientData/>
  </xdr:twoCellAnchor>
  <xdr:oneCellAnchor>
    <xdr:from>
      <xdr:col>13</xdr:col>
      <xdr:colOff>134475</xdr:colOff>
      <xdr:row>1</xdr:row>
      <xdr:rowOff>56021</xdr:rowOff>
    </xdr:from>
    <xdr:ext cx="2160000" cy="360000"/>
    <xdr:sp macro="[0]!auto_angle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>
          <a:spLocks noChangeAspect="1"/>
        </xdr:cNvSpPr>
      </xdr:nvSpPr>
      <xdr:spPr>
        <a:xfrm>
          <a:off x="9049875" y="322721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4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計算角度</a:t>
          </a:r>
          <a:r>
            <a:rPr lang="en-US" altLang="zh-TW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(°)</a:t>
          </a:r>
          <a:endParaRPr lang="zh-TW" altLang="en-US" sz="1600" b="1">
            <a:solidFill>
              <a:schemeClr val="accent4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oneCellAnchor>
  <xdr:oneCellAnchor>
    <xdr:from>
      <xdr:col>24</xdr:col>
      <xdr:colOff>134475</xdr:colOff>
      <xdr:row>1</xdr:row>
      <xdr:rowOff>56022</xdr:rowOff>
    </xdr:from>
    <xdr:ext cx="2160000" cy="360000"/>
    <xdr:sp macro="[0]!auto_area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>
          <a:spLocks noChangeAspect="1"/>
        </xdr:cNvSpPr>
      </xdr:nvSpPr>
      <xdr:spPr>
        <a:xfrm>
          <a:off x="16593675" y="322722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6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計算面積</a:t>
          </a:r>
        </a:p>
      </xdr:txBody>
    </xdr:sp>
    <xdr:clientData/>
  </xdr:oneCellAnchor>
  <xdr:twoCellAnchor editAs="oneCell">
    <xdr:from>
      <xdr:col>6</xdr:col>
      <xdr:colOff>85169</xdr:colOff>
      <xdr:row>1</xdr:row>
      <xdr:rowOff>51539</xdr:rowOff>
    </xdr:from>
    <xdr:to>
      <xdr:col>8</xdr:col>
      <xdr:colOff>156371</xdr:colOff>
      <xdr:row>3</xdr:row>
      <xdr:rowOff>476738</xdr:rowOff>
    </xdr:to>
    <xdr:sp macro="[0]!clear_length" textlink="">
      <xdr:nvSpPr>
        <xdr:cNvPr id="7" name="矩形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>
          <a:spLocks/>
        </xdr:cNvSpPr>
      </xdr:nvSpPr>
      <xdr:spPr>
        <a:xfrm>
          <a:off x="4199969" y="318239"/>
          <a:ext cx="1442802" cy="761171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twoCellAnchor>
  <xdr:oneCellAnchor>
    <xdr:from>
      <xdr:col>16</xdr:col>
      <xdr:colOff>85169</xdr:colOff>
      <xdr:row>1</xdr:row>
      <xdr:rowOff>51539</xdr:rowOff>
    </xdr:from>
    <xdr:ext cx="1440000" cy="360000"/>
    <xdr:sp macro="[0]!clear_angle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>
          <a:spLocks/>
        </xdr:cNvSpPr>
      </xdr:nvSpPr>
      <xdr:spPr>
        <a:xfrm>
          <a:off x="11057969" y="3182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27</xdr:col>
      <xdr:colOff>85169</xdr:colOff>
      <xdr:row>1</xdr:row>
      <xdr:rowOff>51539</xdr:rowOff>
    </xdr:from>
    <xdr:ext cx="1440000" cy="360000"/>
    <xdr:sp macro="[0]!clear_area" textlink="">
      <xdr:nvSpPr>
        <xdr:cNvPr id="9" name="矩形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>
          <a:spLocks/>
        </xdr:cNvSpPr>
      </xdr:nvSpPr>
      <xdr:spPr>
        <a:xfrm>
          <a:off x="18601769" y="3182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9BB59111-D74D-4490-895A-B5B18D93BF9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658A45AE-3591-49E3-9C3B-0B1B1766808F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06EBB4DF-39F6-43DE-9316-03F531AE05A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C1722C6A-53D5-4C17-B4C9-CF88C8B3130F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031CE6C1-04B7-463E-A3AA-6771C1BE5F2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8C7C7921-9A5C-4C47-BA95-61631847B9C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" name="文字方塊 15">
          <a:extLst>
            <a:ext uri="{FF2B5EF4-FFF2-40B4-BE49-F238E27FC236}">
              <a16:creationId xmlns:a16="http://schemas.microsoft.com/office/drawing/2014/main" id="{AFEC363E-12AD-4537-A528-983D08AA24D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7" name="文字方塊 16">
          <a:extLst>
            <a:ext uri="{FF2B5EF4-FFF2-40B4-BE49-F238E27FC236}">
              <a16:creationId xmlns:a16="http://schemas.microsoft.com/office/drawing/2014/main" id="{4DF4D02D-B88B-424E-BF54-01D3F196E57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8" name="文字方塊 8">
          <a:extLst>
            <a:ext uri="{FF2B5EF4-FFF2-40B4-BE49-F238E27FC236}">
              <a16:creationId xmlns:a16="http://schemas.microsoft.com/office/drawing/2014/main" id="{B390006B-B17A-4FD4-B650-130C8BCD3B66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9" name="文字方塊 9">
          <a:extLst>
            <a:ext uri="{FF2B5EF4-FFF2-40B4-BE49-F238E27FC236}">
              <a16:creationId xmlns:a16="http://schemas.microsoft.com/office/drawing/2014/main" id="{B1FA1EE5-234C-46D4-AE6A-8D815F94DDB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5699EF7F-47EA-4D8C-9AC0-76301BEFD2C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BE6471C2-A0EE-4B83-990D-8FC835488D9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9E16A48F-6CF9-4116-984B-02E7C7C447A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5F6CDED1-12A0-47EB-B969-D7D901E6705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4" name="文字方塊 23">
          <a:extLst>
            <a:ext uri="{FF2B5EF4-FFF2-40B4-BE49-F238E27FC236}">
              <a16:creationId xmlns:a16="http://schemas.microsoft.com/office/drawing/2014/main" id="{CCADE529-69FD-419C-8A6C-F5FDD0868BB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5" name="文字方塊 24">
          <a:extLst>
            <a:ext uri="{FF2B5EF4-FFF2-40B4-BE49-F238E27FC236}">
              <a16:creationId xmlns:a16="http://schemas.microsoft.com/office/drawing/2014/main" id="{5323F867-9DB9-46DC-ADF1-A0F9DB9796B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6" name="文字方塊 8">
          <a:extLst>
            <a:ext uri="{FF2B5EF4-FFF2-40B4-BE49-F238E27FC236}">
              <a16:creationId xmlns:a16="http://schemas.microsoft.com/office/drawing/2014/main" id="{43405AB3-74F5-4A39-BF53-DF393CBB67E2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7" name="文字方塊 9">
          <a:extLst>
            <a:ext uri="{FF2B5EF4-FFF2-40B4-BE49-F238E27FC236}">
              <a16:creationId xmlns:a16="http://schemas.microsoft.com/office/drawing/2014/main" id="{45D0C3A2-7C60-413A-909A-3E784EC807C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929EF3D7-DDAF-4D60-B16D-82209B4BB00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6C18A7A4-9AC5-4D34-973B-585D9F9AE04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3BAA2DBE-2160-42E7-8425-91C84868FBE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ACEF7D7D-2B0C-4C20-8848-70570F98616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2" name="文字方塊 31">
          <a:extLst>
            <a:ext uri="{FF2B5EF4-FFF2-40B4-BE49-F238E27FC236}">
              <a16:creationId xmlns:a16="http://schemas.microsoft.com/office/drawing/2014/main" id="{58446B8F-EC12-484A-A4B3-90566CD14E0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3" name="文字方塊 32">
          <a:extLst>
            <a:ext uri="{FF2B5EF4-FFF2-40B4-BE49-F238E27FC236}">
              <a16:creationId xmlns:a16="http://schemas.microsoft.com/office/drawing/2014/main" id="{13660814-7922-4177-A37C-2A6741EF7E0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34" name="文字方塊 8">
          <a:extLst>
            <a:ext uri="{FF2B5EF4-FFF2-40B4-BE49-F238E27FC236}">
              <a16:creationId xmlns:a16="http://schemas.microsoft.com/office/drawing/2014/main" id="{985D9389-CAF7-4D36-A7EC-00829A82E7B8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35" name="文字方塊 9">
          <a:extLst>
            <a:ext uri="{FF2B5EF4-FFF2-40B4-BE49-F238E27FC236}">
              <a16:creationId xmlns:a16="http://schemas.microsoft.com/office/drawing/2014/main" id="{AC6A4E54-6F75-4B73-85B4-6C9C7D9DF67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6" name="文字方塊 35">
          <a:extLst>
            <a:ext uri="{FF2B5EF4-FFF2-40B4-BE49-F238E27FC236}">
              <a16:creationId xmlns:a16="http://schemas.microsoft.com/office/drawing/2014/main" id="{A5E2558D-3DB2-451A-B575-E3B67750446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674EBF8D-DD95-4DF1-9B52-89C72DCF85A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B7BC79B5-A909-47FE-A843-C2DD14E866A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7E673137-347B-4E8D-8A48-AA02C4D154D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0" name="文字方塊 39">
          <a:extLst>
            <a:ext uri="{FF2B5EF4-FFF2-40B4-BE49-F238E27FC236}">
              <a16:creationId xmlns:a16="http://schemas.microsoft.com/office/drawing/2014/main" id="{8EC30576-62F8-4482-882B-5F507390788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1" name="文字方塊 40">
          <a:extLst>
            <a:ext uri="{FF2B5EF4-FFF2-40B4-BE49-F238E27FC236}">
              <a16:creationId xmlns:a16="http://schemas.microsoft.com/office/drawing/2014/main" id="{0867B6F0-5E00-414A-A3F7-7F018F35383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2" name="文字方塊 8">
          <a:extLst>
            <a:ext uri="{FF2B5EF4-FFF2-40B4-BE49-F238E27FC236}">
              <a16:creationId xmlns:a16="http://schemas.microsoft.com/office/drawing/2014/main" id="{E32CCE60-C2CC-4328-8226-61066BA49C13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3" name="文字方塊 9">
          <a:extLst>
            <a:ext uri="{FF2B5EF4-FFF2-40B4-BE49-F238E27FC236}">
              <a16:creationId xmlns:a16="http://schemas.microsoft.com/office/drawing/2014/main" id="{7380AD55-D94A-487F-BF55-3B123ACB19A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306DC022-6173-4289-9F13-0210EEDA5CD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5" name="文字方塊 44">
          <a:extLst>
            <a:ext uri="{FF2B5EF4-FFF2-40B4-BE49-F238E27FC236}">
              <a16:creationId xmlns:a16="http://schemas.microsoft.com/office/drawing/2014/main" id="{A091767A-E6E8-4571-BE23-BA53713E3D9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D5D9C550-00C9-40C5-8257-056115DC67D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7A8D29C0-2030-4E8C-B2DD-612F159222B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8" name="文字方塊 47">
          <a:extLst>
            <a:ext uri="{FF2B5EF4-FFF2-40B4-BE49-F238E27FC236}">
              <a16:creationId xmlns:a16="http://schemas.microsoft.com/office/drawing/2014/main" id="{11EDB594-87D0-4DD9-B93B-CAD264C74FE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9" name="文字方塊 48">
          <a:extLst>
            <a:ext uri="{FF2B5EF4-FFF2-40B4-BE49-F238E27FC236}">
              <a16:creationId xmlns:a16="http://schemas.microsoft.com/office/drawing/2014/main" id="{61E0C912-6916-4017-AF8E-A842280BE1D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0" name="文字方塊 8">
          <a:extLst>
            <a:ext uri="{FF2B5EF4-FFF2-40B4-BE49-F238E27FC236}">
              <a16:creationId xmlns:a16="http://schemas.microsoft.com/office/drawing/2014/main" id="{04DDDBE1-D2D2-4B5D-926B-6FB6381D2E66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51" name="文字方塊 9">
          <a:extLst>
            <a:ext uri="{FF2B5EF4-FFF2-40B4-BE49-F238E27FC236}">
              <a16:creationId xmlns:a16="http://schemas.microsoft.com/office/drawing/2014/main" id="{141D32A8-C94C-45D6-99CF-E1B33A752D3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2" name="文字方塊 51">
          <a:extLst>
            <a:ext uri="{FF2B5EF4-FFF2-40B4-BE49-F238E27FC236}">
              <a16:creationId xmlns:a16="http://schemas.microsoft.com/office/drawing/2014/main" id="{593B66DB-37AC-46AF-8DA0-117B9E84A58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3" name="文字方塊 52">
          <a:extLst>
            <a:ext uri="{FF2B5EF4-FFF2-40B4-BE49-F238E27FC236}">
              <a16:creationId xmlns:a16="http://schemas.microsoft.com/office/drawing/2014/main" id="{19A525CE-1ED3-41FB-B726-A7D5E64CA7D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44AF88D4-6A7E-4ADB-B65A-A0C9BE0A6CD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F953EF24-E857-4A5A-AA4A-72C68E54BEE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6" name="文字方塊 55">
          <a:extLst>
            <a:ext uri="{FF2B5EF4-FFF2-40B4-BE49-F238E27FC236}">
              <a16:creationId xmlns:a16="http://schemas.microsoft.com/office/drawing/2014/main" id="{E57C77B3-4088-4526-BE82-4758BC6AF56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7" name="文字方塊 56">
          <a:extLst>
            <a:ext uri="{FF2B5EF4-FFF2-40B4-BE49-F238E27FC236}">
              <a16:creationId xmlns:a16="http://schemas.microsoft.com/office/drawing/2014/main" id="{C3DD6618-2508-4A4D-8A17-CCC192AAE59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8" name="文字方塊 8">
          <a:extLst>
            <a:ext uri="{FF2B5EF4-FFF2-40B4-BE49-F238E27FC236}">
              <a16:creationId xmlns:a16="http://schemas.microsoft.com/office/drawing/2014/main" id="{A50249B8-9FF1-412D-A754-D48762EAC370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9" name="文字方塊 58">
          <a:extLst>
            <a:ext uri="{FF2B5EF4-FFF2-40B4-BE49-F238E27FC236}">
              <a16:creationId xmlns:a16="http://schemas.microsoft.com/office/drawing/2014/main" id="{763CD135-C531-43C4-A8A1-2EBD7F29F30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0" name="文字方塊 59">
          <a:extLst>
            <a:ext uri="{FF2B5EF4-FFF2-40B4-BE49-F238E27FC236}">
              <a16:creationId xmlns:a16="http://schemas.microsoft.com/office/drawing/2014/main" id="{3C64E3D8-DD0E-4A9C-9941-BBAB4C3A1A3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65932B0A-3AD4-4C54-B98C-EB02DBABD1D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2" name="文字方塊 8">
          <a:extLst>
            <a:ext uri="{FF2B5EF4-FFF2-40B4-BE49-F238E27FC236}">
              <a16:creationId xmlns:a16="http://schemas.microsoft.com/office/drawing/2014/main" id="{BF9DC906-1584-44EE-830B-4FFCA13AF754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3" name="文字方塊 62">
          <a:extLst>
            <a:ext uri="{FF2B5EF4-FFF2-40B4-BE49-F238E27FC236}">
              <a16:creationId xmlns:a16="http://schemas.microsoft.com/office/drawing/2014/main" id="{C5F36CF3-A870-4B27-AA75-E2317D9D3BC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4" name="文字方塊 63">
          <a:extLst>
            <a:ext uri="{FF2B5EF4-FFF2-40B4-BE49-F238E27FC236}">
              <a16:creationId xmlns:a16="http://schemas.microsoft.com/office/drawing/2014/main" id="{E73CC66E-37BB-4E4E-AEC4-74C60246B33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5" name="文字方塊 64">
          <a:extLst>
            <a:ext uri="{FF2B5EF4-FFF2-40B4-BE49-F238E27FC236}">
              <a16:creationId xmlns:a16="http://schemas.microsoft.com/office/drawing/2014/main" id="{8A283269-49DB-41E2-9AB1-293A9C7A7B9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6" name="文字方塊 8">
          <a:extLst>
            <a:ext uri="{FF2B5EF4-FFF2-40B4-BE49-F238E27FC236}">
              <a16:creationId xmlns:a16="http://schemas.microsoft.com/office/drawing/2014/main" id="{632FE309-EA53-4A71-85C0-6C84D73E7220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7" name="文字方塊 66">
          <a:extLst>
            <a:ext uri="{FF2B5EF4-FFF2-40B4-BE49-F238E27FC236}">
              <a16:creationId xmlns:a16="http://schemas.microsoft.com/office/drawing/2014/main" id="{A7C1197E-4AF0-4444-88C1-3DE94F70011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8" name="文字方塊 67">
          <a:extLst>
            <a:ext uri="{FF2B5EF4-FFF2-40B4-BE49-F238E27FC236}">
              <a16:creationId xmlns:a16="http://schemas.microsoft.com/office/drawing/2014/main" id="{4828FF87-E6B4-4B71-8FAF-29DF404F81A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9ABC217B-C0E0-4FB0-AEE6-488A48481A4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0" name="文字方塊 8">
          <a:extLst>
            <a:ext uri="{FF2B5EF4-FFF2-40B4-BE49-F238E27FC236}">
              <a16:creationId xmlns:a16="http://schemas.microsoft.com/office/drawing/2014/main" id="{124E40F9-4E9D-4EC6-B050-8BE207472680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8061F5E7-183B-4F36-BEDB-A93065FF0C6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2" name="文字方塊 71">
          <a:extLst>
            <a:ext uri="{FF2B5EF4-FFF2-40B4-BE49-F238E27FC236}">
              <a16:creationId xmlns:a16="http://schemas.microsoft.com/office/drawing/2014/main" id="{495DD050-6F57-4F54-8C1F-292E42D3E6F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3" name="文字方塊 72">
          <a:extLst>
            <a:ext uri="{FF2B5EF4-FFF2-40B4-BE49-F238E27FC236}">
              <a16:creationId xmlns:a16="http://schemas.microsoft.com/office/drawing/2014/main" id="{9B799A02-A401-46D3-ADD7-23929628354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4" name="文字方塊 8">
          <a:extLst>
            <a:ext uri="{FF2B5EF4-FFF2-40B4-BE49-F238E27FC236}">
              <a16:creationId xmlns:a16="http://schemas.microsoft.com/office/drawing/2014/main" id="{CBCC66AE-2B11-4681-9723-1A9F60679730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5" name="文字方塊 74">
          <a:extLst>
            <a:ext uri="{FF2B5EF4-FFF2-40B4-BE49-F238E27FC236}">
              <a16:creationId xmlns:a16="http://schemas.microsoft.com/office/drawing/2014/main" id="{90380D4C-DA10-4143-84E6-8CCA2141F68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6" name="文字方塊 75">
          <a:extLst>
            <a:ext uri="{FF2B5EF4-FFF2-40B4-BE49-F238E27FC236}">
              <a16:creationId xmlns:a16="http://schemas.microsoft.com/office/drawing/2014/main" id="{6DE93E1F-1D20-4351-BB0A-B82B2D17352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DCC11A89-DFBB-4802-AEFF-EC4CF578C77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8" name="文字方塊 8">
          <a:extLst>
            <a:ext uri="{FF2B5EF4-FFF2-40B4-BE49-F238E27FC236}">
              <a16:creationId xmlns:a16="http://schemas.microsoft.com/office/drawing/2014/main" id="{42D1D2E4-5808-4DDA-A64A-EE14BB4100BA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9" name="文字方塊 78">
          <a:extLst>
            <a:ext uri="{FF2B5EF4-FFF2-40B4-BE49-F238E27FC236}">
              <a16:creationId xmlns:a16="http://schemas.microsoft.com/office/drawing/2014/main" id="{B78FF934-926B-4332-B5C3-B40790C3D1D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0" name="文字方塊 79">
          <a:extLst>
            <a:ext uri="{FF2B5EF4-FFF2-40B4-BE49-F238E27FC236}">
              <a16:creationId xmlns:a16="http://schemas.microsoft.com/office/drawing/2014/main" id="{7E4F13F3-1B2D-44FB-ADBC-EC18F25BD05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1" name="文字方塊 80">
          <a:extLst>
            <a:ext uri="{FF2B5EF4-FFF2-40B4-BE49-F238E27FC236}">
              <a16:creationId xmlns:a16="http://schemas.microsoft.com/office/drawing/2014/main" id="{126B069C-7433-4F1D-8632-49A9E2664E1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2" name="文字方塊 8">
          <a:extLst>
            <a:ext uri="{FF2B5EF4-FFF2-40B4-BE49-F238E27FC236}">
              <a16:creationId xmlns:a16="http://schemas.microsoft.com/office/drawing/2014/main" id="{D3349528-53A1-4CE0-AFFD-E2DEEFEC23D0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3" name="文字方塊 82">
          <a:extLst>
            <a:ext uri="{FF2B5EF4-FFF2-40B4-BE49-F238E27FC236}">
              <a16:creationId xmlns:a16="http://schemas.microsoft.com/office/drawing/2014/main" id="{33815D33-C160-4C9F-BF12-31CE4B44867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4" name="文字方塊 83">
          <a:extLst>
            <a:ext uri="{FF2B5EF4-FFF2-40B4-BE49-F238E27FC236}">
              <a16:creationId xmlns:a16="http://schemas.microsoft.com/office/drawing/2014/main" id="{3B8DA130-0A69-4E37-BC9E-3E444CC448B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5" name="文字方塊 84">
          <a:extLst>
            <a:ext uri="{FF2B5EF4-FFF2-40B4-BE49-F238E27FC236}">
              <a16:creationId xmlns:a16="http://schemas.microsoft.com/office/drawing/2014/main" id="{7CB5827C-1028-4F92-9F5D-0F70B92D0DF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86" name="文字方塊 85">
          <a:extLst>
            <a:ext uri="{FF2B5EF4-FFF2-40B4-BE49-F238E27FC236}">
              <a16:creationId xmlns:a16="http://schemas.microsoft.com/office/drawing/2014/main" id="{F2333480-6987-4D5D-9778-561CFA5521B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7" name="文字方塊 86">
          <a:extLst>
            <a:ext uri="{FF2B5EF4-FFF2-40B4-BE49-F238E27FC236}">
              <a16:creationId xmlns:a16="http://schemas.microsoft.com/office/drawing/2014/main" id="{FEA2A3B4-D40E-48F4-9632-754A84479F1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88" name="文字方塊 87">
          <a:extLst>
            <a:ext uri="{FF2B5EF4-FFF2-40B4-BE49-F238E27FC236}">
              <a16:creationId xmlns:a16="http://schemas.microsoft.com/office/drawing/2014/main" id="{2D274918-A94C-4846-8541-14F5DD9DD3A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9" name="文字方塊 8">
          <a:extLst>
            <a:ext uri="{FF2B5EF4-FFF2-40B4-BE49-F238E27FC236}">
              <a16:creationId xmlns:a16="http://schemas.microsoft.com/office/drawing/2014/main" id="{C3B4C68C-845C-4282-9356-C04D0D1D135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90" name="文字方塊 9">
          <a:extLst>
            <a:ext uri="{FF2B5EF4-FFF2-40B4-BE49-F238E27FC236}">
              <a16:creationId xmlns:a16="http://schemas.microsoft.com/office/drawing/2014/main" id="{36CB21BF-B919-40FF-9E0D-646220857D7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1" name="文字方塊 90">
          <a:extLst>
            <a:ext uri="{FF2B5EF4-FFF2-40B4-BE49-F238E27FC236}">
              <a16:creationId xmlns:a16="http://schemas.microsoft.com/office/drawing/2014/main" id="{561436F9-6BB5-4420-B367-0107823F8AC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92" name="文字方塊 91">
          <a:extLst>
            <a:ext uri="{FF2B5EF4-FFF2-40B4-BE49-F238E27FC236}">
              <a16:creationId xmlns:a16="http://schemas.microsoft.com/office/drawing/2014/main" id="{41154861-4477-4B8F-AB48-F38AA334541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3" name="文字方塊 92">
          <a:extLst>
            <a:ext uri="{FF2B5EF4-FFF2-40B4-BE49-F238E27FC236}">
              <a16:creationId xmlns:a16="http://schemas.microsoft.com/office/drawing/2014/main" id="{D685FB2B-2790-4EB6-A467-A9E6FFF9CFF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94" name="文字方塊 93">
          <a:extLst>
            <a:ext uri="{FF2B5EF4-FFF2-40B4-BE49-F238E27FC236}">
              <a16:creationId xmlns:a16="http://schemas.microsoft.com/office/drawing/2014/main" id="{F1331D77-778A-47A0-8652-67E24555116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5" name="文字方塊 94">
          <a:extLst>
            <a:ext uri="{FF2B5EF4-FFF2-40B4-BE49-F238E27FC236}">
              <a16:creationId xmlns:a16="http://schemas.microsoft.com/office/drawing/2014/main" id="{D077E1C7-E83D-4629-A4F7-BFE5B7F7742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96" name="文字方塊 95">
          <a:extLst>
            <a:ext uri="{FF2B5EF4-FFF2-40B4-BE49-F238E27FC236}">
              <a16:creationId xmlns:a16="http://schemas.microsoft.com/office/drawing/2014/main" id="{B9455064-6F08-4D0B-9E3E-7878BE21098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97" name="文字方塊 8">
          <a:extLst>
            <a:ext uri="{FF2B5EF4-FFF2-40B4-BE49-F238E27FC236}">
              <a16:creationId xmlns:a16="http://schemas.microsoft.com/office/drawing/2014/main" id="{EFCC305E-9ECA-4551-AAD2-E65FA712CC46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98" name="文字方塊 9">
          <a:extLst>
            <a:ext uri="{FF2B5EF4-FFF2-40B4-BE49-F238E27FC236}">
              <a16:creationId xmlns:a16="http://schemas.microsoft.com/office/drawing/2014/main" id="{88E21ED4-90DA-4A8C-97EB-7FABB4FBCA4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9" name="文字方塊 98">
          <a:extLst>
            <a:ext uri="{FF2B5EF4-FFF2-40B4-BE49-F238E27FC236}">
              <a16:creationId xmlns:a16="http://schemas.microsoft.com/office/drawing/2014/main" id="{222C3E06-81FF-46BF-BFB1-FC1B08BC9C9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00" name="文字方塊 99">
          <a:extLst>
            <a:ext uri="{FF2B5EF4-FFF2-40B4-BE49-F238E27FC236}">
              <a16:creationId xmlns:a16="http://schemas.microsoft.com/office/drawing/2014/main" id="{44541F7E-D3FC-4DCC-8B7E-57822D73657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1" name="文字方塊 100">
          <a:extLst>
            <a:ext uri="{FF2B5EF4-FFF2-40B4-BE49-F238E27FC236}">
              <a16:creationId xmlns:a16="http://schemas.microsoft.com/office/drawing/2014/main" id="{2B3A3BDF-6339-4DEF-A79F-80C9F7E9F39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02" name="文字方塊 101">
          <a:extLst>
            <a:ext uri="{FF2B5EF4-FFF2-40B4-BE49-F238E27FC236}">
              <a16:creationId xmlns:a16="http://schemas.microsoft.com/office/drawing/2014/main" id="{B4AE84F4-3345-449A-A660-45F8951CD54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3" name="文字方塊 102">
          <a:extLst>
            <a:ext uri="{FF2B5EF4-FFF2-40B4-BE49-F238E27FC236}">
              <a16:creationId xmlns:a16="http://schemas.microsoft.com/office/drawing/2014/main" id="{4A0EA673-ABF3-4C42-B22C-AA3E9F2518E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04" name="文字方塊 103">
          <a:extLst>
            <a:ext uri="{FF2B5EF4-FFF2-40B4-BE49-F238E27FC236}">
              <a16:creationId xmlns:a16="http://schemas.microsoft.com/office/drawing/2014/main" id="{B9D4001B-E6A6-4A11-B73F-031F95FE8E4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5" name="文字方塊 8">
          <a:extLst>
            <a:ext uri="{FF2B5EF4-FFF2-40B4-BE49-F238E27FC236}">
              <a16:creationId xmlns:a16="http://schemas.microsoft.com/office/drawing/2014/main" id="{25CC377D-A6EA-4912-87C0-D8CB8CD08F3D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06" name="文字方塊 9">
          <a:extLst>
            <a:ext uri="{FF2B5EF4-FFF2-40B4-BE49-F238E27FC236}">
              <a16:creationId xmlns:a16="http://schemas.microsoft.com/office/drawing/2014/main" id="{EEF86E26-F997-499E-81EF-68A86ED1073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7" name="文字方塊 106">
          <a:extLst>
            <a:ext uri="{FF2B5EF4-FFF2-40B4-BE49-F238E27FC236}">
              <a16:creationId xmlns:a16="http://schemas.microsoft.com/office/drawing/2014/main" id="{EE8E47BF-EDE5-4725-9134-A00DFE05206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08" name="文字方塊 107">
          <a:extLst>
            <a:ext uri="{FF2B5EF4-FFF2-40B4-BE49-F238E27FC236}">
              <a16:creationId xmlns:a16="http://schemas.microsoft.com/office/drawing/2014/main" id="{783039A8-370D-4CB2-B2D0-AC4478F3557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9" name="文字方塊 108">
          <a:extLst>
            <a:ext uri="{FF2B5EF4-FFF2-40B4-BE49-F238E27FC236}">
              <a16:creationId xmlns:a16="http://schemas.microsoft.com/office/drawing/2014/main" id="{7F9EEBDD-0919-4EF5-AAB6-650097C3C55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0" name="文字方塊 109">
          <a:extLst>
            <a:ext uri="{FF2B5EF4-FFF2-40B4-BE49-F238E27FC236}">
              <a16:creationId xmlns:a16="http://schemas.microsoft.com/office/drawing/2014/main" id="{2E7736D5-C730-49DA-88D3-A37C3D1B966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1" name="文字方塊 110">
          <a:extLst>
            <a:ext uri="{FF2B5EF4-FFF2-40B4-BE49-F238E27FC236}">
              <a16:creationId xmlns:a16="http://schemas.microsoft.com/office/drawing/2014/main" id="{DF2E8754-493A-41C6-AF8F-04DF6280563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2" name="文字方塊 111">
          <a:extLst>
            <a:ext uri="{FF2B5EF4-FFF2-40B4-BE49-F238E27FC236}">
              <a16:creationId xmlns:a16="http://schemas.microsoft.com/office/drawing/2014/main" id="{22B6BDC1-DDB1-4E5E-A908-EB962640BD1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13" name="文字方塊 8">
          <a:extLst>
            <a:ext uri="{FF2B5EF4-FFF2-40B4-BE49-F238E27FC236}">
              <a16:creationId xmlns:a16="http://schemas.microsoft.com/office/drawing/2014/main" id="{5853DC45-D4CE-459B-8C13-A62C053B94A7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14" name="文字方塊 9">
          <a:extLst>
            <a:ext uri="{FF2B5EF4-FFF2-40B4-BE49-F238E27FC236}">
              <a16:creationId xmlns:a16="http://schemas.microsoft.com/office/drawing/2014/main" id="{E67713D4-A9CC-4B72-912E-0644EA2FAD9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5" name="文字方塊 114">
          <a:extLst>
            <a:ext uri="{FF2B5EF4-FFF2-40B4-BE49-F238E27FC236}">
              <a16:creationId xmlns:a16="http://schemas.microsoft.com/office/drawing/2014/main" id="{81A6C9E1-8C74-4969-9CA0-189EBA112BF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6" name="文字方塊 115">
          <a:extLst>
            <a:ext uri="{FF2B5EF4-FFF2-40B4-BE49-F238E27FC236}">
              <a16:creationId xmlns:a16="http://schemas.microsoft.com/office/drawing/2014/main" id="{9FBD77D2-9CAC-479E-97BF-D0DE16CC8A7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7" name="文字方塊 116">
          <a:extLst>
            <a:ext uri="{FF2B5EF4-FFF2-40B4-BE49-F238E27FC236}">
              <a16:creationId xmlns:a16="http://schemas.microsoft.com/office/drawing/2014/main" id="{FD3FA953-5E13-48B9-B030-A49104D7E57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8" name="文字方塊 117">
          <a:extLst>
            <a:ext uri="{FF2B5EF4-FFF2-40B4-BE49-F238E27FC236}">
              <a16:creationId xmlns:a16="http://schemas.microsoft.com/office/drawing/2014/main" id="{B8EBCB9E-A2D9-445F-835F-6ACDA400746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9" name="文字方塊 118">
          <a:extLst>
            <a:ext uri="{FF2B5EF4-FFF2-40B4-BE49-F238E27FC236}">
              <a16:creationId xmlns:a16="http://schemas.microsoft.com/office/drawing/2014/main" id="{77F2D893-F8B9-4FFE-AF02-3139E2B9640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20" name="文字方塊 119">
          <a:extLst>
            <a:ext uri="{FF2B5EF4-FFF2-40B4-BE49-F238E27FC236}">
              <a16:creationId xmlns:a16="http://schemas.microsoft.com/office/drawing/2014/main" id="{986C27DA-FAF2-48D4-8240-EE20CAACB19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21" name="文字方塊 8">
          <a:extLst>
            <a:ext uri="{FF2B5EF4-FFF2-40B4-BE49-F238E27FC236}">
              <a16:creationId xmlns:a16="http://schemas.microsoft.com/office/drawing/2014/main" id="{3F09FF72-3F39-4300-A441-6BAA7D4E8204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22" name="文字方塊 9">
          <a:extLst>
            <a:ext uri="{FF2B5EF4-FFF2-40B4-BE49-F238E27FC236}">
              <a16:creationId xmlns:a16="http://schemas.microsoft.com/office/drawing/2014/main" id="{199BCE99-03A9-47A3-92FE-BC97D9B305A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3" name="文字方塊 122">
          <a:extLst>
            <a:ext uri="{FF2B5EF4-FFF2-40B4-BE49-F238E27FC236}">
              <a16:creationId xmlns:a16="http://schemas.microsoft.com/office/drawing/2014/main" id="{C9EEAA51-4502-4754-8D88-2A7A42B3653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24" name="文字方塊 123">
          <a:extLst>
            <a:ext uri="{FF2B5EF4-FFF2-40B4-BE49-F238E27FC236}">
              <a16:creationId xmlns:a16="http://schemas.microsoft.com/office/drawing/2014/main" id="{B74128C8-0E51-42C8-B98D-8477541BCED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5" name="文字方塊 124">
          <a:extLst>
            <a:ext uri="{FF2B5EF4-FFF2-40B4-BE49-F238E27FC236}">
              <a16:creationId xmlns:a16="http://schemas.microsoft.com/office/drawing/2014/main" id="{17D34809-E829-4049-8BE7-B3AD5A8AC54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26" name="文字方塊 125">
          <a:extLst>
            <a:ext uri="{FF2B5EF4-FFF2-40B4-BE49-F238E27FC236}">
              <a16:creationId xmlns:a16="http://schemas.microsoft.com/office/drawing/2014/main" id="{3FE231E8-C1E3-408E-81F4-10F65D5FDE1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7" name="文字方塊 126">
          <a:extLst>
            <a:ext uri="{FF2B5EF4-FFF2-40B4-BE49-F238E27FC236}">
              <a16:creationId xmlns:a16="http://schemas.microsoft.com/office/drawing/2014/main" id="{7BA863BD-3E97-4C02-B716-EADA9D5B6A8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8" name="文字方塊 127">
          <a:extLst>
            <a:ext uri="{FF2B5EF4-FFF2-40B4-BE49-F238E27FC236}">
              <a16:creationId xmlns:a16="http://schemas.microsoft.com/office/drawing/2014/main" id="{B5CD42BB-0AED-4D7A-B228-C23243734FA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29" name="文字方塊 8">
          <a:extLst>
            <a:ext uri="{FF2B5EF4-FFF2-40B4-BE49-F238E27FC236}">
              <a16:creationId xmlns:a16="http://schemas.microsoft.com/office/drawing/2014/main" id="{70770C5E-B347-44B3-9D3D-735ACA85BC8B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0" name="文字方塊 129">
          <a:extLst>
            <a:ext uri="{FF2B5EF4-FFF2-40B4-BE49-F238E27FC236}">
              <a16:creationId xmlns:a16="http://schemas.microsoft.com/office/drawing/2014/main" id="{4454160E-D286-403E-B183-09F1C18A810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1" name="文字方塊 130">
          <a:extLst>
            <a:ext uri="{FF2B5EF4-FFF2-40B4-BE49-F238E27FC236}">
              <a16:creationId xmlns:a16="http://schemas.microsoft.com/office/drawing/2014/main" id="{EDFA0059-8083-4A08-9100-C589ECB9C19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2" name="文字方塊 131">
          <a:extLst>
            <a:ext uri="{FF2B5EF4-FFF2-40B4-BE49-F238E27FC236}">
              <a16:creationId xmlns:a16="http://schemas.microsoft.com/office/drawing/2014/main" id="{24526F56-23A1-485A-A8BA-83B830F02B6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33" name="文字方塊 8">
          <a:extLst>
            <a:ext uri="{FF2B5EF4-FFF2-40B4-BE49-F238E27FC236}">
              <a16:creationId xmlns:a16="http://schemas.microsoft.com/office/drawing/2014/main" id="{14635443-7BA8-4569-8365-7D0E5DB629A2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4" name="文字方塊 133">
          <a:extLst>
            <a:ext uri="{FF2B5EF4-FFF2-40B4-BE49-F238E27FC236}">
              <a16:creationId xmlns:a16="http://schemas.microsoft.com/office/drawing/2014/main" id="{F7CC66DE-5C18-484A-B760-1FD8ADFE54C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5" name="文字方塊 134">
          <a:extLst>
            <a:ext uri="{FF2B5EF4-FFF2-40B4-BE49-F238E27FC236}">
              <a16:creationId xmlns:a16="http://schemas.microsoft.com/office/drawing/2014/main" id="{E88EF405-B0A7-4531-A53A-A8A03ABDD05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6" name="文字方塊 135">
          <a:extLst>
            <a:ext uri="{FF2B5EF4-FFF2-40B4-BE49-F238E27FC236}">
              <a16:creationId xmlns:a16="http://schemas.microsoft.com/office/drawing/2014/main" id="{C87C27F2-90F7-459E-8EA0-FFA96C689D8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37" name="文字方塊 8">
          <a:extLst>
            <a:ext uri="{FF2B5EF4-FFF2-40B4-BE49-F238E27FC236}">
              <a16:creationId xmlns:a16="http://schemas.microsoft.com/office/drawing/2014/main" id="{57583457-88FF-4129-B30C-DEF944FDAE7A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8" name="文字方塊 137">
          <a:extLst>
            <a:ext uri="{FF2B5EF4-FFF2-40B4-BE49-F238E27FC236}">
              <a16:creationId xmlns:a16="http://schemas.microsoft.com/office/drawing/2014/main" id="{B3E7C8BA-9417-4C1A-8761-037D945A2CD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9" name="文字方塊 138">
          <a:extLst>
            <a:ext uri="{FF2B5EF4-FFF2-40B4-BE49-F238E27FC236}">
              <a16:creationId xmlns:a16="http://schemas.microsoft.com/office/drawing/2014/main" id="{5A5D69B3-3AEB-4D28-867C-164FBC2A736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0" name="文字方塊 139">
          <a:extLst>
            <a:ext uri="{FF2B5EF4-FFF2-40B4-BE49-F238E27FC236}">
              <a16:creationId xmlns:a16="http://schemas.microsoft.com/office/drawing/2014/main" id="{E11C5A9C-6078-4B27-B5D7-63A8492DCA8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41" name="文字方塊 8">
          <a:extLst>
            <a:ext uri="{FF2B5EF4-FFF2-40B4-BE49-F238E27FC236}">
              <a16:creationId xmlns:a16="http://schemas.microsoft.com/office/drawing/2014/main" id="{35BB8736-DCA2-42C4-838B-98B746727664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2" name="文字方塊 141">
          <a:extLst>
            <a:ext uri="{FF2B5EF4-FFF2-40B4-BE49-F238E27FC236}">
              <a16:creationId xmlns:a16="http://schemas.microsoft.com/office/drawing/2014/main" id="{FCB9C81E-0A6D-4FCD-A145-366408B4B90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3" name="文字方塊 142">
          <a:extLst>
            <a:ext uri="{FF2B5EF4-FFF2-40B4-BE49-F238E27FC236}">
              <a16:creationId xmlns:a16="http://schemas.microsoft.com/office/drawing/2014/main" id="{726661FF-1B64-4271-B321-D4CCA2B0FE8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4" name="文字方塊 143">
          <a:extLst>
            <a:ext uri="{FF2B5EF4-FFF2-40B4-BE49-F238E27FC236}">
              <a16:creationId xmlns:a16="http://schemas.microsoft.com/office/drawing/2014/main" id="{3ECFF9CD-F9F3-4883-AFFF-F1EF3F37DD8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45" name="文字方塊 8">
          <a:extLst>
            <a:ext uri="{FF2B5EF4-FFF2-40B4-BE49-F238E27FC236}">
              <a16:creationId xmlns:a16="http://schemas.microsoft.com/office/drawing/2014/main" id="{DFBD3B84-C542-427C-98C5-DEF6C2649DD3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6" name="文字方塊 145">
          <a:extLst>
            <a:ext uri="{FF2B5EF4-FFF2-40B4-BE49-F238E27FC236}">
              <a16:creationId xmlns:a16="http://schemas.microsoft.com/office/drawing/2014/main" id="{7D1F023D-D199-4D67-8672-8C10481EA20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7" name="文字方塊 146">
          <a:extLst>
            <a:ext uri="{FF2B5EF4-FFF2-40B4-BE49-F238E27FC236}">
              <a16:creationId xmlns:a16="http://schemas.microsoft.com/office/drawing/2014/main" id="{12A6A70C-1EDA-4806-BF0F-5E7D2B3EE4D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8" name="文字方塊 147">
          <a:extLst>
            <a:ext uri="{FF2B5EF4-FFF2-40B4-BE49-F238E27FC236}">
              <a16:creationId xmlns:a16="http://schemas.microsoft.com/office/drawing/2014/main" id="{C637BC9C-1160-45FD-B596-A5B2B0AE06E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49" name="文字方塊 8">
          <a:extLst>
            <a:ext uri="{FF2B5EF4-FFF2-40B4-BE49-F238E27FC236}">
              <a16:creationId xmlns:a16="http://schemas.microsoft.com/office/drawing/2014/main" id="{1CAAF29E-F102-48A6-BEED-E6495973A318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50" name="文字方塊 149">
          <a:extLst>
            <a:ext uri="{FF2B5EF4-FFF2-40B4-BE49-F238E27FC236}">
              <a16:creationId xmlns:a16="http://schemas.microsoft.com/office/drawing/2014/main" id="{D00993A1-1A7D-4A47-9D02-5470A69575A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51" name="文字方塊 150">
          <a:extLst>
            <a:ext uri="{FF2B5EF4-FFF2-40B4-BE49-F238E27FC236}">
              <a16:creationId xmlns:a16="http://schemas.microsoft.com/office/drawing/2014/main" id="{616AB755-37D0-4EB1-9E1A-90DAD136C1B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52" name="文字方塊 151">
          <a:extLst>
            <a:ext uri="{FF2B5EF4-FFF2-40B4-BE49-F238E27FC236}">
              <a16:creationId xmlns:a16="http://schemas.microsoft.com/office/drawing/2014/main" id="{DFFA2DBA-C7CF-4639-BDEB-0C62D648F20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53" name="文字方塊 8">
          <a:extLst>
            <a:ext uri="{FF2B5EF4-FFF2-40B4-BE49-F238E27FC236}">
              <a16:creationId xmlns:a16="http://schemas.microsoft.com/office/drawing/2014/main" id="{F30455A3-473A-4616-A7A8-F07A84E51475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54" name="文字方塊 153">
          <a:extLst>
            <a:ext uri="{FF2B5EF4-FFF2-40B4-BE49-F238E27FC236}">
              <a16:creationId xmlns:a16="http://schemas.microsoft.com/office/drawing/2014/main" id="{2B6B61C5-D91F-4503-91CD-E13FDAB4113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55" name="文字方塊 154">
          <a:extLst>
            <a:ext uri="{FF2B5EF4-FFF2-40B4-BE49-F238E27FC236}">
              <a16:creationId xmlns:a16="http://schemas.microsoft.com/office/drawing/2014/main" id="{55008B61-DA2C-47D6-8992-B9DAF5BE8DB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28803600" y="1585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>
          <a:spLocks noChangeAspect="1"/>
        </xdr:cNvSpPr>
      </xdr:nvSpPr>
      <xdr:spPr>
        <a:xfrm>
          <a:off x="28803600" y="101290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twoCellAnchor editAs="oneCell">
    <xdr:from>
      <xdr:col>3</xdr:col>
      <xdr:colOff>123269</xdr:colOff>
      <xdr:row>1</xdr:row>
      <xdr:rowOff>56021</xdr:rowOff>
    </xdr:from>
    <xdr:to>
      <xdr:col>6</xdr:col>
      <xdr:colOff>231472</xdr:colOff>
      <xdr:row>3</xdr:row>
      <xdr:rowOff>481220</xdr:rowOff>
    </xdr:to>
    <xdr:sp macro="[0]!auto_length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>
          <a:spLocks noChangeAspect="1"/>
        </xdr:cNvSpPr>
      </xdr:nvSpPr>
      <xdr:spPr>
        <a:xfrm>
          <a:off x="2180669" y="322721"/>
          <a:ext cx="2165603" cy="761171"/>
        </a:xfrm>
        <a:prstGeom prst="rect">
          <a:avLst/>
        </a:prstGeom>
        <a:solidFill>
          <a:schemeClr val="bg1"/>
        </a:solidFill>
        <a:ln w="38100">
          <a:solidFill>
            <a:schemeClr val="accent2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2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計算長度</a:t>
          </a:r>
        </a:p>
      </xdr:txBody>
    </xdr:sp>
    <xdr:clientData/>
  </xdr:twoCellAnchor>
  <xdr:oneCellAnchor>
    <xdr:from>
      <xdr:col>13</xdr:col>
      <xdr:colOff>134475</xdr:colOff>
      <xdr:row>1</xdr:row>
      <xdr:rowOff>56021</xdr:rowOff>
    </xdr:from>
    <xdr:ext cx="2160000" cy="360000"/>
    <xdr:sp macro="[0]!auto_angle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>
          <a:spLocks noChangeAspect="1"/>
        </xdr:cNvSpPr>
      </xdr:nvSpPr>
      <xdr:spPr>
        <a:xfrm>
          <a:off x="9049875" y="322721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4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計算角度</a:t>
          </a:r>
          <a:r>
            <a:rPr lang="en-US" altLang="zh-TW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(°)</a:t>
          </a:r>
          <a:endParaRPr lang="zh-TW" altLang="en-US" sz="1600" b="1">
            <a:solidFill>
              <a:schemeClr val="accent4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oneCellAnchor>
  <xdr:oneCellAnchor>
    <xdr:from>
      <xdr:col>24</xdr:col>
      <xdr:colOff>134475</xdr:colOff>
      <xdr:row>1</xdr:row>
      <xdr:rowOff>56022</xdr:rowOff>
    </xdr:from>
    <xdr:ext cx="2160000" cy="360000"/>
    <xdr:sp macro="[0]!auto_area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>
          <a:spLocks noChangeAspect="1"/>
        </xdr:cNvSpPr>
      </xdr:nvSpPr>
      <xdr:spPr>
        <a:xfrm>
          <a:off x="16593675" y="322722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6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計算面積</a:t>
          </a:r>
        </a:p>
      </xdr:txBody>
    </xdr:sp>
    <xdr:clientData/>
  </xdr:oneCellAnchor>
  <xdr:twoCellAnchor editAs="oneCell">
    <xdr:from>
      <xdr:col>6</xdr:col>
      <xdr:colOff>85169</xdr:colOff>
      <xdr:row>1</xdr:row>
      <xdr:rowOff>51539</xdr:rowOff>
    </xdr:from>
    <xdr:to>
      <xdr:col>8</xdr:col>
      <xdr:colOff>156371</xdr:colOff>
      <xdr:row>3</xdr:row>
      <xdr:rowOff>476738</xdr:rowOff>
    </xdr:to>
    <xdr:sp macro="[0]!clear_length" textlink="">
      <xdr:nvSpPr>
        <xdr:cNvPr id="7" name="矩形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>
          <a:spLocks/>
        </xdr:cNvSpPr>
      </xdr:nvSpPr>
      <xdr:spPr>
        <a:xfrm>
          <a:off x="4199969" y="318239"/>
          <a:ext cx="1442802" cy="761171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twoCellAnchor>
  <xdr:oneCellAnchor>
    <xdr:from>
      <xdr:col>16</xdr:col>
      <xdr:colOff>85169</xdr:colOff>
      <xdr:row>1</xdr:row>
      <xdr:rowOff>51539</xdr:rowOff>
    </xdr:from>
    <xdr:ext cx="1440000" cy="360000"/>
    <xdr:sp macro="[0]!clear_angle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>
          <a:spLocks/>
        </xdr:cNvSpPr>
      </xdr:nvSpPr>
      <xdr:spPr>
        <a:xfrm>
          <a:off x="11057969" y="3182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27</xdr:col>
      <xdr:colOff>85169</xdr:colOff>
      <xdr:row>1</xdr:row>
      <xdr:rowOff>51539</xdr:rowOff>
    </xdr:from>
    <xdr:ext cx="1440000" cy="360000"/>
    <xdr:sp macro="[0]!clear_area" textlink="">
      <xdr:nvSpPr>
        <xdr:cNvPr id="9" name="矩形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>
          <a:spLocks/>
        </xdr:cNvSpPr>
      </xdr:nvSpPr>
      <xdr:spPr>
        <a:xfrm>
          <a:off x="18601769" y="3182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59C2A906-73E6-4B46-8206-6F0EF638AD1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D3406EF3-E224-4883-A6E5-A44A6B8C31D6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6FD0552E-B774-41FB-9796-06482210739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4F40033E-298D-45FE-B2A7-FDA500E87F6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3ACED512-9698-4B2D-BB76-21E8521830C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625E14A6-7510-422E-8C97-04A05859147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6" name="文字方塊 8">
          <a:extLst>
            <a:ext uri="{FF2B5EF4-FFF2-40B4-BE49-F238E27FC236}">
              <a16:creationId xmlns:a16="http://schemas.microsoft.com/office/drawing/2014/main" id="{08498A73-CCE4-4308-A3E4-06AC5D00742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7" name="文字方塊 9">
          <a:extLst>
            <a:ext uri="{FF2B5EF4-FFF2-40B4-BE49-F238E27FC236}">
              <a16:creationId xmlns:a16="http://schemas.microsoft.com/office/drawing/2014/main" id="{92B6A6B2-3621-40EE-A481-D56F0107BD0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D08F4E22-877C-4C3A-B1AF-9EB90EE6D31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98BD9C92-845F-47B2-BE1D-7836D21F591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E26F505B-2B38-4873-832F-AE73751B62E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D517A80F-6634-4BD2-A6FB-4E74C937EE6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81C57C0D-1E2A-4B69-A445-54E76C306B0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22A1A66F-01FE-4A91-ADF7-10784E7C36A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4" name="文字方塊 8">
          <a:extLst>
            <a:ext uri="{FF2B5EF4-FFF2-40B4-BE49-F238E27FC236}">
              <a16:creationId xmlns:a16="http://schemas.microsoft.com/office/drawing/2014/main" id="{30C65E91-0C90-4DD4-A54A-7154F8C8ADDA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5" name="文字方塊 9">
          <a:extLst>
            <a:ext uri="{FF2B5EF4-FFF2-40B4-BE49-F238E27FC236}">
              <a16:creationId xmlns:a16="http://schemas.microsoft.com/office/drawing/2014/main" id="{6775DB27-661E-4E53-AFC9-225564343C9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185210B4-3AE6-42BF-B242-A82CEE7EC96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47FDB1D6-5539-4929-85C6-786A31810D9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099DB55E-BA13-47C4-8CA6-91E7E6D63CA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B6C088D0-E85B-4F3D-8A0B-56F551F6605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86969551-3AA6-442C-8C0E-BE55388B579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E0B6BD2B-BC3C-487A-AB5D-0378204ACC6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32" name="文字方塊 8">
          <a:extLst>
            <a:ext uri="{FF2B5EF4-FFF2-40B4-BE49-F238E27FC236}">
              <a16:creationId xmlns:a16="http://schemas.microsoft.com/office/drawing/2014/main" id="{9ECC41FC-8C2B-457D-AA87-A7C68788396B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33" name="文字方塊 9">
          <a:extLst>
            <a:ext uri="{FF2B5EF4-FFF2-40B4-BE49-F238E27FC236}">
              <a16:creationId xmlns:a16="http://schemas.microsoft.com/office/drawing/2014/main" id="{75B0DF84-D0F2-4ADB-9D87-A9B5FF77AF8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0312A3F3-B1C7-4CEF-966E-CB5E62BD2A9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9B15B495-75F8-44BA-99F4-1864B0539C2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6" name="文字方塊 35">
          <a:extLst>
            <a:ext uri="{FF2B5EF4-FFF2-40B4-BE49-F238E27FC236}">
              <a16:creationId xmlns:a16="http://schemas.microsoft.com/office/drawing/2014/main" id="{3F1B753D-3711-4390-8491-00BCFABA406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D2E80E54-512A-4D8A-8F7C-AB1EBE5B6F2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A0C1BF30-69F7-461A-9E7D-1012E4404A2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3AEC4E1E-25A2-48BE-A5A1-F49C81A53BA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0" name="文字方塊 8">
          <a:extLst>
            <a:ext uri="{FF2B5EF4-FFF2-40B4-BE49-F238E27FC236}">
              <a16:creationId xmlns:a16="http://schemas.microsoft.com/office/drawing/2014/main" id="{20C33C51-8112-402F-958B-0636D8F4A16A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1" name="文字方塊 9">
          <a:extLst>
            <a:ext uri="{FF2B5EF4-FFF2-40B4-BE49-F238E27FC236}">
              <a16:creationId xmlns:a16="http://schemas.microsoft.com/office/drawing/2014/main" id="{441837DB-78FB-4066-BC24-4090DDC5672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0C2388CC-8C15-4038-B544-A80BAC2B51D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3F9A9E42-555F-4C05-B92F-924A8C86621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A9F8787E-A05B-48B9-9683-E6A3B9B5BDC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5" name="文字方塊 44">
          <a:extLst>
            <a:ext uri="{FF2B5EF4-FFF2-40B4-BE49-F238E27FC236}">
              <a16:creationId xmlns:a16="http://schemas.microsoft.com/office/drawing/2014/main" id="{F8E3F8D1-B46D-4B5E-ADB0-3C988450E61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01BCAD97-5640-40EF-A56E-6D193A84AC8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E35C91F1-88C2-4111-8874-422C4306F07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8" name="文字方塊 8">
          <a:extLst>
            <a:ext uri="{FF2B5EF4-FFF2-40B4-BE49-F238E27FC236}">
              <a16:creationId xmlns:a16="http://schemas.microsoft.com/office/drawing/2014/main" id="{A2D20951-3271-43C7-9324-31A35430A160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9" name="文字方塊 9">
          <a:extLst>
            <a:ext uri="{FF2B5EF4-FFF2-40B4-BE49-F238E27FC236}">
              <a16:creationId xmlns:a16="http://schemas.microsoft.com/office/drawing/2014/main" id="{3C1521B6-3974-4CFC-85BD-A298449BA3A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52320D65-DE51-4D10-A832-33DA91975D1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87DFA3D5-9D11-46AA-8C38-EFDF84A772B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2" name="文字方塊 51">
          <a:extLst>
            <a:ext uri="{FF2B5EF4-FFF2-40B4-BE49-F238E27FC236}">
              <a16:creationId xmlns:a16="http://schemas.microsoft.com/office/drawing/2014/main" id="{03E70A6F-6253-4CD3-A560-F594B9F65D5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3" name="文字方塊 52">
          <a:extLst>
            <a:ext uri="{FF2B5EF4-FFF2-40B4-BE49-F238E27FC236}">
              <a16:creationId xmlns:a16="http://schemas.microsoft.com/office/drawing/2014/main" id="{A65EFCA4-87A5-4F78-82CA-51AECD0F413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D33E1AE9-1D45-40C0-80D8-8D004C26B67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F08BC69B-19BF-414C-A3E9-8AF24E7C381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6" name="文字方塊 8">
          <a:extLst>
            <a:ext uri="{FF2B5EF4-FFF2-40B4-BE49-F238E27FC236}">
              <a16:creationId xmlns:a16="http://schemas.microsoft.com/office/drawing/2014/main" id="{31C1D8AD-BFDF-4C97-B90F-7DDFC0588C4E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7" name="文字方塊 56">
          <a:extLst>
            <a:ext uri="{FF2B5EF4-FFF2-40B4-BE49-F238E27FC236}">
              <a16:creationId xmlns:a16="http://schemas.microsoft.com/office/drawing/2014/main" id="{B319245F-C831-40A6-B988-56293273A98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B37FBB99-45E4-44A1-A4CA-68365A4AE2B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9" name="文字方塊 58">
          <a:extLst>
            <a:ext uri="{FF2B5EF4-FFF2-40B4-BE49-F238E27FC236}">
              <a16:creationId xmlns:a16="http://schemas.microsoft.com/office/drawing/2014/main" id="{9FE21F9E-D3EE-4E7C-8120-B2B1BA51F34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0" name="文字方塊 8">
          <a:extLst>
            <a:ext uri="{FF2B5EF4-FFF2-40B4-BE49-F238E27FC236}">
              <a16:creationId xmlns:a16="http://schemas.microsoft.com/office/drawing/2014/main" id="{0856E6BE-C1E0-4EEF-868A-0689B541A1D1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F944AF31-88C1-43C7-BC73-E4D704E307E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38250446-D2E3-4339-8F7C-1283372A088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3" name="文字方塊 62">
          <a:extLst>
            <a:ext uri="{FF2B5EF4-FFF2-40B4-BE49-F238E27FC236}">
              <a16:creationId xmlns:a16="http://schemas.microsoft.com/office/drawing/2014/main" id="{EA423880-5D06-458F-AA9E-45224658DD1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4" name="文字方塊 8">
          <a:extLst>
            <a:ext uri="{FF2B5EF4-FFF2-40B4-BE49-F238E27FC236}">
              <a16:creationId xmlns:a16="http://schemas.microsoft.com/office/drawing/2014/main" id="{00F3962E-D564-4A6D-8B9A-EC25245BE4D2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5" name="文字方塊 64">
          <a:extLst>
            <a:ext uri="{FF2B5EF4-FFF2-40B4-BE49-F238E27FC236}">
              <a16:creationId xmlns:a16="http://schemas.microsoft.com/office/drawing/2014/main" id="{B4A470A3-3101-4D83-8D72-CCE7349EB4C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B4CB8727-F65F-4252-B6B2-1BA08A847BC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7" name="文字方塊 66">
          <a:extLst>
            <a:ext uri="{FF2B5EF4-FFF2-40B4-BE49-F238E27FC236}">
              <a16:creationId xmlns:a16="http://schemas.microsoft.com/office/drawing/2014/main" id="{B865179B-AAB9-4C0D-A713-E5553D24BE3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8" name="文字方塊 8">
          <a:extLst>
            <a:ext uri="{FF2B5EF4-FFF2-40B4-BE49-F238E27FC236}">
              <a16:creationId xmlns:a16="http://schemas.microsoft.com/office/drawing/2014/main" id="{E577C68F-FFD2-406A-AEF0-AECEEFDE9D7B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550DACDF-3F13-4C5A-8B3E-D26D9354283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725CEEB0-48F2-40C7-B7E1-B815AD9E639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707515C9-1B0A-417C-B40C-45778DBBA06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2" name="文字方塊 8">
          <a:extLst>
            <a:ext uri="{FF2B5EF4-FFF2-40B4-BE49-F238E27FC236}">
              <a16:creationId xmlns:a16="http://schemas.microsoft.com/office/drawing/2014/main" id="{02559C9E-18E0-476A-AB66-77CDB85C7385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3" name="文字方塊 72">
          <a:extLst>
            <a:ext uri="{FF2B5EF4-FFF2-40B4-BE49-F238E27FC236}">
              <a16:creationId xmlns:a16="http://schemas.microsoft.com/office/drawing/2014/main" id="{56B284A3-A78B-4FBD-A330-BFF986DAEA4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4" name="文字方塊 73">
          <a:extLst>
            <a:ext uri="{FF2B5EF4-FFF2-40B4-BE49-F238E27FC236}">
              <a16:creationId xmlns:a16="http://schemas.microsoft.com/office/drawing/2014/main" id="{A76B663A-E8CE-482D-8582-EAF79F328EE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5" name="文字方塊 74">
          <a:extLst>
            <a:ext uri="{FF2B5EF4-FFF2-40B4-BE49-F238E27FC236}">
              <a16:creationId xmlns:a16="http://schemas.microsoft.com/office/drawing/2014/main" id="{B0B9A019-1C69-4FE9-B76A-F8C36D075C5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6" name="文字方塊 8">
          <a:extLst>
            <a:ext uri="{FF2B5EF4-FFF2-40B4-BE49-F238E27FC236}">
              <a16:creationId xmlns:a16="http://schemas.microsoft.com/office/drawing/2014/main" id="{72B7A0E6-DE47-41FE-801F-AAB348E24B22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44E9A79A-09F4-4EB0-A182-CEDCBEAF414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8" name="文字方塊 77">
          <a:extLst>
            <a:ext uri="{FF2B5EF4-FFF2-40B4-BE49-F238E27FC236}">
              <a16:creationId xmlns:a16="http://schemas.microsoft.com/office/drawing/2014/main" id="{91EBA9C5-7CBE-4F4D-A7F4-B66317EE820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9" name="文字方塊 78">
          <a:extLst>
            <a:ext uri="{FF2B5EF4-FFF2-40B4-BE49-F238E27FC236}">
              <a16:creationId xmlns:a16="http://schemas.microsoft.com/office/drawing/2014/main" id="{EE360DE6-32A2-427D-92F2-BBF381EB6B8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0" name="文字方塊 8">
          <a:extLst>
            <a:ext uri="{FF2B5EF4-FFF2-40B4-BE49-F238E27FC236}">
              <a16:creationId xmlns:a16="http://schemas.microsoft.com/office/drawing/2014/main" id="{2D3B5A8B-4B78-4120-840A-CD1B999FD553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1" name="文字方塊 80">
          <a:extLst>
            <a:ext uri="{FF2B5EF4-FFF2-40B4-BE49-F238E27FC236}">
              <a16:creationId xmlns:a16="http://schemas.microsoft.com/office/drawing/2014/main" id="{57F13621-0C53-4FCB-8472-E4BA17F3D2F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2" name="文字方塊 81">
          <a:extLst>
            <a:ext uri="{FF2B5EF4-FFF2-40B4-BE49-F238E27FC236}">
              <a16:creationId xmlns:a16="http://schemas.microsoft.com/office/drawing/2014/main" id="{1146474D-3D45-479E-B54C-87AF3235F6B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21.xml><?xml version="1.0" encoding="utf-8"?>
<xdr:wsDr xmlns:xdr="http://schemas.openxmlformats.org/drawingml/2006/spreadsheetDrawing" xmlns:a="http://schemas.openxmlformats.org/drawingml/2006/main"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28803600" y="1585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>
          <a:spLocks noChangeAspect="1"/>
        </xdr:cNvSpPr>
      </xdr:nvSpPr>
      <xdr:spPr>
        <a:xfrm>
          <a:off x="28803600" y="101290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twoCellAnchor editAs="oneCell">
    <xdr:from>
      <xdr:col>3</xdr:col>
      <xdr:colOff>123269</xdr:colOff>
      <xdr:row>1</xdr:row>
      <xdr:rowOff>56021</xdr:rowOff>
    </xdr:from>
    <xdr:to>
      <xdr:col>6</xdr:col>
      <xdr:colOff>231472</xdr:colOff>
      <xdr:row>3</xdr:row>
      <xdr:rowOff>481220</xdr:rowOff>
    </xdr:to>
    <xdr:sp macro="[0]!auto_length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>
          <a:spLocks noChangeAspect="1"/>
        </xdr:cNvSpPr>
      </xdr:nvSpPr>
      <xdr:spPr>
        <a:xfrm>
          <a:off x="2180669" y="322721"/>
          <a:ext cx="2165603" cy="761171"/>
        </a:xfrm>
        <a:prstGeom prst="rect">
          <a:avLst/>
        </a:prstGeom>
        <a:solidFill>
          <a:schemeClr val="bg1"/>
        </a:solidFill>
        <a:ln w="38100">
          <a:solidFill>
            <a:schemeClr val="accent2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2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計算長度</a:t>
          </a:r>
        </a:p>
      </xdr:txBody>
    </xdr:sp>
    <xdr:clientData/>
  </xdr:twoCellAnchor>
  <xdr:oneCellAnchor>
    <xdr:from>
      <xdr:col>13</xdr:col>
      <xdr:colOff>134475</xdr:colOff>
      <xdr:row>1</xdr:row>
      <xdr:rowOff>56021</xdr:rowOff>
    </xdr:from>
    <xdr:ext cx="2160000" cy="360000"/>
    <xdr:sp macro="[0]!auto_angle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>
          <a:spLocks noChangeAspect="1"/>
        </xdr:cNvSpPr>
      </xdr:nvSpPr>
      <xdr:spPr>
        <a:xfrm>
          <a:off x="9049875" y="322721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4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計算角度</a:t>
          </a:r>
          <a:r>
            <a:rPr lang="en-US" altLang="zh-TW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(°)</a:t>
          </a:r>
          <a:endParaRPr lang="zh-TW" altLang="en-US" sz="1600" b="1">
            <a:solidFill>
              <a:schemeClr val="accent4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oneCellAnchor>
  <xdr:oneCellAnchor>
    <xdr:from>
      <xdr:col>24</xdr:col>
      <xdr:colOff>134475</xdr:colOff>
      <xdr:row>1</xdr:row>
      <xdr:rowOff>56022</xdr:rowOff>
    </xdr:from>
    <xdr:ext cx="2160000" cy="360000"/>
    <xdr:sp macro="[0]!auto_area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>
          <a:spLocks noChangeAspect="1"/>
        </xdr:cNvSpPr>
      </xdr:nvSpPr>
      <xdr:spPr>
        <a:xfrm>
          <a:off x="16593675" y="322722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6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計算面積</a:t>
          </a:r>
        </a:p>
      </xdr:txBody>
    </xdr:sp>
    <xdr:clientData/>
  </xdr:oneCellAnchor>
  <xdr:twoCellAnchor editAs="oneCell">
    <xdr:from>
      <xdr:col>6</xdr:col>
      <xdr:colOff>85169</xdr:colOff>
      <xdr:row>1</xdr:row>
      <xdr:rowOff>51539</xdr:rowOff>
    </xdr:from>
    <xdr:to>
      <xdr:col>8</xdr:col>
      <xdr:colOff>156371</xdr:colOff>
      <xdr:row>3</xdr:row>
      <xdr:rowOff>476738</xdr:rowOff>
    </xdr:to>
    <xdr:sp macro="[0]!clear_length" textlink="">
      <xdr:nvSpPr>
        <xdr:cNvPr id="7" name="矩形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>
          <a:spLocks/>
        </xdr:cNvSpPr>
      </xdr:nvSpPr>
      <xdr:spPr>
        <a:xfrm>
          <a:off x="4199969" y="318239"/>
          <a:ext cx="1442802" cy="761171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twoCellAnchor>
  <xdr:oneCellAnchor>
    <xdr:from>
      <xdr:col>16</xdr:col>
      <xdr:colOff>85169</xdr:colOff>
      <xdr:row>1</xdr:row>
      <xdr:rowOff>51539</xdr:rowOff>
    </xdr:from>
    <xdr:ext cx="1440000" cy="360000"/>
    <xdr:sp macro="[0]!clear_angle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>
          <a:spLocks/>
        </xdr:cNvSpPr>
      </xdr:nvSpPr>
      <xdr:spPr>
        <a:xfrm>
          <a:off x="11057969" y="3182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27</xdr:col>
      <xdr:colOff>85169</xdr:colOff>
      <xdr:row>1</xdr:row>
      <xdr:rowOff>51539</xdr:rowOff>
    </xdr:from>
    <xdr:ext cx="1440000" cy="360000"/>
    <xdr:sp macro="[0]!clear_area" textlink="">
      <xdr:nvSpPr>
        <xdr:cNvPr id="9" name="矩形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>
          <a:spLocks/>
        </xdr:cNvSpPr>
      </xdr:nvSpPr>
      <xdr:spPr>
        <a:xfrm>
          <a:off x="18601769" y="3182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4D6E9684-0B12-4DFB-88CD-1C538E91828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DB42D82C-94FE-46C0-BC41-3334D867F8CB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5B1E7BE3-4909-4E27-ABB2-BC409CF43B0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9D4B5561-C1CC-42E0-B330-032FD0E0E189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0199ECAC-7DCE-4623-ACD3-5061CCC4612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EE1D060B-C6FE-4C9E-8FEA-B8B6256B2AF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" name="文字方塊 15">
          <a:extLst>
            <a:ext uri="{FF2B5EF4-FFF2-40B4-BE49-F238E27FC236}">
              <a16:creationId xmlns:a16="http://schemas.microsoft.com/office/drawing/2014/main" id="{7AE024F8-3133-4A49-9B47-F951A249ABA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7" name="文字方塊 16">
          <a:extLst>
            <a:ext uri="{FF2B5EF4-FFF2-40B4-BE49-F238E27FC236}">
              <a16:creationId xmlns:a16="http://schemas.microsoft.com/office/drawing/2014/main" id="{96419EED-E9C2-4E5D-947F-884022C8698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56BB057E-7239-44C2-96F3-314E5EAC923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ED03527B-1D64-4EF1-B9AC-9F070A8DD0C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0" name="文字方塊 8">
          <a:extLst>
            <a:ext uri="{FF2B5EF4-FFF2-40B4-BE49-F238E27FC236}">
              <a16:creationId xmlns:a16="http://schemas.microsoft.com/office/drawing/2014/main" id="{9BB264AF-99EF-47A3-9738-324098FB3483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1" name="文字方塊 9">
          <a:extLst>
            <a:ext uri="{FF2B5EF4-FFF2-40B4-BE49-F238E27FC236}">
              <a16:creationId xmlns:a16="http://schemas.microsoft.com/office/drawing/2014/main" id="{863E5E3C-2661-4D47-955A-072FED8C872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3B1DDE90-33ED-4E49-87E2-EA354D897EB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1DDF8B50-D1BF-4B4C-A19B-C9BD2146039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4" name="文字方塊 23">
          <a:extLst>
            <a:ext uri="{FF2B5EF4-FFF2-40B4-BE49-F238E27FC236}">
              <a16:creationId xmlns:a16="http://schemas.microsoft.com/office/drawing/2014/main" id="{61DC690E-B7B9-4C73-86F0-54088E4AFEF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5" name="文字方塊 24">
          <a:extLst>
            <a:ext uri="{FF2B5EF4-FFF2-40B4-BE49-F238E27FC236}">
              <a16:creationId xmlns:a16="http://schemas.microsoft.com/office/drawing/2014/main" id="{9F2D0259-434D-438D-9163-91E3F86C554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A4158AAF-BE43-4A5F-8E69-FF86437851F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FB948BD9-E9A2-4134-9C6C-773D0FD53FE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8" name="文字方塊 8">
          <a:extLst>
            <a:ext uri="{FF2B5EF4-FFF2-40B4-BE49-F238E27FC236}">
              <a16:creationId xmlns:a16="http://schemas.microsoft.com/office/drawing/2014/main" id="{2124C676-8A58-49FD-9C09-072B9B823910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9" name="文字方塊 9">
          <a:extLst>
            <a:ext uri="{FF2B5EF4-FFF2-40B4-BE49-F238E27FC236}">
              <a16:creationId xmlns:a16="http://schemas.microsoft.com/office/drawing/2014/main" id="{2B73D824-9109-45B2-8CC1-F4CE76EE5EE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AED8B4A1-0E77-481D-A126-1372CCF0279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6E2853F7-D579-4E91-B12E-20437300E4B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2" name="文字方塊 31">
          <a:extLst>
            <a:ext uri="{FF2B5EF4-FFF2-40B4-BE49-F238E27FC236}">
              <a16:creationId xmlns:a16="http://schemas.microsoft.com/office/drawing/2014/main" id="{AFDD90DF-0609-4A72-B0A5-4F0F3686C8A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3" name="文字方塊 32">
          <a:extLst>
            <a:ext uri="{FF2B5EF4-FFF2-40B4-BE49-F238E27FC236}">
              <a16:creationId xmlns:a16="http://schemas.microsoft.com/office/drawing/2014/main" id="{73590FC5-585F-43DF-A245-D4FEA632215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9D659A52-2D34-444F-9493-7A205AAA576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0EE08E39-FA44-47F9-B680-C087AA9D058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36" name="文字方塊 8">
          <a:extLst>
            <a:ext uri="{FF2B5EF4-FFF2-40B4-BE49-F238E27FC236}">
              <a16:creationId xmlns:a16="http://schemas.microsoft.com/office/drawing/2014/main" id="{95978E43-3A4A-468A-BD09-866D876C40AA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37" name="文字方塊 9">
          <a:extLst>
            <a:ext uri="{FF2B5EF4-FFF2-40B4-BE49-F238E27FC236}">
              <a16:creationId xmlns:a16="http://schemas.microsoft.com/office/drawing/2014/main" id="{E9594254-ADDD-4461-A548-CAFA77CF987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0F2F8E98-0F4C-45ED-9CAC-E2357BC9CC6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E8AF3C7B-879E-4096-A324-3ECABB0DC34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0" name="文字方塊 39">
          <a:extLst>
            <a:ext uri="{FF2B5EF4-FFF2-40B4-BE49-F238E27FC236}">
              <a16:creationId xmlns:a16="http://schemas.microsoft.com/office/drawing/2014/main" id="{FE7F0B5D-C1E4-410F-A8C9-C965CC3EC86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1" name="文字方塊 40">
          <a:extLst>
            <a:ext uri="{FF2B5EF4-FFF2-40B4-BE49-F238E27FC236}">
              <a16:creationId xmlns:a16="http://schemas.microsoft.com/office/drawing/2014/main" id="{9484EDEF-0138-4CA3-B606-7D07B33CF60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74501EF5-80F2-4F62-83A0-0023D0B9239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E78D6314-4B11-4302-92C2-7669177C71F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4" name="文字方塊 8">
          <a:extLst>
            <a:ext uri="{FF2B5EF4-FFF2-40B4-BE49-F238E27FC236}">
              <a16:creationId xmlns:a16="http://schemas.microsoft.com/office/drawing/2014/main" id="{101C6C5A-DFEE-4492-90F2-21774CD0C48D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5" name="文字方塊 9">
          <a:extLst>
            <a:ext uri="{FF2B5EF4-FFF2-40B4-BE49-F238E27FC236}">
              <a16:creationId xmlns:a16="http://schemas.microsoft.com/office/drawing/2014/main" id="{A92D2DA5-1EBB-4890-B931-C591F50AEC2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C2C61D75-7395-452A-AA5C-570EF35AD09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A954A66E-B82C-454A-9CA7-7232291CCB8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8" name="文字方塊 47">
          <a:extLst>
            <a:ext uri="{FF2B5EF4-FFF2-40B4-BE49-F238E27FC236}">
              <a16:creationId xmlns:a16="http://schemas.microsoft.com/office/drawing/2014/main" id="{16277889-CD84-4C8A-8CB8-2424D635302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9" name="文字方塊 48">
          <a:extLst>
            <a:ext uri="{FF2B5EF4-FFF2-40B4-BE49-F238E27FC236}">
              <a16:creationId xmlns:a16="http://schemas.microsoft.com/office/drawing/2014/main" id="{DCC7C8A8-3603-40D0-93C0-A0564A63BC5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4AEA9D47-32C0-4F1F-83CC-BD7D60D6FB2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A047DEE9-E8CD-4BD7-B301-AC6F1A2DCF4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2" name="文字方塊 8">
          <a:extLst>
            <a:ext uri="{FF2B5EF4-FFF2-40B4-BE49-F238E27FC236}">
              <a16:creationId xmlns:a16="http://schemas.microsoft.com/office/drawing/2014/main" id="{8FB54EC2-21D7-4B7C-BB9D-2533C142F561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53" name="文字方塊 9">
          <a:extLst>
            <a:ext uri="{FF2B5EF4-FFF2-40B4-BE49-F238E27FC236}">
              <a16:creationId xmlns:a16="http://schemas.microsoft.com/office/drawing/2014/main" id="{9190E6DC-9772-456C-8787-DF0EABA5DE1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2F4D2819-9BFA-4261-9174-7A2845CB1C8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137D796C-550F-4AF1-AEE7-5E445223BBA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6" name="文字方塊 55">
          <a:extLst>
            <a:ext uri="{FF2B5EF4-FFF2-40B4-BE49-F238E27FC236}">
              <a16:creationId xmlns:a16="http://schemas.microsoft.com/office/drawing/2014/main" id="{BABBCFC7-7182-46D2-AE1F-B56375D90FB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7" name="文字方塊 56">
          <a:extLst>
            <a:ext uri="{FF2B5EF4-FFF2-40B4-BE49-F238E27FC236}">
              <a16:creationId xmlns:a16="http://schemas.microsoft.com/office/drawing/2014/main" id="{BE35ECD9-8604-4DDD-8D93-5581E129689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6B730B48-200F-4448-A04A-9562FE05AE1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9" name="文字方塊 58">
          <a:extLst>
            <a:ext uri="{FF2B5EF4-FFF2-40B4-BE49-F238E27FC236}">
              <a16:creationId xmlns:a16="http://schemas.microsoft.com/office/drawing/2014/main" id="{DDACFBBC-3456-4008-88CB-29B4978A87D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0" name="文字方塊 8">
          <a:extLst>
            <a:ext uri="{FF2B5EF4-FFF2-40B4-BE49-F238E27FC236}">
              <a16:creationId xmlns:a16="http://schemas.microsoft.com/office/drawing/2014/main" id="{B6F6A62A-B327-4183-8B15-CE4BC53DB649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F2A12703-BC96-4876-9C2B-3C0BEE5023A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5DBBEEC8-D216-434D-90D6-4077F5C11DE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3" name="文字方塊 62">
          <a:extLst>
            <a:ext uri="{FF2B5EF4-FFF2-40B4-BE49-F238E27FC236}">
              <a16:creationId xmlns:a16="http://schemas.microsoft.com/office/drawing/2014/main" id="{4F94CBB5-4989-4934-84C0-7D64D4B75E9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4" name="文字方塊 8">
          <a:extLst>
            <a:ext uri="{FF2B5EF4-FFF2-40B4-BE49-F238E27FC236}">
              <a16:creationId xmlns:a16="http://schemas.microsoft.com/office/drawing/2014/main" id="{0584F9D3-01AC-47D0-82F4-59E6F7F4D94D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5" name="文字方塊 64">
          <a:extLst>
            <a:ext uri="{FF2B5EF4-FFF2-40B4-BE49-F238E27FC236}">
              <a16:creationId xmlns:a16="http://schemas.microsoft.com/office/drawing/2014/main" id="{EA57D934-DA48-4E12-B973-A9A268CE2BA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D299BC94-84CE-4186-97B7-89CFD933B94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7" name="文字方塊 66">
          <a:extLst>
            <a:ext uri="{FF2B5EF4-FFF2-40B4-BE49-F238E27FC236}">
              <a16:creationId xmlns:a16="http://schemas.microsoft.com/office/drawing/2014/main" id="{A21BB468-6382-4933-B1D5-AE1D3CD6FD5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8" name="文字方塊 8">
          <a:extLst>
            <a:ext uri="{FF2B5EF4-FFF2-40B4-BE49-F238E27FC236}">
              <a16:creationId xmlns:a16="http://schemas.microsoft.com/office/drawing/2014/main" id="{67F46EBF-A55F-4713-ABC6-E4BA8B993855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67CE1C45-DD4F-4CCA-B630-E4109111898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72160DEE-25B3-4008-82D7-255D1C0EF20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F987296E-1C9F-452D-8047-B196A91C92C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2" name="文字方塊 8">
          <a:extLst>
            <a:ext uri="{FF2B5EF4-FFF2-40B4-BE49-F238E27FC236}">
              <a16:creationId xmlns:a16="http://schemas.microsoft.com/office/drawing/2014/main" id="{72150A52-38B5-451A-BADD-ED3EA3EA2CA4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3" name="文字方塊 72">
          <a:extLst>
            <a:ext uri="{FF2B5EF4-FFF2-40B4-BE49-F238E27FC236}">
              <a16:creationId xmlns:a16="http://schemas.microsoft.com/office/drawing/2014/main" id="{F2484C5E-91DC-473F-ADC3-FBC0C3C4E84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4" name="文字方塊 73">
          <a:extLst>
            <a:ext uri="{FF2B5EF4-FFF2-40B4-BE49-F238E27FC236}">
              <a16:creationId xmlns:a16="http://schemas.microsoft.com/office/drawing/2014/main" id="{A8B615E1-F188-4AE9-AAB4-C9808621852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5" name="文字方塊 74">
          <a:extLst>
            <a:ext uri="{FF2B5EF4-FFF2-40B4-BE49-F238E27FC236}">
              <a16:creationId xmlns:a16="http://schemas.microsoft.com/office/drawing/2014/main" id="{BED095CD-FB69-49E9-B533-26329C01F6E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6" name="文字方塊 8">
          <a:extLst>
            <a:ext uri="{FF2B5EF4-FFF2-40B4-BE49-F238E27FC236}">
              <a16:creationId xmlns:a16="http://schemas.microsoft.com/office/drawing/2014/main" id="{B4E0500C-1EDB-48CF-B435-BD49C275DE37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E41A1670-5DBF-4106-8275-FBC117575F8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8" name="文字方塊 77">
          <a:extLst>
            <a:ext uri="{FF2B5EF4-FFF2-40B4-BE49-F238E27FC236}">
              <a16:creationId xmlns:a16="http://schemas.microsoft.com/office/drawing/2014/main" id="{C7D5A9A3-30D3-489B-9E35-60396509002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9" name="文字方塊 78">
          <a:extLst>
            <a:ext uri="{FF2B5EF4-FFF2-40B4-BE49-F238E27FC236}">
              <a16:creationId xmlns:a16="http://schemas.microsoft.com/office/drawing/2014/main" id="{021ADABB-3C46-4D7D-8833-4512979DCCA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0" name="文字方塊 8">
          <a:extLst>
            <a:ext uri="{FF2B5EF4-FFF2-40B4-BE49-F238E27FC236}">
              <a16:creationId xmlns:a16="http://schemas.microsoft.com/office/drawing/2014/main" id="{C58460AD-2232-401A-933C-490EB00A8EF1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1" name="文字方塊 80">
          <a:extLst>
            <a:ext uri="{FF2B5EF4-FFF2-40B4-BE49-F238E27FC236}">
              <a16:creationId xmlns:a16="http://schemas.microsoft.com/office/drawing/2014/main" id="{E72AADA8-37A0-4D59-8733-69EA98D5AF7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2" name="文字方塊 81">
          <a:extLst>
            <a:ext uri="{FF2B5EF4-FFF2-40B4-BE49-F238E27FC236}">
              <a16:creationId xmlns:a16="http://schemas.microsoft.com/office/drawing/2014/main" id="{D2701787-204E-46C1-84F2-084B0D701FA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3" name="文字方塊 82">
          <a:extLst>
            <a:ext uri="{FF2B5EF4-FFF2-40B4-BE49-F238E27FC236}">
              <a16:creationId xmlns:a16="http://schemas.microsoft.com/office/drawing/2014/main" id="{CBBE9AEF-5A6D-4F7A-A2A6-7E87DD01E9A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4" name="文字方塊 8">
          <a:extLst>
            <a:ext uri="{FF2B5EF4-FFF2-40B4-BE49-F238E27FC236}">
              <a16:creationId xmlns:a16="http://schemas.microsoft.com/office/drawing/2014/main" id="{84CDA31E-21C6-40B9-9551-FC5E4BDFFE65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5" name="文字方塊 84">
          <a:extLst>
            <a:ext uri="{FF2B5EF4-FFF2-40B4-BE49-F238E27FC236}">
              <a16:creationId xmlns:a16="http://schemas.microsoft.com/office/drawing/2014/main" id="{89C31877-F917-4F01-8019-88306B0BAF8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6" name="文字方塊 85">
          <a:extLst>
            <a:ext uri="{FF2B5EF4-FFF2-40B4-BE49-F238E27FC236}">
              <a16:creationId xmlns:a16="http://schemas.microsoft.com/office/drawing/2014/main" id="{264C4019-A0DA-422E-B3F8-B6109A38578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22.xml><?xml version="1.0" encoding="utf-8"?>
<xdr:wsDr xmlns:xdr="http://schemas.openxmlformats.org/drawingml/2006/spreadsheetDrawing" xmlns:a="http://schemas.openxmlformats.org/drawingml/2006/main"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28803600" y="1585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>
          <a:spLocks noChangeAspect="1"/>
        </xdr:cNvSpPr>
      </xdr:nvSpPr>
      <xdr:spPr>
        <a:xfrm>
          <a:off x="28803600" y="101290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twoCellAnchor editAs="oneCell">
    <xdr:from>
      <xdr:col>3</xdr:col>
      <xdr:colOff>123269</xdr:colOff>
      <xdr:row>1</xdr:row>
      <xdr:rowOff>56021</xdr:rowOff>
    </xdr:from>
    <xdr:to>
      <xdr:col>6</xdr:col>
      <xdr:colOff>231472</xdr:colOff>
      <xdr:row>3</xdr:row>
      <xdr:rowOff>481220</xdr:rowOff>
    </xdr:to>
    <xdr:sp macro="[0]!auto_length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>
          <a:spLocks noChangeAspect="1"/>
        </xdr:cNvSpPr>
      </xdr:nvSpPr>
      <xdr:spPr>
        <a:xfrm>
          <a:off x="2180669" y="322721"/>
          <a:ext cx="2165603" cy="761171"/>
        </a:xfrm>
        <a:prstGeom prst="rect">
          <a:avLst/>
        </a:prstGeom>
        <a:solidFill>
          <a:schemeClr val="bg1"/>
        </a:solidFill>
        <a:ln w="38100">
          <a:solidFill>
            <a:schemeClr val="accent2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2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計算長度</a:t>
          </a:r>
        </a:p>
      </xdr:txBody>
    </xdr:sp>
    <xdr:clientData/>
  </xdr:twoCellAnchor>
  <xdr:oneCellAnchor>
    <xdr:from>
      <xdr:col>13</xdr:col>
      <xdr:colOff>134475</xdr:colOff>
      <xdr:row>1</xdr:row>
      <xdr:rowOff>56021</xdr:rowOff>
    </xdr:from>
    <xdr:ext cx="2160000" cy="360000"/>
    <xdr:sp macro="[0]!auto_angle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>
          <a:spLocks noChangeAspect="1"/>
        </xdr:cNvSpPr>
      </xdr:nvSpPr>
      <xdr:spPr>
        <a:xfrm>
          <a:off x="9049875" y="322721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4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計算角度</a:t>
          </a:r>
          <a:r>
            <a:rPr lang="en-US" altLang="zh-TW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(°)</a:t>
          </a:r>
          <a:endParaRPr lang="zh-TW" altLang="en-US" sz="1600" b="1">
            <a:solidFill>
              <a:schemeClr val="accent4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oneCellAnchor>
  <xdr:oneCellAnchor>
    <xdr:from>
      <xdr:col>24</xdr:col>
      <xdr:colOff>134475</xdr:colOff>
      <xdr:row>1</xdr:row>
      <xdr:rowOff>56022</xdr:rowOff>
    </xdr:from>
    <xdr:ext cx="2160000" cy="360000"/>
    <xdr:sp macro="[0]!auto_area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>
          <a:spLocks noChangeAspect="1"/>
        </xdr:cNvSpPr>
      </xdr:nvSpPr>
      <xdr:spPr>
        <a:xfrm>
          <a:off x="16593675" y="322722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6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計算面積</a:t>
          </a:r>
        </a:p>
      </xdr:txBody>
    </xdr:sp>
    <xdr:clientData/>
  </xdr:oneCellAnchor>
  <xdr:twoCellAnchor editAs="oneCell">
    <xdr:from>
      <xdr:col>6</xdr:col>
      <xdr:colOff>85169</xdr:colOff>
      <xdr:row>1</xdr:row>
      <xdr:rowOff>51539</xdr:rowOff>
    </xdr:from>
    <xdr:to>
      <xdr:col>8</xdr:col>
      <xdr:colOff>156371</xdr:colOff>
      <xdr:row>3</xdr:row>
      <xdr:rowOff>476738</xdr:rowOff>
    </xdr:to>
    <xdr:sp macro="[0]!clear_length" textlink="">
      <xdr:nvSpPr>
        <xdr:cNvPr id="7" name="矩形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/>
        </xdr:cNvSpPr>
      </xdr:nvSpPr>
      <xdr:spPr>
        <a:xfrm>
          <a:off x="4199969" y="318239"/>
          <a:ext cx="1442802" cy="761171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twoCellAnchor>
  <xdr:oneCellAnchor>
    <xdr:from>
      <xdr:col>16</xdr:col>
      <xdr:colOff>85169</xdr:colOff>
      <xdr:row>1</xdr:row>
      <xdr:rowOff>51539</xdr:rowOff>
    </xdr:from>
    <xdr:ext cx="1440000" cy="360000"/>
    <xdr:sp macro="[0]!clear_angle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>
          <a:spLocks/>
        </xdr:cNvSpPr>
      </xdr:nvSpPr>
      <xdr:spPr>
        <a:xfrm>
          <a:off x="11057969" y="3182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27</xdr:col>
      <xdr:colOff>85169</xdr:colOff>
      <xdr:row>1</xdr:row>
      <xdr:rowOff>51539</xdr:rowOff>
    </xdr:from>
    <xdr:ext cx="1440000" cy="360000"/>
    <xdr:sp macro="[0]!clear_area" textlink="">
      <xdr:nvSpPr>
        <xdr:cNvPr id="9" name="矩形 8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SpPr>
          <a:spLocks/>
        </xdr:cNvSpPr>
      </xdr:nvSpPr>
      <xdr:spPr>
        <a:xfrm>
          <a:off x="18601769" y="3182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9F4A94FD-AD90-43D6-927D-5ABE6D7F38E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2A21C144-4FC4-4C02-A695-DBFEA5BA7B3B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3D9CD19D-DCE8-4293-9CB5-22101051A91F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C2893009-CF73-460A-9BA8-2AE3E9D11D76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724D3CB4-4CC5-433F-ADCF-C83B9800D16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D01ECE48-BCDA-4D78-A8F8-CEEF6DBB924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" name="文字方塊 15">
          <a:extLst>
            <a:ext uri="{FF2B5EF4-FFF2-40B4-BE49-F238E27FC236}">
              <a16:creationId xmlns:a16="http://schemas.microsoft.com/office/drawing/2014/main" id="{E0F66709-44D8-472B-938D-946D2DAE51F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7" name="文字方塊 16">
          <a:extLst>
            <a:ext uri="{FF2B5EF4-FFF2-40B4-BE49-F238E27FC236}">
              <a16:creationId xmlns:a16="http://schemas.microsoft.com/office/drawing/2014/main" id="{A2943991-2C15-4A46-8055-E1797E89BE5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BF3A273B-BBDB-49DE-A2C9-C52D5AF9097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C0F8A45F-E241-4F59-BA42-E6DE8073236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0" name="文字方塊 8">
          <a:extLst>
            <a:ext uri="{FF2B5EF4-FFF2-40B4-BE49-F238E27FC236}">
              <a16:creationId xmlns:a16="http://schemas.microsoft.com/office/drawing/2014/main" id="{23428A28-5A47-484D-83BB-49A660972E9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1" name="文字方塊 9">
          <a:extLst>
            <a:ext uri="{FF2B5EF4-FFF2-40B4-BE49-F238E27FC236}">
              <a16:creationId xmlns:a16="http://schemas.microsoft.com/office/drawing/2014/main" id="{CF4BAE2E-F986-433F-93BB-30DAA4970D0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E575B401-ACD6-49F2-9871-C8F2A9C5C11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7E603D89-E325-4D3A-85D4-F213208232B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4" name="文字方塊 23">
          <a:extLst>
            <a:ext uri="{FF2B5EF4-FFF2-40B4-BE49-F238E27FC236}">
              <a16:creationId xmlns:a16="http://schemas.microsoft.com/office/drawing/2014/main" id="{356C98D1-0044-4C05-8FF6-B9CC6C48100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5" name="文字方塊 24">
          <a:extLst>
            <a:ext uri="{FF2B5EF4-FFF2-40B4-BE49-F238E27FC236}">
              <a16:creationId xmlns:a16="http://schemas.microsoft.com/office/drawing/2014/main" id="{D45B4882-27A9-4410-AFCA-ADD3B3F9C9E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618CF8F8-FC5A-415E-BD75-BA55DA7DC7E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DBB7B02E-038C-48BB-871C-5F291FF8B7A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8" name="文字方塊 8">
          <a:extLst>
            <a:ext uri="{FF2B5EF4-FFF2-40B4-BE49-F238E27FC236}">
              <a16:creationId xmlns:a16="http://schemas.microsoft.com/office/drawing/2014/main" id="{78B3B6C6-B5D0-4B15-920A-9165C9EE1266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9" name="文字方塊 9">
          <a:extLst>
            <a:ext uri="{FF2B5EF4-FFF2-40B4-BE49-F238E27FC236}">
              <a16:creationId xmlns:a16="http://schemas.microsoft.com/office/drawing/2014/main" id="{C55DF9C4-633B-4643-8682-E1D4F162899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357C2C01-5C4C-4E7E-A333-C7C88535E1E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2AFA40C5-1327-4A50-8856-61DF4C90570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2" name="文字方塊 31">
          <a:extLst>
            <a:ext uri="{FF2B5EF4-FFF2-40B4-BE49-F238E27FC236}">
              <a16:creationId xmlns:a16="http://schemas.microsoft.com/office/drawing/2014/main" id="{7ED5C874-8A47-4110-8456-FAD0A25832B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3" name="文字方塊 32">
          <a:extLst>
            <a:ext uri="{FF2B5EF4-FFF2-40B4-BE49-F238E27FC236}">
              <a16:creationId xmlns:a16="http://schemas.microsoft.com/office/drawing/2014/main" id="{A7E7EB8D-C63E-440A-B9FE-E2A946E34F5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CFC2F73D-3164-42A6-9C71-158EB207016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F5F3B3C7-8440-4172-8607-5DA56431578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36" name="文字方塊 8">
          <a:extLst>
            <a:ext uri="{FF2B5EF4-FFF2-40B4-BE49-F238E27FC236}">
              <a16:creationId xmlns:a16="http://schemas.microsoft.com/office/drawing/2014/main" id="{B46CCFFA-AA58-45BC-8C3F-484987E87996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37" name="文字方塊 9">
          <a:extLst>
            <a:ext uri="{FF2B5EF4-FFF2-40B4-BE49-F238E27FC236}">
              <a16:creationId xmlns:a16="http://schemas.microsoft.com/office/drawing/2014/main" id="{19D26022-FB1D-4159-8C98-D33E5C4554E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8BD6E661-697A-442B-8CA1-B66F5CF864F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515F2A85-99BA-489D-8161-E01019DF315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0" name="文字方塊 39">
          <a:extLst>
            <a:ext uri="{FF2B5EF4-FFF2-40B4-BE49-F238E27FC236}">
              <a16:creationId xmlns:a16="http://schemas.microsoft.com/office/drawing/2014/main" id="{39200DCE-6F75-4E54-9443-CFCDB59B221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1" name="文字方塊 40">
          <a:extLst>
            <a:ext uri="{FF2B5EF4-FFF2-40B4-BE49-F238E27FC236}">
              <a16:creationId xmlns:a16="http://schemas.microsoft.com/office/drawing/2014/main" id="{EEEA6418-E609-47FC-B1FE-B1BC312D081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D59036CA-04C8-4303-8DD2-F2038BEE019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452BD990-B5EC-4C8C-A316-1007BE09254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4" name="文字方塊 8">
          <a:extLst>
            <a:ext uri="{FF2B5EF4-FFF2-40B4-BE49-F238E27FC236}">
              <a16:creationId xmlns:a16="http://schemas.microsoft.com/office/drawing/2014/main" id="{646CD7D5-CEFE-4B0C-9F6C-000DD48A63BB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5" name="文字方塊 9">
          <a:extLst>
            <a:ext uri="{FF2B5EF4-FFF2-40B4-BE49-F238E27FC236}">
              <a16:creationId xmlns:a16="http://schemas.microsoft.com/office/drawing/2014/main" id="{5EB64029-8931-4A5E-BFE6-E72C667FE68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7A4E7A1A-F63B-4347-BF64-4600C7152D5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14C9D6C2-5087-49B6-B48D-7CBB5686A15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8" name="文字方塊 47">
          <a:extLst>
            <a:ext uri="{FF2B5EF4-FFF2-40B4-BE49-F238E27FC236}">
              <a16:creationId xmlns:a16="http://schemas.microsoft.com/office/drawing/2014/main" id="{39E77C75-51C8-43F2-BB69-08764AA7C39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9" name="文字方塊 48">
          <a:extLst>
            <a:ext uri="{FF2B5EF4-FFF2-40B4-BE49-F238E27FC236}">
              <a16:creationId xmlns:a16="http://schemas.microsoft.com/office/drawing/2014/main" id="{12D142AA-FC57-4688-A96A-68A5D6642FE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7721D424-0E11-4775-8591-58EF2701546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42AE8073-82FD-4934-BB26-0BCA3550F87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2" name="文字方塊 8">
          <a:extLst>
            <a:ext uri="{FF2B5EF4-FFF2-40B4-BE49-F238E27FC236}">
              <a16:creationId xmlns:a16="http://schemas.microsoft.com/office/drawing/2014/main" id="{3FEF0400-C9AD-43C6-9255-F00FFA6B11FA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53" name="文字方塊 9">
          <a:extLst>
            <a:ext uri="{FF2B5EF4-FFF2-40B4-BE49-F238E27FC236}">
              <a16:creationId xmlns:a16="http://schemas.microsoft.com/office/drawing/2014/main" id="{38218F9C-97DB-48C3-8DF1-721E9B1A419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55BB83BD-4AE0-412E-941D-FC83FAB71B7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758B8D81-7C5F-48DC-89EE-E0470380A2A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6" name="文字方塊 55">
          <a:extLst>
            <a:ext uri="{FF2B5EF4-FFF2-40B4-BE49-F238E27FC236}">
              <a16:creationId xmlns:a16="http://schemas.microsoft.com/office/drawing/2014/main" id="{D5E7C766-8B8F-4125-AC5E-AE0DAAA5BF8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7" name="文字方塊 56">
          <a:extLst>
            <a:ext uri="{FF2B5EF4-FFF2-40B4-BE49-F238E27FC236}">
              <a16:creationId xmlns:a16="http://schemas.microsoft.com/office/drawing/2014/main" id="{101C11A1-6C68-4C2F-8CF5-047D24B9E99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0ED44B62-5989-4A2D-8EFC-35DDEF1EDB4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9" name="文字方塊 58">
          <a:extLst>
            <a:ext uri="{FF2B5EF4-FFF2-40B4-BE49-F238E27FC236}">
              <a16:creationId xmlns:a16="http://schemas.microsoft.com/office/drawing/2014/main" id="{30C9D8E1-6070-4B00-A14C-5691272D31E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0" name="文字方塊 8">
          <a:extLst>
            <a:ext uri="{FF2B5EF4-FFF2-40B4-BE49-F238E27FC236}">
              <a16:creationId xmlns:a16="http://schemas.microsoft.com/office/drawing/2014/main" id="{23412500-AD39-4B39-B783-D36B14253B27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C22F4FDD-38D8-4835-A171-714EBAF1C35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CDE28BDE-11CD-4D5D-9A3C-23A08B6EDE2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3" name="文字方塊 62">
          <a:extLst>
            <a:ext uri="{FF2B5EF4-FFF2-40B4-BE49-F238E27FC236}">
              <a16:creationId xmlns:a16="http://schemas.microsoft.com/office/drawing/2014/main" id="{5C18E046-05F1-4847-802E-8D2AC6C3844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4" name="文字方塊 8">
          <a:extLst>
            <a:ext uri="{FF2B5EF4-FFF2-40B4-BE49-F238E27FC236}">
              <a16:creationId xmlns:a16="http://schemas.microsoft.com/office/drawing/2014/main" id="{CAFE5015-4492-40D7-8A69-D9A4203BC4CE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5" name="文字方塊 64">
          <a:extLst>
            <a:ext uri="{FF2B5EF4-FFF2-40B4-BE49-F238E27FC236}">
              <a16:creationId xmlns:a16="http://schemas.microsoft.com/office/drawing/2014/main" id="{7ED30D8C-62D4-47EB-86E7-1132B31199F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D181F7D0-B168-4DFB-9B35-945FE73CE52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7" name="文字方塊 66">
          <a:extLst>
            <a:ext uri="{FF2B5EF4-FFF2-40B4-BE49-F238E27FC236}">
              <a16:creationId xmlns:a16="http://schemas.microsoft.com/office/drawing/2014/main" id="{E6D71105-C70F-413D-A641-92695B5C95F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8" name="文字方塊 8">
          <a:extLst>
            <a:ext uri="{FF2B5EF4-FFF2-40B4-BE49-F238E27FC236}">
              <a16:creationId xmlns:a16="http://schemas.microsoft.com/office/drawing/2014/main" id="{ADF43128-74FA-4E0B-A1F4-066866AD4269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C9C51F6D-6AEF-4CC2-8FB6-880005D4BA0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3C2D01D7-B1C3-40AF-BEEF-D966AB9241B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2CEB8881-EC87-40F6-A774-309DB4CCE99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2" name="文字方塊 8">
          <a:extLst>
            <a:ext uri="{FF2B5EF4-FFF2-40B4-BE49-F238E27FC236}">
              <a16:creationId xmlns:a16="http://schemas.microsoft.com/office/drawing/2014/main" id="{83271147-4242-4178-8008-E9EA0D7232D0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3" name="文字方塊 72">
          <a:extLst>
            <a:ext uri="{FF2B5EF4-FFF2-40B4-BE49-F238E27FC236}">
              <a16:creationId xmlns:a16="http://schemas.microsoft.com/office/drawing/2014/main" id="{6EB31980-40E0-4FA0-A202-C06BB631211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4" name="文字方塊 73">
          <a:extLst>
            <a:ext uri="{FF2B5EF4-FFF2-40B4-BE49-F238E27FC236}">
              <a16:creationId xmlns:a16="http://schemas.microsoft.com/office/drawing/2014/main" id="{FCFEE218-31EE-4451-8B75-1CA8D4A362A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5" name="文字方塊 74">
          <a:extLst>
            <a:ext uri="{FF2B5EF4-FFF2-40B4-BE49-F238E27FC236}">
              <a16:creationId xmlns:a16="http://schemas.microsoft.com/office/drawing/2014/main" id="{B4CB0FB5-7F32-4B30-AD38-188CFB756BC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6" name="文字方塊 8">
          <a:extLst>
            <a:ext uri="{FF2B5EF4-FFF2-40B4-BE49-F238E27FC236}">
              <a16:creationId xmlns:a16="http://schemas.microsoft.com/office/drawing/2014/main" id="{71189B70-6C64-42CF-A74A-3AFB99FAB8BB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E12729EF-F975-4F54-9483-5A52C56C857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8" name="文字方塊 77">
          <a:extLst>
            <a:ext uri="{FF2B5EF4-FFF2-40B4-BE49-F238E27FC236}">
              <a16:creationId xmlns:a16="http://schemas.microsoft.com/office/drawing/2014/main" id="{B84FB33B-059A-4A91-9DF0-88FBB5F058C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9" name="文字方塊 78">
          <a:extLst>
            <a:ext uri="{FF2B5EF4-FFF2-40B4-BE49-F238E27FC236}">
              <a16:creationId xmlns:a16="http://schemas.microsoft.com/office/drawing/2014/main" id="{0EF82D98-E1B9-4B41-9D2C-7D2D6E55F92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0" name="文字方塊 8">
          <a:extLst>
            <a:ext uri="{FF2B5EF4-FFF2-40B4-BE49-F238E27FC236}">
              <a16:creationId xmlns:a16="http://schemas.microsoft.com/office/drawing/2014/main" id="{36E0C911-37A1-43C0-AA6B-8472227DA7B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1" name="文字方塊 80">
          <a:extLst>
            <a:ext uri="{FF2B5EF4-FFF2-40B4-BE49-F238E27FC236}">
              <a16:creationId xmlns:a16="http://schemas.microsoft.com/office/drawing/2014/main" id="{3996DD6A-F61A-4F9C-AB90-24BFE396DCB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2" name="文字方塊 81">
          <a:extLst>
            <a:ext uri="{FF2B5EF4-FFF2-40B4-BE49-F238E27FC236}">
              <a16:creationId xmlns:a16="http://schemas.microsoft.com/office/drawing/2014/main" id="{F4277336-6905-4668-80FC-85D5F99A14B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3" name="文字方塊 82">
          <a:extLst>
            <a:ext uri="{FF2B5EF4-FFF2-40B4-BE49-F238E27FC236}">
              <a16:creationId xmlns:a16="http://schemas.microsoft.com/office/drawing/2014/main" id="{2EF8750F-2DCB-4FF7-A8AC-CB10508B61D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4" name="文字方塊 8">
          <a:extLst>
            <a:ext uri="{FF2B5EF4-FFF2-40B4-BE49-F238E27FC236}">
              <a16:creationId xmlns:a16="http://schemas.microsoft.com/office/drawing/2014/main" id="{459DDC86-E2F7-4915-B141-2A240729FA08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5" name="文字方塊 84">
          <a:extLst>
            <a:ext uri="{FF2B5EF4-FFF2-40B4-BE49-F238E27FC236}">
              <a16:creationId xmlns:a16="http://schemas.microsoft.com/office/drawing/2014/main" id="{CEDCF381-E4B8-48F5-848F-5E1169D3E52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6" name="文字方塊 85">
          <a:extLst>
            <a:ext uri="{FF2B5EF4-FFF2-40B4-BE49-F238E27FC236}">
              <a16:creationId xmlns:a16="http://schemas.microsoft.com/office/drawing/2014/main" id="{D30235C9-AC34-46C6-9E3B-384E76335F5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23.xml><?xml version="1.0" encoding="utf-8"?>
<xdr:wsDr xmlns:xdr="http://schemas.openxmlformats.org/drawingml/2006/spreadsheetDrawing" xmlns:a="http://schemas.openxmlformats.org/drawingml/2006/main"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28803600" y="1585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 txBox="1">
          <a:spLocks noChangeAspect="1"/>
        </xdr:cNvSpPr>
      </xdr:nvSpPr>
      <xdr:spPr>
        <a:xfrm>
          <a:off x="28803600" y="101290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twoCellAnchor editAs="oneCell">
    <xdr:from>
      <xdr:col>3</xdr:col>
      <xdr:colOff>123269</xdr:colOff>
      <xdr:row>1</xdr:row>
      <xdr:rowOff>56021</xdr:rowOff>
    </xdr:from>
    <xdr:to>
      <xdr:col>6</xdr:col>
      <xdr:colOff>231472</xdr:colOff>
      <xdr:row>3</xdr:row>
      <xdr:rowOff>481220</xdr:rowOff>
    </xdr:to>
    <xdr:sp macro="[0]!auto_length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>
          <a:spLocks noChangeAspect="1"/>
        </xdr:cNvSpPr>
      </xdr:nvSpPr>
      <xdr:spPr>
        <a:xfrm>
          <a:off x="2180669" y="322721"/>
          <a:ext cx="2165603" cy="761171"/>
        </a:xfrm>
        <a:prstGeom prst="rect">
          <a:avLst/>
        </a:prstGeom>
        <a:solidFill>
          <a:schemeClr val="bg1"/>
        </a:solidFill>
        <a:ln w="38100">
          <a:solidFill>
            <a:schemeClr val="accent2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2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計算長度</a:t>
          </a:r>
        </a:p>
      </xdr:txBody>
    </xdr:sp>
    <xdr:clientData/>
  </xdr:twoCellAnchor>
  <xdr:oneCellAnchor>
    <xdr:from>
      <xdr:col>13</xdr:col>
      <xdr:colOff>134475</xdr:colOff>
      <xdr:row>1</xdr:row>
      <xdr:rowOff>56021</xdr:rowOff>
    </xdr:from>
    <xdr:ext cx="2160000" cy="360000"/>
    <xdr:sp macro="[0]!auto_angle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>
          <a:spLocks noChangeAspect="1"/>
        </xdr:cNvSpPr>
      </xdr:nvSpPr>
      <xdr:spPr>
        <a:xfrm>
          <a:off x="9049875" y="322721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4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計算角度</a:t>
          </a:r>
          <a:r>
            <a:rPr lang="en-US" altLang="zh-TW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(°)</a:t>
          </a:r>
          <a:endParaRPr lang="zh-TW" altLang="en-US" sz="1600" b="1">
            <a:solidFill>
              <a:schemeClr val="accent4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oneCellAnchor>
  <xdr:oneCellAnchor>
    <xdr:from>
      <xdr:col>24</xdr:col>
      <xdr:colOff>134475</xdr:colOff>
      <xdr:row>1</xdr:row>
      <xdr:rowOff>56022</xdr:rowOff>
    </xdr:from>
    <xdr:ext cx="2160000" cy="360000"/>
    <xdr:sp macro="[0]!auto_area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>
          <a:spLocks noChangeAspect="1"/>
        </xdr:cNvSpPr>
      </xdr:nvSpPr>
      <xdr:spPr>
        <a:xfrm>
          <a:off x="16593675" y="322722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6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計算面積</a:t>
          </a:r>
        </a:p>
      </xdr:txBody>
    </xdr:sp>
    <xdr:clientData/>
  </xdr:oneCellAnchor>
  <xdr:twoCellAnchor editAs="oneCell">
    <xdr:from>
      <xdr:col>6</xdr:col>
      <xdr:colOff>85169</xdr:colOff>
      <xdr:row>1</xdr:row>
      <xdr:rowOff>51539</xdr:rowOff>
    </xdr:from>
    <xdr:to>
      <xdr:col>8</xdr:col>
      <xdr:colOff>156371</xdr:colOff>
      <xdr:row>3</xdr:row>
      <xdr:rowOff>476738</xdr:rowOff>
    </xdr:to>
    <xdr:sp macro="[0]!clear_length" textlink="">
      <xdr:nvSpPr>
        <xdr:cNvPr id="7" name="矩形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>
          <a:spLocks/>
        </xdr:cNvSpPr>
      </xdr:nvSpPr>
      <xdr:spPr>
        <a:xfrm>
          <a:off x="4199969" y="318239"/>
          <a:ext cx="1442802" cy="761171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twoCellAnchor>
  <xdr:oneCellAnchor>
    <xdr:from>
      <xdr:col>16</xdr:col>
      <xdr:colOff>85169</xdr:colOff>
      <xdr:row>1</xdr:row>
      <xdr:rowOff>51539</xdr:rowOff>
    </xdr:from>
    <xdr:ext cx="1440000" cy="360000"/>
    <xdr:sp macro="[0]!clear_angle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SpPr>
          <a:spLocks/>
        </xdr:cNvSpPr>
      </xdr:nvSpPr>
      <xdr:spPr>
        <a:xfrm>
          <a:off x="11057969" y="3182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27</xdr:col>
      <xdr:colOff>85169</xdr:colOff>
      <xdr:row>1</xdr:row>
      <xdr:rowOff>51539</xdr:rowOff>
    </xdr:from>
    <xdr:ext cx="1440000" cy="360000"/>
    <xdr:sp macro="[0]!clear_area" textlink="">
      <xdr:nvSpPr>
        <xdr:cNvPr id="9" name="矩形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SpPr>
          <a:spLocks/>
        </xdr:cNvSpPr>
      </xdr:nvSpPr>
      <xdr:spPr>
        <a:xfrm>
          <a:off x="18601769" y="3182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354AF272-344C-4891-80CD-8E839551D80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AF381250-C0EF-48FB-8CD2-AD97917649C8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525EC43C-FF51-43BC-9946-EB835000454F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A8E4599E-C30B-415E-9D5A-3218FBAB5575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B8566714-4A80-43AA-9025-E06B231405E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04A8947F-D4CB-4527-8254-796EB1F6CA8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" name="文字方塊 15">
          <a:extLst>
            <a:ext uri="{FF2B5EF4-FFF2-40B4-BE49-F238E27FC236}">
              <a16:creationId xmlns:a16="http://schemas.microsoft.com/office/drawing/2014/main" id="{C2335F88-BB08-42DD-8F66-72F09A85D41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7" name="文字方塊 16">
          <a:extLst>
            <a:ext uri="{FF2B5EF4-FFF2-40B4-BE49-F238E27FC236}">
              <a16:creationId xmlns:a16="http://schemas.microsoft.com/office/drawing/2014/main" id="{EF389EBD-29F5-436F-967B-C1B42ADC653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50A1E701-B41C-421D-AC8F-3A26C3479F7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22785575-C090-418C-A8B5-0FFA95A5DCB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0" name="文字方塊 8">
          <a:extLst>
            <a:ext uri="{FF2B5EF4-FFF2-40B4-BE49-F238E27FC236}">
              <a16:creationId xmlns:a16="http://schemas.microsoft.com/office/drawing/2014/main" id="{73F4FCFA-0D9F-4FB1-8B4F-2C3F4FC1F860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1" name="文字方塊 9">
          <a:extLst>
            <a:ext uri="{FF2B5EF4-FFF2-40B4-BE49-F238E27FC236}">
              <a16:creationId xmlns:a16="http://schemas.microsoft.com/office/drawing/2014/main" id="{18255BC2-3C1F-481E-B082-FB2ED42BF57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981C9186-17B1-427C-8DB6-9AA157F510C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AE42BAB8-745D-47AB-BD43-3F996B3C7F1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4" name="文字方塊 23">
          <a:extLst>
            <a:ext uri="{FF2B5EF4-FFF2-40B4-BE49-F238E27FC236}">
              <a16:creationId xmlns:a16="http://schemas.microsoft.com/office/drawing/2014/main" id="{B0AAAD70-F38F-4DBA-99C1-11AD59BA97F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5" name="文字方塊 24">
          <a:extLst>
            <a:ext uri="{FF2B5EF4-FFF2-40B4-BE49-F238E27FC236}">
              <a16:creationId xmlns:a16="http://schemas.microsoft.com/office/drawing/2014/main" id="{C3D42426-666F-443F-BD52-7495BC470E3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A665B3E8-3E0A-4DD5-8CFB-8F53596D503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055225B3-83AA-4F03-B3BA-48F017C3E57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8" name="文字方塊 8">
          <a:extLst>
            <a:ext uri="{FF2B5EF4-FFF2-40B4-BE49-F238E27FC236}">
              <a16:creationId xmlns:a16="http://schemas.microsoft.com/office/drawing/2014/main" id="{9F57BDBA-751B-4DC7-A844-B38BDD9CAA13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9" name="文字方塊 9">
          <a:extLst>
            <a:ext uri="{FF2B5EF4-FFF2-40B4-BE49-F238E27FC236}">
              <a16:creationId xmlns:a16="http://schemas.microsoft.com/office/drawing/2014/main" id="{1CDEDC35-DBFB-4F06-8ED5-60432E16C82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63631CDD-D54E-4563-8857-6509986A44A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E9296156-8DAD-4A05-BA9F-C7CA3E55A84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2" name="文字方塊 31">
          <a:extLst>
            <a:ext uri="{FF2B5EF4-FFF2-40B4-BE49-F238E27FC236}">
              <a16:creationId xmlns:a16="http://schemas.microsoft.com/office/drawing/2014/main" id="{83AD1836-6F5C-4748-8758-B901790C4BC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3" name="文字方塊 32">
          <a:extLst>
            <a:ext uri="{FF2B5EF4-FFF2-40B4-BE49-F238E27FC236}">
              <a16:creationId xmlns:a16="http://schemas.microsoft.com/office/drawing/2014/main" id="{81B2A9BB-F6AB-40FA-8114-FDC43E0DD95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A937219B-823C-4972-B764-748DD74CD58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27F3A1C2-BEFE-43D4-BC35-60B4521318E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36" name="文字方塊 8">
          <a:extLst>
            <a:ext uri="{FF2B5EF4-FFF2-40B4-BE49-F238E27FC236}">
              <a16:creationId xmlns:a16="http://schemas.microsoft.com/office/drawing/2014/main" id="{FCD4DBE3-6FBC-4922-86C0-967B12341EB5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37" name="文字方塊 9">
          <a:extLst>
            <a:ext uri="{FF2B5EF4-FFF2-40B4-BE49-F238E27FC236}">
              <a16:creationId xmlns:a16="http://schemas.microsoft.com/office/drawing/2014/main" id="{E74275F6-E0ED-47AA-911D-413342758C5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F5B960D6-F83B-45B1-BED3-5D9CAC926FC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528F64E1-EB0D-46F3-BAEC-85B290AA46A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0" name="文字方塊 39">
          <a:extLst>
            <a:ext uri="{FF2B5EF4-FFF2-40B4-BE49-F238E27FC236}">
              <a16:creationId xmlns:a16="http://schemas.microsoft.com/office/drawing/2014/main" id="{7DA8B47D-485D-47F8-B3B1-D68EEA9EC36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1" name="文字方塊 40">
          <a:extLst>
            <a:ext uri="{FF2B5EF4-FFF2-40B4-BE49-F238E27FC236}">
              <a16:creationId xmlns:a16="http://schemas.microsoft.com/office/drawing/2014/main" id="{374BDC30-8AFF-4F34-A0F6-D47333EF0FF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DAA6311F-4423-4BC6-824B-13D8D680C42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C97F905A-4F9F-4F25-B304-326DF126332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4" name="文字方塊 8">
          <a:extLst>
            <a:ext uri="{FF2B5EF4-FFF2-40B4-BE49-F238E27FC236}">
              <a16:creationId xmlns:a16="http://schemas.microsoft.com/office/drawing/2014/main" id="{D5B2733B-7149-4593-B267-6134110E4EDA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5" name="文字方塊 9">
          <a:extLst>
            <a:ext uri="{FF2B5EF4-FFF2-40B4-BE49-F238E27FC236}">
              <a16:creationId xmlns:a16="http://schemas.microsoft.com/office/drawing/2014/main" id="{619F9A31-8901-4C2E-A1B4-F40777F2F22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9D219D92-CB7C-4899-B261-32BE68DDA9A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62199C6E-0D79-4CD9-A46B-A8E0D5FEECE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8" name="文字方塊 47">
          <a:extLst>
            <a:ext uri="{FF2B5EF4-FFF2-40B4-BE49-F238E27FC236}">
              <a16:creationId xmlns:a16="http://schemas.microsoft.com/office/drawing/2014/main" id="{2923C32D-7D27-403D-9F04-D93D4B9AA5A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9" name="文字方塊 48">
          <a:extLst>
            <a:ext uri="{FF2B5EF4-FFF2-40B4-BE49-F238E27FC236}">
              <a16:creationId xmlns:a16="http://schemas.microsoft.com/office/drawing/2014/main" id="{C2CD45CF-325E-4CB6-905A-32E6AC972C8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01448A91-5972-4506-B1A6-485D0E315D2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8DBC13A9-AFCE-480E-83CB-615EA244DA6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2" name="文字方塊 8">
          <a:extLst>
            <a:ext uri="{FF2B5EF4-FFF2-40B4-BE49-F238E27FC236}">
              <a16:creationId xmlns:a16="http://schemas.microsoft.com/office/drawing/2014/main" id="{32A67A45-8F4A-4D0A-B5E1-81B21D48C250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53" name="文字方塊 9">
          <a:extLst>
            <a:ext uri="{FF2B5EF4-FFF2-40B4-BE49-F238E27FC236}">
              <a16:creationId xmlns:a16="http://schemas.microsoft.com/office/drawing/2014/main" id="{3955DE3B-1EAF-48C3-B124-F7502752318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04E03635-C804-4890-8B89-9C0F9495562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8D8A7215-6A14-497F-BEC1-C3FA08528BB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6" name="文字方塊 55">
          <a:extLst>
            <a:ext uri="{FF2B5EF4-FFF2-40B4-BE49-F238E27FC236}">
              <a16:creationId xmlns:a16="http://schemas.microsoft.com/office/drawing/2014/main" id="{0131C35B-BED2-4970-BD6E-5DFBC3CF2E3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7" name="文字方塊 56">
          <a:extLst>
            <a:ext uri="{FF2B5EF4-FFF2-40B4-BE49-F238E27FC236}">
              <a16:creationId xmlns:a16="http://schemas.microsoft.com/office/drawing/2014/main" id="{463F5231-77E1-4B06-9885-01DC742C4D6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AEF17A78-0215-4695-82DD-8207E967720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9" name="文字方塊 58">
          <a:extLst>
            <a:ext uri="{FF2B5EF4-FFF2-40B4-BE49-F238E27FC236}">
              <a16:creationId xmlns:a16="http://schemas.microsoft.com/office/drawing/2014/main" id="{4421BD83-2037-4C25-B20A-BED58BA4055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0" name="文字方塊 8">
          <a:extLst>
            <a:ext uri="{FF2B5EF4-FFF2-40B4-BE49-F238E27FC236}">
              <a16:creationId xmlns:a16="http://schemas.microsoft.com/office/drawing/2014/main" id="{E95263F2-BB85-44BA-9854-708D2B59A588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44CC1589-2429-4190-B70F-553270C1757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AEBC951E-0371-4D79-B26F-F9C15993F22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3" name="文字方塊 62">
          <a:extLst>
            <a:ext uri="{FF2B5EF4-FFF2-40B4-BE49-F238E27FC236}">
              <a16:creationId xmlns:a16="http://schemas.microsoft.com/office/drawing/2014/main" id="{F96DB0F9-690B-4A01-AC42-75767EB5DFD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4" name="文字方塊 8">
          <a:extLst>
            <a:ext uri="{FF2B5EF4-FFF2-40B4-BE49-F238E27FC236}">
              <a16:creationId xmlns:a16="http://schemas.microsoft.com/office/drawing/2014/main" id="{B38CDFB4-A7E7-434A-A77C-446D87B1C74A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5" name="文字方塊 64">
          <a:extLst>
            <a:ext uri="{FF2B5EF4-FFF2-40B4-BE49-F238E27FC236}">
              <a16:creationId xmlns:a16="http://schemas.microsoft.com/office/drawing/2014/main" id="{D6E9D579-489B-49FB-AB71-7EF904DBBEB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3CAB4993-62D6-4028-B0FE-071C8CECCBE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7" name="文字方塊 66">
          <a:extLst>
            <a:ext uri="{FF2B5EF4-FFF2-40B4-BE49-F238E27FC236}">
              <a16:creationId xmlns:a16="http://schemas.microsoft.com/office/drawing/2014/main" id="{682BBA52-7114-45D1-BDF6-ABB027008F3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8" name="文字方塊 8">
          <a:extLst>
            <a:ext uri="{FF2B5EF4-FFF2-40B4-BE49-F238E27FC236}">
              <a16:creationId xmlns:a16="http://schemas.microsoft.com/office/drawing/2014/main" id="{1DECFFBB-D790-4419-B50D-1261CD8F7B7B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245D3782-5E06-4FCD-8381-828F18477DB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27CE7A3E-997D-4CA5-9B93-C06CE30CB14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35D832AE-E520-401E-ABA1-D8ABC4C4042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2" name="文字方塊 8">
          <a:extLst>
            <a:ext uri="{FF2B5EF4-FFF2-40B4-BE49-F238E27FC236}">
              <a16:creationId xmlns:a16="http://schemas.microsoft.com/office/drawing/2014/main" id="{246BB0F5-FEA6-4E78-BDAE-0650A95A1B46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3" name="文字方塊 72">
          <a:extLst>
            <a:ext uri="{FF2B5EF4-FFF2-40B4-BE49-F238E27FC236}">
              <a16:creationId xmlns:a16="http://schemas.microsoft.com/office/drawing/2014/main" id="{CCD768F1-69B0-4916-8A4E-170B5E2B816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4" name="文字方塊 73">
          <a:extLst>
            <a:ext uri="{FF2B5EF4-FFF2-40B4-BE49-F238E27FC236}">
              <a16:creationId xmlns:a16="http://schemas.microsoft.com/office/drawing/2014/main" id="{E87F295B-3C18-4EEC-8609-49E9978F6F3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5" name="文字方塊 74">
          <a:extLst>
            <a:ext uri="{FF2B5EF4-FFF2-40B4-BE49-F238E27FC236}">
              <a16:creationId xmlns:a16="http://schemas.microsoft.com/office/drawing/2014/main" id="{0426C3DE-C9D9-42F7-82D1-F7B47F6FECB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6" name="文字方塊 8">
          <a:extLst>
            <a:ext uri="{FF2B5EF4-FFF2-40B4-BE49-F238E27FC236}">
              <a16:creationId xmlns:a16="http://schemas.microsoft.com/office/drawing/2014/main" id="{058D027B-499B-4FED-9BFA-755452D47854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7C22EE67-ABC2-4CCF-86AF-CCDD21539C5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8" name="文字方塊 77">
          <a:extLst>
            <a:ext uri="{FF2B5EF4-FFF2-40B4-BE49-F238E27FC236}">
              <a16:creationId xmlns:a16="http://schemas.microsoft.com/office/drawing/2014/main" id="{D7561C01-626F-45BB-9A1B-A9906D19046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9" name="文字方塊 78">
          <a:extLst>
            <a:ext uri="{FF2B5EF4-FFF2-40B4-BE49-F238E27FC236}">
              <a16:creationId xmlns:a16="http://schemas.microsoft.com/office/drawing/2014/main" id="{2F88042C-16F8-453A-86DB-BF35CC7AA70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0" name="文字方塊 8">
          <a:extLst>
            <a:ext uri="{FF2B5EF4-FFF2-40B4-BE49-F238E27FC236}">
              <a16:creationId xmlns:a16="http://schemas.microsoft.com/office/drawing/2014/main" id="{73AC2590-A039-4539-8478-6805FACBE842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1" name="文字方塊 80">
          <a:extLst>
            <a:ext uri="{FF2B5EF4-FFF2-40B4-BE49-F238E27FC236}">
              <a16:creationId xmlns:a16="http://schemas.microsoft.com/office/drawing/2014/main" id="{A32C013E-0D47-43D0-BDAE-6BD09BF2EC5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2" name="文字方塊 81">
          <a:extLst>
            <a:ext uri="{FF2B5EF4-FFF2-40B4-BE49-F238E27FC236}">
              <a16:creationId xmlns:a16="http://schemas.microsoft.com/office/drawing/2014/main" id="{0B4009A3-FCC6-49FD-9B53-40C0784CFC8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3" name="文字方塊 82">
          <a:extLst>
            <a:ext uri="{FF2B5EF4-FFF2-40B4-BE49-F238E27FC236}">
              <a16:creationId xmlns:a16="http://schemas.microsoft.com/office/drawing/2014/main" id="{A0CF6287-628F-41E7-9580-04AA9DD4067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4" name="文字方塊 8">
          <a:extLst>
            <a:ext uri="{FF2B5EF4-FFF2-40B4-BE49-F238E27FC236}">
              <a16:creationId xmlns:a16="http://schemas.microsoft.com/office/drawing/2014/main" id="{9CC4BF6C-D4D6-4BB3-848E-CCD810A6FA0D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5" name="文字方塊 84">
          <a:extLst>
            <a:ext uri="{FF2B5EF4-FFF2-40B4-BE49-F238E27FC236}">
              <a16:creationId xmlns:a16="http://schemas.microsoft.com/office/drawing/2014/main" id="{35E6DC18-D205-4B7B-BE9A-AD349B32522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6" name="文字方塊 85">
          <a:extLst>
            <a:ext uri="{FF2B5EF4-FFF2-40B4-BE49-F238E27FC236}">
              <a16:creationId xmlns:a16="http://schemas.microsoft.com/office/drawing/2014/main" id="{4B41C162-DB79-422E-A4DF-94FB8FBD7E3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24.xml><?xml version="1.0" encoding="utf-8"?>
<xdr:wsDr xmlns:xdr="http://schemas.openxmlformats.org/drawingml/2006/spreadsheetDrawing" xmlns:a="http://schemas.openxmlformats.org/drawingml/2006/main"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28803600" y="15856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 txBox="1">
          <a:spLocks noChangeAspect="1"/>
        </xdr:cNvSpPr>
      </xdr:nvSpPr>
      <xdr:spPr>
        <a:xfrm>
          <a:off x="28803600" y="101290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twoCellAnchor editAs="oneCell">
    <xdr:from>
      <xdr:col>3</xdr:col>
      <xdr:colOff>123269</xdr:colOff>
      <xdr:row>1</xdr:row>
      <xdr:rowOff>56021</xdr:rowOff>
    </xdr:from>
    <xdr:to>
      <xdr:col>6</xdr:col>
      <xdr:colOff>224977</xdr:colOff>
      <xdr:row>3</xdr:row>
      <xdr:rowOff>428894</xdr:rowOff>
    </xdr:to>
    <xdr:sp macro="[0]!auto_length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>
          <a:spLocks noChangeAspect="1"/>
        </xdr:cNvSpPr>
      </xdr:nvSpPr>
      <xdr:spPr>
        <a:xfrm>
          <a:off x="2180669" y="322721"/>
          <a:ext cx="2165603" cy="761171"/>
        </a:xfrm>
        <a:prstGeom prst="rect">
          <a:avLst/>
        </a:prstGeom>
        <a:solidFill>
          <a:schemeClr val="bg1"/>
        </a:solidFill>
        <a:ln w="38100">
          <a:solidFill>
            <a:schemeClr val="accent2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2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計算長度</a:t>
          </a:r>
        </a:p>
      </xdr:txBody>
    </xdr:sp>
    <xdr:clientData/>
  </xdr:twoCellAnchor>
  <xdr:oneCellAnchor>
    <xdr:from>
      <xdr:col>13</xdr:col>
      <xdr:colOff>134475</xdr:colOff>
      <xdr:row>1</xdr:row>
      <xdr:rowOff>56021</xdr:rowOff>
    </xdr:from>
    <xdr:ext cx="2160000" cy="360000"/>
    <xdr:sp macro="[0]!auto_angle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>
          <a:spLocks noChangeAspect="1"/>
        </xdr:cNvSpPr>
      </xdr:nvSpPr>
      <xdr:spPr>
        <a:xfrm>
          <a:off x="9049875" y="322721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4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計算角度</a:t>
          </a:r>
          <a:r>
            <a:rPr lang="en-US" altLang="zh-TW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(°)</a:t>
          </a:r>
          <a:endParaRPr lang="zh-TW" altLang="en-US" sz="1600" b="1">
            <a:solidFill>
              <a:schemeClr val="accent4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oneCellAnchor>
  <xdr:oneCellAnchor>
    <xdr:from>
      <xdr:col>24</xdr:col>
      <xdr:colOff>134475</xdr:colOff>
      <xdr:row>1</xdr:row>
      <xdr:rowOff>56022</xdr:rowOff>
    </xdr:from>
    <xdr:ext cx="2160000" cy="360000"/>
    <xdr:sp macro="[0]!auto_area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>
          <a:spLocks noChangeAspect="1"/>
        </xdr:cNvSpPr>
      </xdr:nvSpPr>
      <xdr:spPr>
        <a:xfrm>
          <a:off x="16593675" y="322722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6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計算面積</a:t>
          </a:r>
        </a:p>
      </xdr:txBody>
    </xdr:sp>
    <xdr:clientData/>
  </xdr:oneCellAnchor>
  <xdr:twoCellAnchor editAs="oneCell">
    <xdr:from>
      <xdr:col>6</xdr:col>
      <xdr:colOff>85169</xdr:colOff>
      <xdr:row>1</xdr:row>
      <xdr:rowOff>51539</xdr:rowOff>
    </xdr:from>
    <xdr:to>
      <xdr:col>8</xdr:col>
      <xdr:colOff>152042</xdr:colOff>
      <xdr:row>3</xdr:row>
      <xdr:rowOff>416792</xdr:rowOff>
    </xdr:to>
    <xdr:sp macro="[0]!clear_length" textlink="">
      <xdr:nvSpPr>
        <xdr:cNvPr id="7" name="矩形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>
          <a:spLocks/>
        </xdr:cNvSpPr>
      </xdr:nvSpPr>
      <xdr:spPr>
        <a:xfrm>
          <a:off x="4199969" y="318239"/>
          <a:ext cx="1442802" cy="761171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twoCellAnchor>
  <xdr:oneCellAnchor>
    <xdr:from>
      <xdr:col>16</xdr:col>
      <xdr:colOff>85169</xdr:colOff>
      <xdr:row>1</xdr:row>
      <xdr:rowOff>51539</xdr:rowOff>
    </xdr:from>
    <xdr:ext cx="1440000" cy="360000"/>
    <xdr:sp macro="[0]!clear_angle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SpPr>
          <a:spLocks/>
        </xdr:cNvSpPr>
      </xdr:nvSpPr>
      <xdr:spPr>
        <a:xfrm>
          <a:off x="11057969" y="3182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27</xdr:col>
      <xdr:colOff>85169</xdr:colOff>
      <xdr:row>1</xdr:row>
      <xdr:rowOff>51539</xdr:rowOff>
    </xdr:from>
    <xdr:ext cx="1440000" cy="360000"/>
    <xdr:sp macro="[0]!clear_area" textlink="">
      <xdr:nvSpPr>
        <xdr:cNvPr id="9" name="矩形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SpPr>
          <a:spLocks/>
        </xdr:cNvSpPr>
      </xdr:nvSpPr>
      <xdr:spPr>
        <a:xfrm>
          <a:off x="18601769" y="3182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0AF60912-8711-4DAE-82A8-7A1879E11230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DAEE25E8-325B-4598-B09A-8C806880B048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3C516257-8DBE-4532-A529-6FD11530761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C5129E1A-6B93-4601-B8D6-302C9F07B392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AFA8E1C9-21F0-40B1-9946-FA382113235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FBB84D77-D11D-4691-8A7A-EAB25D7EAE1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" name="文字方塊 15">
          <a:extLst>
            <a:ext uri="{FF2B5EF4-FFF2-40B4-BE49-F238E27FC236}">
              <a16:creationId xmlns:a16="http://schemas.microsoft.com/office/drawing/2014/main" id="{E5681937-ACFB-4BF1-88B3-2C743C9D5A2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7" name="文字方塊 16">
          <a:extLst>
            <a:ext uri="{FF2B5EF4-FFF2-40B4-BE49-F238E27FC236}">
              <a16:creationId xmlns:a16="http://schemas.microsoft.com/office/drawing/2014/main" id="{2AE1109C-3BF6-4790-A8EE-B6A3ADB6DB9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3F8C39A2-8795-4EAB-B364-A435629761C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96D536EB-DAD4-48FD-B8B5-53E990AC5E6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0" name="文字方塊 8">
          <a:extLst>
            <a:ext uri="{FF2B5EF4-FFF2-40B4-BE49-F238E27FC236}">
              <a16:creationId xmlns:a16="http://schemas.microsoft.com/office/drawing/2014/main" id="{23FA8819-6DCF-4FCD-8F39-B33215FE022C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1" name="文字方塊 9">
          <a:extLst>
            <a:ext uri="{FF2B5EF4-FFF2-40B4-BE49-F238E27FC236}">
              <a16:creationId xmlns:a16="http://schemas.microsoft.com/office/drawing/2014/main" id="{5687786D-B75C-4C54-B6F6-BD5F1081A18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97A14D95-8FCE-49C3-B039-756C3E04DA5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478F4F51-41C3-4DB1-AEC3-B11A625F47F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4" name="文字方塊 23">
          <a:extLst>
            <a:ext uri="{FF2B5EF4-FFF2-40B4-BE49-F238E27FC236}">
              <a16:creationId xmlns:a16="http://schemas.microsoft.com/office/drawing/2014/main" id="{4A29BE4B-9BE0-4B9A-A88E-A731DCACAF8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5" name="文字方塊 24">
          <a:extLst>
            <a:ext uri="{FF2B5EF4-FFF2-40B4-BE49-F238E27FC236}">
              <a16:creationId xmlns:a16="http://schemas.microsoft.com/office/drawing/2014/main" id="{46400B6B-16FA-464D-8E7E-9DA7085332B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6C53B7FB-C6E0-4651-B94E-E8E10D1DD96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B455E6C3-2EEE-45FC-8CEC-81AE47B8C13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8" name="文字方塊 8">
          <a:extLst>
            <a:ext uri="{FF2B5EF4-FFF2-40B4-BE49-F238E27FC236}">
              <a16:creationId xmlns:a16="http://schemas.microsoft.com/office/drawing/2014/main" id="{A504FC76-25F5-491C-A216-82A35E34F12E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9" name="文字方塊 9">
          <a:extLst>
            <a:ext uri="{FF2B5EF4-FFF2-40B4-BE49-F238E27FC236}">
              <a16:creationId xmlns:a16="http://schemas.microsoft.com/office/drawing/2014/main" id="{D1C4B7CD-B373-4985-B34B-97C54123929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66658115-2E04-450B-AB2C-16512E1BCA0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88AB7899-46EB-4808-8C37-8FD5F6AAA9D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2" name="文字方塊 31">
          <a:extLst>
            <a:ext uri="{FF2B5EF4-FFF2-40B4-BE49-F238E27FC236}">
              <a16:creationId xmlns:a16="http://schemas.microsoft.com/office/drawing/2014/main" id="{7B1F3BE1-F4AB-4C91-8C2B-CCBEF5C0179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3" name="文字方塊 32">
          <a:extLst>
            <a:ext uri="{FF2B5EF4-FFF2-40B4-BE49-F238E27FC236}">
              <a16:creationId xmlns:a16="http://schemas.microsoft.com/office/drawing/2014/main" id="{E8D1EDDA-4D8D-47B9-AC1B-E2EE7F7C0D5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3B03C619-E97C-42AA-8479-B9E3D581AC8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9BD49D36-B252-4349-A463-F21E8DC304F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36" name="文字方塊 8">
          <a:extLst>
            <a:ext uri="{FF2B5EF4-FFF2-40B4-BE49-F238E27FC236}">
              <a16:creationId xmlns:a16="http://schemas.microsoft.com/office/drawing/2014/main" id="{2A6E2652-C0A2-49A6-80F5-37B6174C258B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37" name="文字方塊 9">
          <a:extLst>
            <a:ext uri="{FF2B5EF4-FFF2-40B4-BE49-F238E27FC236}">
              <a16:creationId xmlns:a16="http://schemas.microsoft.com/office/drawing/2014/main" id="{2F51D25B-7D68-492C-B854-2A0D63BF9A7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454880EA-9C38-4361-93EA-A63A74E939E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8E48CA16-904F-4E59-9B27-2F32BC02C65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0" name="文字方塊 39">
          <a:extLst>
            <a:ext uri="{FF2B5EF4-FFF2-40B4-BE49-F238E27FC236}">
              <a16:creationId xmlns:a16="http://schemas.microsoft.com/office/drawing/2014/main" id="{BEF89B9E-9B41-4334-B8A5-2029F745FC0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1" name="文字方塊 40">
          <a:extLst>
            <a:ext uri="{FF2B5EF4-FFF2-40B4-BE49-F238E27FC236}">
              <a16:creationId xmlns:a16="http://schemas.microsoft.com/office/drawing/2014/main" id="{5ECD7D60-485C-4DCF-A6E5-AEA531F593D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F3D880EB-5F94-44A4-B05B-5B5D2F9D5CF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BC0E9D55-D01B-447B-B597-D2E5240E311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4" name="文字方塊 8">
          <a:extLst>
            <a:ext uri="{FF2B5EF4-FFF2-40B4-BE49-F238E27FC236}">
              <a16:creationId xmlns:a16="http://schemas.microsoft.com/office/drawing/2014/main" id="{A3077114-DB9B-49F1-B0AF-5C8F55DD2CBE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5" name="文字方塊 9">
          <a:extLst>
            <a:ext uri="{FF2B5EF4-FFF2-40B4-BE49-F238E27FC236}">
              <a16:creationId xmlns:a16="http://schemas.microsoft.com/office/drawing/2014/main" id="{6734A109-DE50-4D35-8D0E-2DAB5959B15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86D98B14-5787-4CBE-B15F-1342DF776C2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28D4CB38-52B4-44DB-8E6C-F60DC73DFBF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8" name="文字方塊 47">
          <a:extLst>
            <a:ext uri="{FF2B5EF4-FFF2-40B4-BE49-F238E27FC236}">
              <a16:creationId xmlns:a16="http://schemas.microsoft.com/office/drawing/2014/main" id="{A2D2D28D-6129-4D06-BBE6-6499B07D486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9" name="文字方塊 48">
          <a:extLst>
            <a:ext uri="{FF2B5EF4-FFF2-40B4-BE49-F238E27FC236}">
              <a16:creationId xmlns:a16="http://schemas.microsoft.com/office/drawing/2014/main" id="{167884EB-D5C4-45F1-811A-39978C68266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9912D0E1-EE7C-44E6-BEC8-61D4420BD6E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EF4E2325-65A3-4555-A25C-5704F67B74D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2" name="文字方塊 8">
          <a:extLst>
            <a:ext uri="{FF2B5EF4-FFF2-40B4-BE49-F238E27FC236}">
              <a16:creationId xmlns:a16="http://schemas.microsoft.com/office/drawing/2014/main" id="{DFBA9024-64EF-47BE-82A6-8489620A410E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53" name="文字方塊 9">
          <a:extLst>
            <a:ext uri="{FF2B5EF4-FFF2-40B4-BE49-F238E27FC236}">
              <a16:creationId xmlns:a16="http://schemas.microsoft.com/office/drawing/2014/main" id="{A38A6253-6F7D-47B1-8AE5-F07B250868D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7EE7307B-F09F-4D5A-9299-DC2CBD86937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9F35444D-729A-457D-AA42-F49BA525EAB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6" name="文字方塊 55">
          <a:extLst>
            <a:ext uri="{FF2B5EF4-FFF2-40B4-BE49-F238E27FC236}">
              <a16:creationId xmlns:a16="http://schemas.microsoft.com/office/drawing/2014/main" id="{597E979B-D721-4E72-BC8F-D5F014EBB37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7" name="文字方塊 56">
          <a:extLst>
            <a:ext uri="{FF2B5EF4-FFF2-40B4-BE49-F238E27FC236}">
              <a16:creationId xmlns:a16="http://schemas.microsoft.com/office/drawing/2014/main" id="{4B0D8694-5BB8-488A-9085-E2322ABBEF9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290C0E8B-75E4-4F36-B618-58A042EB01A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9" name="文字方塊 58">
          <a:extLst>
            <a:ext uri="{FF2B5EF4-FFF2-40B4-BE49-F238E27FC236}">
              <a16:creationId xmlns:a16="http://schemas.microsoft.com/office/drawing/2014/main" id="{7FFB48E2-32A3-458E-8610-C77600FC433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0" name="文字方塊 8">
          <a:extLst>
            <a:ext uri="{FF2B5EF4-FFF2-40B4-BE49-F238E27FC236}">
              <a16:creationId xmlns:a16="http://schemas.microsoft.com/office/drawing/2014/main" id="{8B0FCE0C-12E0-4F6E-8155-A6E703944D6D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F3B34E79-FB61-4883-8DBC-A24B349E60E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766F7093-066C-4848-80BC-BD701AC293E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3" name="文字方塊 62">
          <a:extLst>
            <a:ext uri="{FF2B5EF4-FFF2-40B4-BE49-F238E27FC236}">
              <a16:creationId xmlns:a16="http://schemas.microsoft.com/office/drawing/2014/main" id="{C20DDB15-3267-4367-A467-84EBD8CD436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4" name="文字方塊 8">
          <a:extLst>
            <a:ext uri="{FF2B5EF4-FFF2-40B4-BE49-F238E27FC236}">
              <a16:creationId xmlns:a16="http://schemas.microsoft.com/office/drawing/2014/main" id="{68D89170-EBED-484E-A73B-D901B2BB0BE9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5" name="文字方塊 64">
          <a:extLst>
            <a:ext uri="{FF2B5EF4-FFF2-40B4-BE49-F238E27FC236}">
              <a16:creationId xmlns:a16="http://schemas.microsoft.com/office/drawing/2014/main" id="{9EAC882D-BA31-4688-9C1F-7023A45EBFA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9CE9BF95-2BCC-492D-B34D-C1DA842A26A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7" name="文字方塊 66">
          <a:extLst>
            <a:ext uri="{FF2B5EF4-FFF2-40B4-BE49-F238E27FC236}">
              <a16:creationId xmlns:a16="http://schemas.microsoft.com/office/drawing/2014/main" id="{6DEDA97A-898A-447C-82F2-E2EAC34EAB5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8" name="文字方塊 8">
          <a:extLst>
            <a:ext uri="{FF2B5EF4-FFF2-40B4-BE49-F238E27FC236}">
              <a16:creationId xmlns:a16="http://schemas.microsoft.com/office/drawing/2014/main" id="{EB0602B7-6706-45DE-9311-058B542899B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4E1CB97D-6E1F-4D3E-BE4E-B7BC3459356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2F4B1C8D-99E4-478B-B641-D643D78DDED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BAB4789A-BAE8-4248-B1D9-1D0D59C33B8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2" name="文字方塊 8">
          <a:extLst>
            <a:ext uri="{FF2B5EF4-FFF2-40B4-BE49-F238E27FC236}">
              <a16:creationId xmlns:a16="http://schemas.microsoft.com/office/drawing/2014/main" id="{643C7B9C-DB44-4D88-8845-B1A272480CE9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3" name="文字方塊 72">
          <a:extLst>
            <a:ext uri="{FF2B5EF4-FFF2-40B4-BE49-F238E27FC236}">
              <a16:creationId xmlns:a16="http://schemas.microsoft.com/office/drawing/2014/main" id="{5428DA79-B13A-4E86-B434-E3313BE562C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4" name="文字方塊 73">
          <a:extLst>
            <a:ext uri="{FF2B5EF4-FFF2-40B4-BE49-F238E27FC236}">
              <a16:creationId xmlns:a16="http://schemas.microsoft.com/office/drawing/2014/main" id="{848E4F2B-9315-484D-80D3-716957CC64F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5" name="文字方塊 74">
          <a:extLst>
            <a:ext uri="{FF2B5EF4-FFF2-40B4-BE49-F238E27FC236}">
              <a16:creationId xmlns:a16="http://schemas.microsoft.com/office/drawing/2014/main" id="{2B2D3C7C-FA79-42B3-80BD-964C63331FF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6" name="文字方塊 8">
          <a:extLst>
            <a:ext uri="{FF2B5EF4-FFF2-40B4-BE49-F238E27FC236}">
              <a16:creationId xmlns:a16="http://schemas.microsoft.com/office/drawing/2014/main" id="{BD5F133B-313B-45F2-A535-78B28DC994B5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5F6E638B-07AC-49A8-915A-DA8E9A5F4EF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8" name="文字方塊 77">
          <a:extLst>
            <a:ext uri="{FF2B5EF4-FFF2-40B4-BE49-F238E27FC236}">
              <a16:creationId xmlns:a16="http://schemas.microsoft.com/office/drawing/2014/main" id="{36B4946A-1AB6-4F2C-BA4F-C3F17DFF49B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9" name="文字方塊 78">
          <a:extLst>
            <a:ext uri="{FF2B5EF4-FFF2-40B4-BE49-F238E27FC236}">
              <a16:creationId xmlns:a16="http://schemas.microsoft.com/office/drawing/2014/main" id="{3504999E-B706-41CA-8CB8-E76B35BAF90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0" name="文字方塊 8">
          <a:extLst>
            <a:ext uri="{FF2B5EF4-FFF2-40B4-BE49-F238E27FC236}">
              <a16:creationId xmlns:a16="http://schemas.microsoft.com/office/drawing/2014/main" id="{1FE383BD-62AC-46D4-BDF1-905E8692FF41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1" name="文字方塊 80">
          <a:extLst>
            <a:ext uri="{FF2B5EF4-FFF2-40B4-BE49-F238E27FC236}">
              <a16:creationId xmlns:a16="http://schemas.microsoft.com/office/drawing/2014/main" id="{9F670757-B53D-4551-9D4A-0993390A05D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2" name="文字方塊 81">
          <a:extLst>
            <a:ext uri="{FF2B5EF4-FFF2-40B4-BE49-F238E27FC236}">
              <a16:creationId xmlns:a16="http://schemas.microsoft.com/office/drawing/2014/main" id="{AA87F749-BFDB-469D-A37E-89430AECE70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3" name="文字方塊 82">
          <a:extLst>
            <a:ext uri="{FF2B5EF4-FFF2-40B4-BE49-F238E27FC236}">
              <a16:creationId xmlns:a16="http://schemas.microsoft.com/office/drawing/2014/main" id="{6E4C0BA3-3657-4864-BCAF-73520BD3467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4" name="文字方塊 8">
          <a:extLst>
            <a:ext uri="{FF2B5EF4-FFF2-40B4-BE49-F238E27FC236}">
              <a16:creationId xmlns:a16="http://schemas.microsoft.com/office/drawing/2014/main" id="{F442DFAB-8908-48F9-ADE1-F1403C45AAF9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5" name="文字方塊 84">
          <a:extLst>
            <a:ext uri="{FF2B5EF4-FFF2-40B4-BE49-F238E27FC236}">
              <a16:creationId xmlns:a16="http://schemas.microsoft.com/office/drawing/2014/main" id="{2D2EF22C-A26C-4C12-92EF-C75CF560009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6" name="文字方塊 85">
          <a:extLst>
            <a:ext uri="{FF2B5EF4-FFF2-40B4-BE49-F238E27FC236}">
              <a16:creationId xmlns:a16="http://schemas.microsoft.com/office/drawing/2014/main" id="{89288FB7-C95B-4AD9-8BF5-E5FE2A50BE5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25.xml><?xml version="1.0" encoding="utf-8"?>
<xdr:wsDr xmlns:xdr="http://schemas.openxmlformats.org/drawingml/2006/spreadsheetDrawing" xmlns:a="http://schemas.openxmlformats.org/drawingml/2006/main"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08AA3553-A23F-4616-A520-CF5FDEC01B7F}"/>
            </a:ext>
          </a:extLst>
        </xdr:cNvPr>
        <xdr:cNvSpPr txBox="1"/>
      </xdr:nvSpPr>
      <xdr:spPr>
        <a:xfrm>
          <a:off x="26921460" y="15970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8346804F-9427-4572-B92B-ABA55C788185}"/>
            </a:ext>
          </a:extLst>
        </xdr:cNvPr>
        <xdr:cNvSpPr txBox="1">
          <a:spLocks noChangeAspect="1"/>
        </xdr:cNvSpPr>
      </xdr:nvSpPr>
      <xdr:spPr>
        <a:xfrm>
          <a:off x="26921460" y="103005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twoCellAnchor editAs="oneCell">
    <xdr:from>
      <xdr:col>3</xdr:col>
      <xdr:colOff>123269</xdr:colOff>
      <xdr:row>1</xdr:row>
      <xdr:rowOff>56021</xdr:rowOff>
    </xdr:from>
    <xdr:to>
      <xdr:col>6</xdr:col>
      <xdr:colOff>224977</xdr:colOff>
      <xdr:row>3</xdr:row>
      <xdr:rowOff>428894</xdr:rowOff>
    </xdr:to>
    <xdr:sp macro="[0]!auto_length" textlink="">
      <xdr:nvSpPr>
        <xdr:cNvPr id="4" name="矩形 3">
          <a:extLst>
            <a:ext uri="{FF2B5EF4-FFF2-40B4-BE49-F238E27FC236}">
              <a16:creationId xmlns:a16="http://schemas.microsoft.com/office/drawing/2014/main" id="{68AE8316-8F09-424E-906A-B5BD84C7F39C}"/>
            </a:ext>
          </a:extLst>
        </xdr:cNvPr>
        <xdr:cNvSpPr>
          <a:spLocks noChangeAspect="1"/>
        </xdr:cNvSpPr>
      </xdr:nvSpPr>
      <xdr:spPr>
        <a:xfrm>
          <a:off x="2134949" y="353201"/>
          <a:ext cx="2113388" cy="803947"/>
        </a:xfrm>
        <a:prstGeom prst="rect">
          <a:avLst/>
        </a:prstGeom>
        <a:solidFill>
          <a:schemeClr val="bg1"/>
        </a:solidFill>
        <a:ln w="38100">
          <a:solidFill>
            <a:schemeClr val="accent2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2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計算長度</a:t>
          </a:r>
        </a:p>
      </xdr:txBody>
    </xdr:sp>
    <xdr:clientData/>
  </xdr:twoCellAnchor>
  <xdr:oneCellAnchor>
    <xdr:from>
      <xdr:col>13</xdr:col>
      <xdr:colOff>134475</xdr:colOff>
      <xdr:row>1</xdr:row>
      <xdr:rowOff>56021</xdr:rowOff>
    </xdr:from>
    <xdr:ext cx="2160000" cy="360000"/>
    <xdr:sp macro="[0]!auto_angle" textlink="">
      <xdr:nvSpPr>
        <xdr:cNvPr id="5" name="矩形 4">
          <a:extLst>
            <a:ext uri="{FF2B5EF4-FFF2-40B4-BE49-F238E27FC236}">
              <a16:creationId xmlns:a16="http://schemas.microsoft.com/office/drawing/2014/main" id="{7C6D4F82-AB42-4CFB-84D0-243FAA40255B}"/>
            </a:ext>
          </a:extLst>
        </xdr:cNvPr>
        <xdr:cNvSpPr>
          <a:spLocks noChangeAspect="1"/>
        </xdr:cNvSpPr>
      </xdr:nvSpPr>
      <xdr:spPr>
        <a:xfrm>
          <a:off x="8851755" y="353201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4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計算角度</a:t>
          </a:r>
          <a:r>
            <a:rPr lang="en-US" altLang="zh-TW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(°)</a:t>
          </a:r>
          <a:endParaRPr lang="zh-TW" altLang="en-US" sz="1600" b="1">
            <a:solidFill>
              <a:schemeClr val="accent4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oneCellAnchor>
  <xdr:oneCellAnchor>
    <xdr:from>
      <xdr:col>24</xdr:col>
      <xdr:colOff>134475</xdr:colOff>
      <xdr:row>1</xdr:row>
      <xdr:rowOff>56022</xdr:rowOff>
    </xdr:from>
    <xdr:ext cx="2160000" cy="360000"/>
    <xdr:sp macro="[0]!auto_area" textlink="">
      <xdr:nvSpPr>
        <xdr:cNvPr id="6" name="矩形 5">
          <a:extLst>
            <a:ext uri="{FF2B5EF4-FFF2-40B4-BE49-F238E27FC236}">
              <a16:creationId xmlns:a16="http://schemas.microsoft.com/office/drawing/2014/main" id="{63374F47-E40C-4CEB-A164-BDC662CD965C}"/>
            </a:ext>
          </a:extLst>
        </xdr:cNvPr>
        <xdr:cNvSpPr>
          <a:spLocks noChangeAspect="1"/>
        </xdr:cNvSpPr>
      </xdr:nvSpPr>
      <xdr:spPr>
        <a:xfrm>
          <a:off x="14985855" y="353202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6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計算面積</a:t>
          </a:r>
        </a:p>
      </xdr:txBody>
    </xdr:sp>
    <xdr:clientData/>
  </xdr:oneCellAnchor>
  <xdr:twoCellAnchor editAs="oneCell">
    <xdr:from>
      <xdr:col>6</xdr:col>
      <xdr:colOff>85169</xdr:colOff>
      <xdr:row>1</xdr:row>
      <xdr:rowOff>51539</xdr:rowOff>
    </xdr:from>
    <xdr:to>
      <xdr:col>8</xdr:col>
      <xdr:colOff>152042</xdr:colOff>
      <xdr:row>3</xdr:row>
      <xdr:rowOff>424412</xdr:rowOff>
    </xdr:to>
    <xdr:sp macro="[0]!clear_length" textlink="">
      <xdr:nvSpPr>
        <xdr:cNvPr id="7" name="矩形 6">
          <a:extLst>
            <a:ext uri="{FF2B5EF4-FFF2-40B4-BE49-F238E27FC236}">
              <a16:creationId xmlns:a16="http://schemas.microsoft.com/office/drawing/2014/main" id="{DC3DC698-8CB1-485E-98E8-A7920243BA7F}"/>
            </a:ext>
          </a:extLst>
        </xdr:cNvPr>
        <xdr:cNvSpPr>
          <a:spLocks/>
        </xdr:cNvSpPr>
      </xdr:nvSpPr>
      <xdr:spPr>
        <a:xfrm>
          <a:off x="4108529" y="348719"/>
          <a:ext cx="1407993" cy="803947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twoCellAnchor>
  <xdr:oneCellAnchor>
    <xdr:from>
      <xdr:col>16</xdr:col>
      <xdr:colOff>85169</xdr:colOff>
      <xdr:row>1</xdr:row>
      <xdr:rowOff>51539</xdr:rowOff>
    </xdr:from>
    <xdr:ext cx="1440000" cy="360000"/>
    <xdr:sp macro="[0]!clear_angle" textlink="">
      <xdr:nvSpPr>
        <xdr:cNvPr id="8" name="矩形 7">
          <a:extLst>
            <a:ext uri="{FF2B5EF4-FFF2-40B4-BE49-F238E27FC236}">
              <a16:creationId xmlns:a16="http://schemas.microsoft.com/office/drawing/2014/main" id="{704CBCA7-8E0B-4F56-87F2-B6F741CB777D}"/>
            </a:ext>
          </a:extLst>
        </xdr:cNvPr>
        <xdr:cNvSpPr>
          <a:spLocks/>
        </xdr:cNvSpPr>
      </xdr:nvSpPr>
      <xdr:spPr>
        <a:xfrm>
          <a:off x="10814129" y="34871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27</xdr:col>
      <xdr:colOff>85169</xdr:colOff>
      <xdr:row>1</xdr:row>
      <xdr:rowOff>51539</xdr:rowOff>
    </xdr:from>
    <xdr:ext cx="1440000" cy="360000"/>
    <xdr:sp macro="[0]!clear_area" textlink="">
      <xdr:nvSpPr>
        <xdr:cNvPr id="9" name="矩形 8">
          <a:extLst>
            <a:ext uri="{FF2B5EF4-FFF2-40B4-BE49-F238E27FC236}">
              <a16:creationId xmlns:a16="http://schemas.microsoft.com/office/drawing/2014/main" id="{91BE6432-1AEE-4186-8510-CE07447D5F56}"/>
            </a:ext>
          </a:extLst>
        </xdr:cNvPr>
        <xdr:cNvSpPr>
          <a:spLocks/>
        </xdr:cNvSpPr>
      </xdr:nvSpPr>
      <xdr:spPr>
        <a:xfrm>
          <a:off x="16948229" y="34871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AE797B60-B801-44F0-B79D-A9B2D02992CB}"/>
            </a:ext>
          </a:extLst>
        </xdr:cNvPr>
        <xdr:cNvSpPr txBox="1"/>
      </xdr:nvSpPr>
      <xdr:spPr>
        <a:xfrm>
          <a:off x="26921460" y="15970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7EA75619-DF1A-49CF-BBF4-EA362A5EBEA4}"/>
            </a:ext>
          </a:extLst>
        </xdr:cNvPr>
        <xdr:cNvSpPr txBox="1">
          <a:spLocks noChangeAspect="1"/>
        </xdr:cNvSpPr>
      </xdr:nvSpPr>
      <xdr:spPr>
        <a:xfrm>
          <a:off x="26921460" y="103005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3F10F7CF-3D7F-4CE4-9AA4-6E39E283CB27}"/>
            </a:ext>
          </a:extLst>
        </xdr:cNvPr>
        <xdr:cNvSpPr txBox="1"/>
      </xdr:nvSpPr>
      <xdr:spPr>
        <a:xfrm>
          <a:off x="26921460" y="15970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C8707485-0BF6-4AF3-99C1-4B230FC0F628}"/>
            </a:ext>
          </a:extLst>
        </xdr:cNvPr>
        <xdr:cNvSpPr txBox="1">
          <a:spLocks noChangeAspect="1"/>
        </xdr:cNvSpPr>
      </xdr:nvSpPr>
      <xdr:spPr>
        <a:xfrm>
          <a:off x="26921460" y="103005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5ECC95F7-1405-4947-B433-928DE231AA2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82F99FFA-4743-4904-A851-B721DE129DFD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" name="文字方塊 15">
          <a:extLst>
            <a:ext uri="{FF2B5EF4-FFF2-40B4-BE49-F238E27FC236}">
              <a16:creationId xmlns:a16="http://schemas.microsoft.com/office/drawing/2014/main" id="{31C03336-995D-46F5-B009-3C04148ABBB1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7" name="文字方塊 16">
          <a:extLst>
            <a:ext uri="{FF2B5EF4-FFF2-40B4-BE49-F238E27FC236}">
              <a16:creationId xmlns:a16="http://schemas.microsoft.com/office/drawing/2014/main" id="{520B55A1-907E-4E9A-9F52-154E355023BF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C9608B73-5C1F-4838-980E-B5DF8848D33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A70158D9-D10E-4716-8304-03C58EB55B6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4C5904C3-9E27-45CD-9B1F-CAC4C65D9FF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0BF50D2E-85B8-4D9D-B92C-6792F01A8E8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789842D8-A941-4119-9D97-268B06D76F9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D1462DBC-D5D8-4607-9047-779D99A48D5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4" name="文字方塊 8">
          <a:extLst>
            <a:ext uri="{FF2B5EF4-FFF2-40B4-BE49-F238E27FC236}">
              <a16:creationId xmlns:a16="http://schemas.microsoft.com/office/drawing/2014/main" id="{31A856E9-E30C-411F-99AE-7A4DC4264C77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5" name="文字方塊 9">
          <a:extLst>
            <a:ext uri="{FF2B5EF4-FFF2-40B4-BE49-F238E27FC236}">
              <a16:creationId xmlns:a16="http://schemas.microsoft.com/office/drawing/2014/main" id="{5D79D976-652F-457E-AB55-0F5A1773277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D681A157-0D31-4856-9DF9-D9FA8EB9106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9221D2FB-FB11-494D-96E7-64EB3FAF589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4C9C6FF0-5432-4FFF-8BBB-CDB8B238310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C60170CE-30C2-4164-9180-B97122961EC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0811442C-C225-4954-A0FD-693E0D2A631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5C5F263D-CEDA-4CB2-AF0C-2AA2732029E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32" name="文字方塊 8">
          <a:extLst>
            <a:ext uri="{FF2B5EF4-FFF2-40B4-BE49-F238E27FC236}">
              <a16:creationId xmlns:a16="http://schemas.microsoft.com/office/drawing/2014/main" id="{20E11A6D-79DA-4C0E-BBB3-D74246135E8D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33" name="文字方塊 9">
          <a:extLst>
            <a:ext uri="{FF2B5EF4-FFF2-40B4-BE49-F238E27FC236}">
              <a16:creationId xmlns:a16="http://schemas.microsoft.com/office/drawing/2014/main" id="{129AB39C-3D93-43F8-BD7D-917F540E52B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D269952A-FE8F-495B-9228-AAD7A6422A8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4A1AD257-F97C-4F09-ACA1-A7BE34F3128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6" name="文字方塊 35">
          <a:extLst>
            <a:ext uri="{FF2B5EF4-FFF2-40B4-BE49-F238E27FC236}">
              <a16:creationId xmlns:a16="http://schemas.microsoft.com/office/drawing/2014/main" id="{91C3C2A4-D599-4190-85D1-EF8DF234209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016E4781-2222-44B0-8ABB-FF59E39A466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04E12058-4AFF-4531-A119-DACEC75EB56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6C1119D5-35FE-4711-827C-3711C6B692C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0" name="文字方塊 8">
          <a:extLst>
            <a:ext uri="{FF2B5EF4-FFF2-40B4-BE49-F238E27FC236}">
              <a16:creationId xmlns:a16="http://schemas.microsoft.com/office/drawing/2014/main" id="{5C330819-5BA4-4D84-8D07-CDCFF685C284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1" name="文字方塊 9">
          <a:extLst>
            <a:ext uri="{FF2B5EF4-FFF2-40B4-BE49-F238E27FC236}">
              <a16:creationId xmlns:a16="http://schemas.microsoft.com/office/drawing/2014/main" id="{6B2E9954-88DA-4061-A9CF-0F18000B707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27D4B4B9-3831-4A53-9E2B-2BD4B0B5D70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C4ADC6D0-8906-43FA-95A0-DCFAB2F3B1B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60E1E111-DF60-49F5-9ADF-79E76B07956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5" name="文字方塊 44">
          <a:extLst>
            <a:ext uri="{FF2B5EF4-FFF2-40B4-BE49-F238E27FC236}">
              <a16:creationId xmlns:a16="http://schemas.microsoft.com/office/drawing/2014/main" id="{E51F1130-92D7-4F6F-8631-14829722945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2A754048-1CB8-4D29-9317-82EC96A41AC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A8DCB882-13FD-4699-BACD-3686762C715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8" name="文字方塊 8">
          <a:extLst>
            <a:ext uri="{FF2B5EF4-FFF2-40B4-BE49-F238E27FC236}">
              <a16:creationId xmlns:a16="http://schemas.microsoft.com/office/drawing/2014/main" id="{3023FA8C-41F3-4252-BA88-60E934FE4DA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9" name="文字方塊 9">
          <a:extLst>
            <a:ext uri="{FF2B5EF4-FFF2-40B4-BE49-F238E27FC236}">
              <a16:creationId xmlns:a16="http://schemas.microsoft.com/office/drawing/2014/main" id="{7067C713-92A4-447D-8264-537FD77D303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CECE4E29-7844-4144-A09C-9806EF61003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C4E75B10-C029-4803-A620-D6B0C784E6B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2" name="文字方塊 51">
          <a:extLst>
            <a:ext uri="{FF2B5EF4-FFF2-40B4-BE49-F238E27FC236}">
              <a16:creationId xmlns:a16="http://schemas.microsoft.com/office/drawing/2014/main" id="{687C9530-006F-4686-8EA0-FE4A3B3ED2C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3" name="文字方塊 52">
          <a:extLst>
            <a:ext uri="{FF2B5EF4-FFF2-40B4-BE49-F238E27FC236}">
              <a16:creationId xmlns:a16="http://schemas.microsoft.com/office/drawing/2014/main" id="{D62DD644-2A6F-4D1D-AC8C-F1ACE027E2E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BCBA2823-619F-444C-A6DF-07D5BC4F791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7A23E674-B724-4D19-9B04-F71F0633633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6" name="文字方塊 8">
          <a:extLst>
            <a:ext uri="{FF2B5EF4-FFF2-40B4-BE49-F238E27FC236}">
              <a16:creationId xmlns:a16="http://schemas.microsoft.com/office/drawing/2014/main" id="{DE0C66EA-4C9D-4C3C-AFAA-B4AB5CCFD761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57" name="文字方塊 9">
          <a:extLst>
            <a:ext uri="{FF2B5EF4-FFF2-40B4-BE49-F238E27FC236}">
              <a16:creationId xmlns:a16="http://schemas.microsoft.com/office/drawing/2014/main" id="{EFC1C9FC-76F6-4BBA-A9DF-741FCFAED1E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93FF12C0-B065-4F33-9CDC-6AF71790A06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9" name="文字方塊 58">
          <a:extLst>
            <a:ext uri="{FF2B5EF4-FFF2-40B4-BE49-F238E27FC236}">
              <a16:creationId xmlns:a16="http://schemas.microsoft.com/office/drawing/2014/main" id="{F1209C61-C908-4B08-BEF7-E8C2B50D341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0" name="文字方塊 59">
          <a:extLst>
            <a:ext uri="{FF2B5EF4-FFF2-40B4-BE49-F238E27FC236}">
              <a16:creationId xmlns:a16="http://schemas.microsoft.com/office/drawing/2014/main" id="{84EB6D35-CDFE-4707-A060-FDEA8E89A9B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65C1C1C8-D7EF-43C1-8CAF-5E8F5ACE0F2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5CDDE465-78AC-480D-87C0-E59BE092D4B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3" name="文字方塊 62">
          <a:extLst>
            <a:ext uri="{FF2B5EF4-FFF2-40B4-BE49-F238E27FC236}">
              <a16:creationId xmlns:a16="http://schemas.microsoft.com/office/drawing/2014/main" id="{BBC6E4AB-6242-457D-856C-09984FD4D56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4" name="文字方塊 8">
          <a:extLst>
            <a:ext uri="{FF2B5EF4-FFF2-40B4-BE49-F238E27FC236}">
              <a16:creationId xmlns:a16="http://schemas.microsoft.com/office/drawing/2014/main" id="{9B0F1BFC-3A5E-43F4-A0CF-BA9A1580D8F1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5" name="文字方塊 64">
          <a:extLst>
            <a:ext uri="{FF2B5EF4-FFF2-40B4-BE49-F238E27FC236}">
              <a16:creationId xmlns:a16="http://schemas.microsoft.com/office/drawing/2014/main" id="{E1A8322D-8295-4A1F-A889-EEA05123AAF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611A3D4D-FE1F-4A0F-8F75-E9105BB598C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7" name="文字方塊 66">
          <a:extLst>
            <a:ext uri="{FF2B5EF4-FFF2-40B4-BE49-F238E27FC236}">
              <a16:creationId xmlns:a16="http://schemas.microsoft.com/office/drawing/2014/main" id="{84CF9C6E-D2B9-43DD-BAA8-A988E069A22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8" name="文字方塊 8">
          <a:extLst>
            <a:ext uri="{FF2B5EF4-FFF2-40B4-BE49-F238E27FC236}">
              <a16:creationId xmlns:a16="http://schemas.microsoft.com/office/drawing/2014/main" id="{6CDD110C-F22E-4519-B4CC-5CB08E1E4BC8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081B4534-9584-4CEC-9236-B9CE2102DA9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4F0D5BC4-3513-4402-9242-517F04126EF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404EC7BC-11E4-497F-8494-FBDB9D8CDC8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2" name="文字方塊 8">
          <a:extLst>
            <a:ext uri="{FF2B5EF4-FFF2-40B4-BE49-F238E27FC236}">
              <a16:creationId xmlns:a16="http://schemas.microsoft.com/office/drawing/2014/main" id="{1422D3A2-969B-4166-BE11-93EED08641D3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3" name="文字方塊 72">
          <a:extLst>
            <a:ext uri="{FF2B5EF4-FFF2-40B4-BE49-F238E27FC236}">
              <a16:creationId xmlns:a16="http://schemas.microsoft.com/office/drawing/2014/main" id="{D4E70FDC-182C-4CA6-9C12-7259896F6DF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4" name="文字方塊 73">
          <a:extLst>
            <a:ext uri="{FF2B5EF4-FFF2-40B4-BE49-F238E27FC236}">
              <a16:creationId xmlns:a16="http://schemas.microsoft.com/office/drawing/2014/main" id="{DEB2B42D-F29D-4AB3-B49D-9D9DBF0A1DE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5" name="文字方塊 74">
          <a:extLst>
            <a:ext uri="{FF2B5EF4-FFF2-40B4-BE49-F238E27FC236}">
              <a16:creationId xmlns:a16="http://schemas.microsoft.com/office/drawing/2014/main" id="{164D435D-D20B-47B7-B2ED-B9BCF5BF451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6" name="文字方塊 8">
          <a:extLst>
            <a:ext uri="{FF2B5EF4-FFF2-40B4-BE49-F238E27FC236}">
              <a16:creationId xmlns:a16="http://schemas.microsoft.com/office/drawing/2014/main" id="{F8EFBC13-332A-49B5-A83A-463D7A7A226E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B1BB55F3-4FCA-463A-AC4C-E96BD1DD9E0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8" name="文字方塊 77">
          <a:extLst>
            <a:ext uri="{FF2B5EF4-FFF2-40B4-BE49-F238E27FC236}">
              <a16:creationId xmlns:a16="http://schemas.microsoft.com/office/drawing/2014/main" id="{4796EA30-9A07-4346-AB2E-BBD36F640BB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9" name="文字方塊 78">
          <a:extLst>
            <a:ext uri="{FF2B5EF4-FFF2-40B4-BE49-F238E27FC236}">
              <a16:creationId xmlns:a16="http://schemas.microsoft.com/office/drawing/2014/main" id="{E67C2CD5-6CE7-4015-A1A2-B93E3B83EEB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0" name="文字方塊 8">
          <a:extLst>
            <a:ext uri="{FF2B5EF4-FFF2-40B4-BE49-F238E27FC236}">
              <a16:creationId xmlns:a16="http://schemas.microsoft.com/office/drawing/2014/main" id="{39D57158-0DEB-47AB-85C3-0B8735EB36B9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1" name="文字方塊 80">
          <a:extLst>
            <a:ext uri="{FF2B5EF4-FFF2-40B4-BE49-F238E27FC236}">
              <a16:creationId xmlns:a16="http://schemas.microsoft.com/office/drawing/2014/main" id="{25537E01-CBBB-4EB5-B4FA-03C5A81F15E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2" name="文字方塊 81">
          <a:extLst>
            <a:ext uri="{FF2B5EF4-FFF2-40B4-BE49-F238E27FC236}">
              <a16:creationId xmlns:a16="http://schemas.microsoft.com/office/drawing/2014/main" id="{E7AE9BF6-44BA-4744-98F7-BC777FF0876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3" name="文字方塊 82">
          <a:extLst>
            <a:ext uri="{FF2B5EF4-FFF2-40B4-BE49-F238E27FC236}">
              <a16:creationId xmlns:a16="http://schemas.microsoft.com/office/drawing/2014/main" id="{08B6B135-D428-476B-B452-F7C9E5F09CA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4" name="文字方塊 8">
          <a:extLst>
            <a:ext uri="{FF2B5EF4-FFF2-40B4-BE49-F238E27FC236}">
              <a16:creationId xmlns:a16="http://schemas.microsoft.com/office/drawing/2014/main" id="{0EDA8CC7-F04D-4E68-829D-D8B084D0A108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5" name="文字方塊 84">
          <a:extLst>
            <a:ext uri="{FF2B5EF4-FFF2-40B4-BE49-F238E27FC236}">
              <a16:creationId xmlns:a16="http://schemas.microsoft.com/office/drawing/2014/main" id="{CA765094-0312-4592-9D1C-68DDFC9D2EE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6" name="文字方塊 85">
          <a:extLst>
            <a:ext uri="{FF2B5EF4-FFF2-40B4-BE49-F238E27FC236}">
              <a16:creationId xmlns:a16="http://schemas.microsoft.com/office/drawing/2014/main" id="{ECBE56B1-D234-4EF4-ACE2-68ED3B477FB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7" name="文字方塊 86">
          <a:extLst>
            <a:ext uri="{FF2B5EF4-FFF2-40B4-BE49-F238E27FC236}">
              <a16:creationId xmlns:a16="http://schemas.microsoft.com/office/drawing/2014/main" id="{48DB5A69-5CC0-4334-B28B-D22BF5F1885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8" name="文字方塊 8">
          <a:extLst>
            <a:ext uri="{FF2B5EF4-FFF2-40B4-BE49-F238E27FC236}">
              <a16:creationId xmlns:a16="http://schemas.microsoft.com/office/drawing/2014/main" id="{22611DE0-B124-4147-AE68-6CD57792967C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9" name="文字方塊 88">
          <a:extLst>
            <a:ext uri="{FF2B5EF4-FFF2-40B4-BE49-F238E27FC236}">
              <a16:creationId xmlns:a16="http://schemas.microsoft.com/office/drawing/2014/main" id="{0BE6055A-75D6-4B11-8EB6-694D313C3FE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0" name="文字方塊 89">
          <a:extLst>
            <a:ext uri="{FF2B5EF4-FFF2-40B4-BE49-F238E27FC236}">
              <a16:creationId xmlns:a16="http://schemas.microsoft.com/office/drawing/2014/main" id="{38F96692-6DF3-4828-8540-E854F26FC31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1" name="文字方塊 90">
          <a:extLst>
            <a:ext uri="{FF2B5EF4-FFF2-40B4-BE49-F238E27FC236}">
              <a16:creationId xmlns:a16="http://schemas.microsoft.com/office/drawing/2014/main" id="{4FB4CBA2-8C59-48EE-BC16-1366E0FC0DA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92" name="文字方塊 91">
          <a:extLst>
            <a:ext uri="{FF2B5EF4-FFF2-40B4-BE49-F238E27FC236}">
              <a16:creationId xmlns:a16="http://schemas.microsoft.com/office/drawing/2014/main" id="{0551B8AF-440B-4CFB-A6BD-46A4242A558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93" name="文字方塊 8">
          <a:extLst>
            <a:ext uri="{FF2B5EF4-FFF2-40B4-BE49-F238E27FC236}">
              <a16:creationId xmlns:a16="http://schemas.microsoft.com/office/drawing/2014/main" id="{BC64E8B4-C6F5-4421-B365-39CE29015BC9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94" name="文字方塊 9">
          <a:extLst>
            <a:ext uri="{FF2B5EF4-FFF2-40B4-BE49-F238E27FC236}">
              <a16:creationId xmlns:a16="http://schemas.microsoft.com/office/drawing/2014/main" id="{80CF8B05-0DF3-4AF1-B4FB-1B99F14342C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5" name="文字方塊 94">
          <a:extLst>
            <a:ext uri="{FF2B5EF4-FFF2-40B4-BE49-F238E27FC236}">
              <a16:creationId xmlns:a16="http://schemas.microsoft.com/office/drawing/2014/main" id="{15DF9E29-31EC-49A0-AB5A-EC4B4D5F282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96" name="文字方塊 95">
          <a:extLst>
            <a:ext uri="{FF2B5EF4-FFF2-40B4-BE49-F238E27FC236}">
              <a16:creationId xmlns:a16="http://schemas.microsoft.com/office/drawing/2014/main" id="{7A76C545-65DC-4A95-A549-42FDA895968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7" name="文字方塊 96">
          <a:extLst>
            <a:ext uri="{FF2B5EF4-FFF2-40B4-BE49-F238E27FC236}">
              <a16:creationId xmlns:a16="http://schemas.microsoft.com/office/drawing/2014/main" id="{8D9C9726-C27E-4245-AEDE-F27E7F7DED7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98" name="文字方塊 97">
          <a:extLst>
            <a:ext uri="{FF2B5EF4-FFF2-40B4-BE49-F238E27FC236}">
              <a16:creationId xmlns:a16="http://schemas.microsoft.com/office/drawing/2014/main" id="{65AF7426-48B3-49FA-A97F-FB2400F015B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9" name="文字方塊 98">
          <a:extLst>
            <a:ext uri="{FF2B5EF4-FFF2-40B4-BE49-F238E27FC236}">
              <a16:creationId xmlns:a16="http://schemas.microsoft.com/office/drawing/2014/main" id="{F9E33313-E192-4E74-85CB-9C702B04B46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00" name="文字方塊 99">
          <a:extLst>
            <a:ext uri="{FF2B5EF4-FFF2-40B4-BE49-F238E27FC236}">
              <a16:creationId xmlns:a16="http://schemas.microsoft.com/office/drawing/2014/main" id="{A25CAAEF-2FB7-4AAD-9998-09B9D98A77C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1" name="文字方塊 8">
          <a:extLst>
            <a:ext uri="{FF2B5EF4-FFF2-40B4-BE49-F238E27FC236}">
              <a16:creationId xmlns:a16="http://schemas.microsoft.com/office/drawing/2014/main" id="{1A8B2440-C539-44ED-9647-9F7631503C9B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02" name="文字方塊 9">
          <a:extLst>
            <a:ext uri="{FF2B5EF4-FFF2-40B4-BE49-F238E27FC236}">
              <a16:creationId xmlns:a16="http://schemas.microsoft.com/office/drawing/2014/main" id="{EFC0B7BD-BB0A-4348-AE48-8530B3052FD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3" name="文字方塊 102">
          <a:extLst>
            <a:ext uri="{FF2B5EF4-FFF2-40B4-BE49-F238E27FC236}">
              <a16:creationId xmlns:a16="http://schemas.microsoft.com/office/drawing/2014/main" id="{B77CF0A6-ACF4-4D8A-BE5A-AA546A151E8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04" name="文字方塊 103">
          <a:extLst>
            <a:ext uri="{FF2B5EF4-FFF2-40B4-BE49-F238E27FC236}">
              <a16:creationId xmlns:a16="http://schemas.microsoft.com/office/drawing/2014/main" id="{50483C6E-84CB-4956-9A67-9763BD78BE2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5" name="文字方塊 104">
          <a:extLst>
            <a:ext uri="{FF2B5EF4-FFF2-40B4-BE49-F238E27FC236}">
              <a16:creationId xmlns:a16="http://schemas.microsoft.com/office/drawing/2014/main" id="{8F014942-DA91-440B-A480-8CE0AFEC1E3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06" name="文字方塊 105">
          <a:extLst>
            <a:ext uri="{FF2B5EF4-FFF2-40B4-BE49-F238E27FC236}">
              <a16:creationId xmlns:a16="http://schemas.microsoft.com/office/drawing/2014/main" id="{D49C4AB4-35D1-4E44-81C7-C4EC16A06EB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7" name="文字方塊 106">
          <a:extLst>
            <a:ext uri="{FF2B5EF4-FFF2-40B4-BE49-F238E27FC236}">
              <a16:creationId xmlns:a16="http://schemas.microsoft.com/office/drawing/2014/main" id="{EAAFE01F-DC92-499E-A7E2-12F5CDBBACC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08" name="文字方塊 107">
          <a:extLst>
            <a:ext uri="{FF2B5EF4-FFF2-40B4-BE49-F238E27FC236}">
              <a16:creationId xmlns:a16="http://schemas.microsoft.com/office/drawing/2014/main" id="{F387AB19-CFB8-470B-8E98-4D69581956C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9" name="文字方塊 8">
          <a:extLst>
            <a:ext uri="{FF2B5EF4-FFF2-40B4-BE49-F238E27FC236}">
              <a16:creationId xmlns:a16="http://schemas.microsoft.com/office/drawing/2014/main" id="{A73AE815-BB05-46EB-B01A-D3097A0FEF39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10" name="文字方塊 9">
          <a:extLst>
            <a:ext uri="{FF2B5EF4-FFF2-40B4-BE49-F238E27FC236}">
              <a16:creationId xmlns:a16="http://schemas.microsoft.com/office/drawing/2014/main" id="{E410E1AA-7E43-41BB-AEAF-D255AD03E8E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1" name="文字方塊 110">
          <a:extLst>
            <a:ext uri="{FF2B5EF4-FFF2-40B4-BE49-F238E27FC236}">
              <a16:creationId xmlns:a16="http://schemas.microsoft.com/office/drawing/2014/main" id="{A552A863-6190-4723-A2B0-39D03CCCC3D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2" name="文字方塊 111">
          <a:extLst>
            <a:ext uri="{FF2B5EF4-FFF2-40B4-BE49-F238E27FC236}">
              <a16:creationId xmlns:a16="http://schemas.microsoft.com/office/drawing/2014/main" id="{2DC0D7A8-A8D0-4EF1-83A2-CCFAFEA560A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3" name="文字方塊 112">
          <a:extLst>
            <a:ext uri="{FF2B5EF4-FFF2-40B4-BE49-F238E27FC236}">
              <a16:creationId xmlns:a16="http://schemas.microsoft.com/office/drawing/2014/main" id="{C9903CBE-8C95-405F-87F2-5D54B2365F7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4" name="文字方塊 113">
          <a:extLst>
            <a:ext uri="{FF2B5EF4-FFF2-40B4-BE49-F238E27FC236}">
              <a16:creationId xmlns:a16="http://schemas.microsoft.com/office/drawing/2014/main" id="{BF65EAB0-9ADA-4ED5-AD4D-0653745C0B5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5" name="文字方塊 114">
          <a:extLst>
            <a:ext uri="{FF2B5EF4-FFF2-40B4-BE49-F238E27FC236}">
              <a16:creationId xmlns:a16="http://schemas.microsoft.com/office/drawing/2014/main" id="{1582CBB7-039D-434C-91EA-D3A94ABA3AA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6" name="文字方塊 115">
          <a:extLst>
            <a:ext uri="{FF2B5EF4-FFF2-40B4-BE49-F238E27FC236}">
              <a16:creationId xmlns:a16="http://schemas.microsoft.com/office/drawing/2014/main" id="{3A52BF87-353A-4311-AA3F-A075C4FF336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17" name="文字方塊 8">
          <a:extLst>
            <a:ext uri="{FF2B5EF4-FFF2-40B4-BE49-F238E27FC236}">
              <a16:creationId xmlns:a16="http://schemas.microsoft.com/office/drawing/2014/main" id="{E7B7693E-9E01-4551-B243-4443C90ED771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18" name="文字方塊 9">
          <a:extLst>
            <a:ext uri="{FF2B5EF4-FFF2-40B4-BE49-F238E27FC236}">
              <a16:creationId xmlns:a16="http://schemas.microsoft.com/office/drawing/2014/main" id="{368F9BC3-1A30-4C66-84FC-B5AF15F725E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9" name="文字方塊 118">
          <a:extLst>
            <a:ext uri="{FF2B5EF4-FFF2-40B4-BE49-F238E27FC236}">
              <a16:creationId xmlns:a16="http://schemas.microsoft.com/office/drawing/2014/main" id="{E27BB9B7-4B3E-4063-B525-428DF753140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20" name="文字方塊 119">
          <a:extLst>
            <a:ext uri="{FF2B5EF4-FFF2-40B4-BE49-F238E27FC236}">
              <a16:creationId xmlns:a16="http://schemas.microsoft.com/office/drawing/2014/main" id="{283A177B-519A-45AA-AB09-E1C9923E69B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1" name="文字方塊 120">
          <a:extLst>
            <a:ext uri="{FF2B5EF4-FFF2-40B4-BE49-F238E27FC236}">
              <a16:creationId xmlns:a16="http://schemas.microsoft.com/office/drawing/2014/main" id="{5A9D97BB-8EC0-40AE-8C41-67DEA6A849E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22" name="文字方塊 121">
          <a:extLst>
            <a:ext uri="{FF2B5EF4-FFF2-40B4-BE49-F238E27FC236}">
              <a16:creationId xmlns:a16="http://schemas.microsoft.com/office/drawing/2014/main" id="{D2EB464A-3993-4491-90D8-ED4FB4ED9CB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3" name="文字方塊 122">
          <a:extLst>
            <a:ext uri="{FF2B5EF4-FFF2-40B4-BE49-F238E27FC236}">
              <a16:creationId xmlns:a16="http://schemas.microsoft.com/office/drawing/2014/main" id="{5F49272F-4807-4D03-81C7-3B59C6C15E1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24" name="文字方塊 123">
          <a:extLst>
            <a:ext uri="{FF2B5EF4-FFF2-40B4-BE49-F238E27FC236}">
              <a16:creationId xmlns:a16="http://schemas.microsoft.com/office/drawing/2014/main" id="{DD626909-8A09-4144-8230-81D7BB13457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25" name="文字方塊 8">
          <a:extLst>
            <a:ext uri="{FF2B5EF4-FFF2-40B4-BE49-F238E27FC236}">
              <a16:creationId xmlns:a16="http://schemas.microsoft.com/office/drawing/2014/main" id="{A3B91B4D-E954-4B22-A79B-2CF1B8246EF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26" name="文字方塊 9">
          <a:extLst>
            <a:ext uri="{FF2B5EF4-FFF2-40B4-BE49-F238E27FC236}">
              <a16:creationId xmlns:a16="http://schemas.microsoft.com/office/drawing/2014/main" id="{401B381C-7AE2-4F40-962F-E8637CC2B7E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7" name="文字方塊 126">
          <a:extLst>
            <a:ext uri="{FF2B5EF4-FFF2-40B4-BE49-F238E27FC236}">
              <a16:creationId xmlns:a16="http://schemas.microsoft.com/office/drawing/2014/main" id="{92765F80-C644-425D-8326-05FCD8D8BA6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28" name="文字方塊 127">
          <a:extLst>
            <a:ext uri="{FF2B5EF4-FFF2-40B4-BE49-F238E27FC236}">
              <a16:creationId xmlns:a16="http://schemas.microsoft.com/office/drawing/2014/main" id="{0C42E330-7D5E-4500-AF4B-E39604154E0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9" name="文字方塊 128">
          <a:extLst>
            <a:ext uri="{FF2B5EF4-FFF2-40B4-BE49-F238E27FC236}">
              <a16:creationId xmlns:a16="http://schemas.microsoft.com/office/drawing/2014/main" id="{220363F3-1F01-4F88-9EA4-21DCEDDEC81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30" name="文字方塊 129">
          <a:extLst>
            <a:ext uri="{FF2B5EF4-FFF2-40B4-BE49-F238E27FC236}">
              <a16:creationId xmlns:a16="http://schemas.microsoft.com/office/drawing/2014/main" id="{CCED953E-4B80-4B04-8B7A-95F9C6F20AF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1" name="文字方塊 130">
          <a:extLst>
            <a:ext uri="{FF2B5EF4-FFF2-40B4-BE49-F238E27FC236}">
              <a16:creationId xmlns:a16="http://schemas.microsoft.com/office/drawing/2014/main" id="{67FBD0FA-F1B6-4773-ADF8-93EA887555B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32" name="文字方塊 131">
          <a:extLst>
            <a:ext uri="{FF2B5EF4-FFF2-40B4-BE49-F238E27FC236}">
              <a16:creationId xmlns:a16="http://schemas.microsoft.com/office/drawing/2014/main" id="{BC6125E2-5BC5-4BAA-9C8D-C5D9EE45DD7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33" name="文字方塊 8">
          <a:extLst>
            <a:ext uri="{FF2B5EF4-FFF2-40B4-BE49-F238E27FC236}">
              <a16:creationId xmlns:a16="http://schemas.microsoft.com/office/drawing/2014/main" id="{D056B54F-3DC6-492E-9CDC-2CD38F9C93B4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34" name="文字方塊 9">
          <a:extLst>
            <a:ext uri="{FF2B5EF4-FFF2-40B4-BE49-F238E27FC236}">
              <a16:creationId xmlns:a16="http://schemas.microsoft.com/office/drawing/2014/main" id="{8DCA9D10-7733-4FD0-80CC-BA609FF8C5E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5" name="文字方塊 134">
          <a:extLst>
            <a:ext uri="{FF2B5EF4-FFF2-40B4-BE49-F238E27FC236}">
              <a16:creationId xmlns:a16="http://schemas.microsoft.com/office/drawing/2014/main" id="{42A31F46-7776-403E-8619-07758D6D910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36" name="文字方塊 135">
          <a:extLst>
            <a:ext uri="{FF2B5EF4-FFF2-40B4-BE49-F238E27FC236}">
              <a16:creationId xmlns:a16="http://schemas.microsoft.com/office/drawing/2014/main" id="{AF3DFA8A-0150-46C1-B15C-09A18F4F04A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7" name="文字方塊 136">
          <a:extLst>
            <a:ext uri="{FF2B5EF4-FFF2-40B4-BE49-F238E27FC236}">
              <a16:creationId xmlns:a16="http://schemas.microsoft.com/office/drawing/2014/main" id="{F3CEFDD3-0CCB-4CC4-824D-ED1EC7ED477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38" name="文字方塊 137">
          <a:extLst>
            <a:ext uri="{FF2B5EF4-FFF2-40B4-BE49-F238E27FC236}">
              <a16:creationId xmlns:a16="http://schemas.microsoft.com/office/drawing/2014/main" id="{46B59E9D-117B-4D0C-9B02-94F0552FFE7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9" name="文字方塊 138">
          <a:extLst>
            <a:ext uri="{FF2B5EF4-FFF2-40B4-BE49-F238E27FC236}">
              <a16:creationId xmlns:a16="http://schemas.microsoft.com/office/drawing/2014/main" id="{7AE3BFF3-004B-4BA1-A2AA-5A303D5296C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0" name="文字方塊 139">
          <a:extLst>
            <a:ext uri="{FF2B5EF4-FFF2-40B4-BE49-F238E27FC236}">
              <a16:creationId xmlns:a16="http://schemas.microsoft.com/office/drawing/2014/main" id="{EA675D76-6B64-4EFE-8C78-CCEE8865CBF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41" name="文字方塊 8">
          <a:extLst>
            <a:ext uri="{FF2B5EF4-FFF2-40B4-BE49-F238E27FC236}">
              <a16:creationId xmlns:a16="http://schemas.microsoft.com/office/drawing/2014/main" id="{2D7F01BE-E152-4387-8F09-2CFC1F2C11C0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2" name="文字方塊 141">
          <a:extLst>
            <a:ext uri="{FF2B5EF4-FFF2-40B4-BE49-F238E27FC236}">
              <a16:creationId xmlns:a16="http://schemas.microsoft.com/office/drawing/2014/main" id="{3694410E-A2EC-4751-9283-78ABF38BF05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3" name="文字方塊 142">
          <a:extLst>
            <a:ext uri="{FF2B5EF4-FFF2-40B4-BE49-F238E27FC236}">
              <a16:creationId xmlns:a16="http://schemas.microsoft.com/office/drawing/2014/main" id="{9BDBCB72-CA59-4B58-BB64-DC84A4D4886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4" name="文字方塊 143">
          <a:extLst>
            <a:ext uri="{FF2B5EF4-FFF2-40B4-BE49-F238E27FC236}">
              <a16:creationId xmlns:a16="http://schemas.microsoft.com/office/drawing/2014/main" id="{E99775A0-265C-4749-8F76-754A7924FBC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45" name="文字方塊 8">
          <a:extLst>
            <a:ext uri="{FF2B5EF4-FFF2-40B4-BE49-F238E27FC236}">
              <a16:creationId xmlns:a16="http://schemas.microsoft.com/office/drawing/2014/main" id="{CA9FD17C-0716-444A-8218-3E25A15934A6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6" name="文字方塊 145">
          <a:extLst>
            <a:ext uri="{FF2B5EF4-FFF2-40B4-BE49-F238E27FC236}">
              <a16:creationId xmlns:a16="http://schemas.microsoft.com/office/drawing/2014/main" id="{27042C49-E0C4-46EF-B76C-CDC2BDD86F2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7" name="文字方塊 146">
          <a:extLst>
            <a:ext uri="{FF2B5EF4-FFF2-40B4-BE49-F238E27FC236}">
              <a16:creationId xmlns:a16="http://schemas.microsoft.com/office/drawing/2014/main" id="{ED9B7773-1105-400D-B2A8-9DF95C82217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8" name="文字方塊 147">
          <a:extLst>
            <a:ext uri="{FF2B5EF4-FFF2-40B4-BE49-F238E27FC236}">
              <a16:creationId xmlns:a16="http://schemas.microsoft.com/office/drawing/2014/main" id="{0F5AE6C5-8569-405F-B2BA-28D1B8645CF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49" name="文字方塊 8">
          <a:extLst>
            <a:ext uri="{FF2B5EF4-FFF2-40B4-BE49-F238E27FC236}">
              <a16:creationId xmlns:a16="http://schemas.microsoft.com/office/drawing/2014/main" id="{F8C62966-FCED-479F-9D6E-B7DE1CBEC60D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50" name="文字方塊 149">
          <a:extLst>
            <a:ext uri="{FF2B5EF4-FFF2-40B4-BE49-F238E27FC236}">
              <a16:creationId xmlns:a16="http://schemas.microsoft.com/office/drawing/2014/main" id="{C1A77860-1491-4A90-B0A2-CB482F5EF49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51" name="文字方塊 150">
          <a:extLst>
            <a:ext uri="{FF2B5EF4-FFF2-40B4-BE49-F238E27FC236}">
              <a16:creationId xmlns:a16="http://schemas.microsoft.com/office/drawing/2014/main" id="{C18C4005-86E9-401B-BFFA-F6EA9D9A7F5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52" name="文字方塊 151">
          <a:extLst>
            <a:ext uri="{FF2B5EF4-FFF2-40B4-BE49-F238E27FC236}">
              <a16:creationId xmlns:a16="http://schemas.microsoft.com/office/drawing/2014/main" id="{11C29F95-9595-4EDC-8701-8638FE75CBC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53" name="文字方塊 8">
          <a:extLst>
            <a:ext uri="{FF2B5EF4-FFF2-40B4-BE49-F238E27FC236}">
              <a16:creationId xmlns:a16="http://schemas.microsoft.com/office/drawing/2014/main" id="{7A30A99D-936E-45BA-93CC-3078E8E42922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54" name="文字方塊 153">
          <a:extLst>
            <a:ext uri="{FF2B5EF4-FFF2-40B4-BE49-F238E27FC236}">
              <a16:creationId xmlns:a16="http://schemas.microsoft.com/office/drawing/2014/main" id="{581ABC2E-53F4-4B35-8D1B-A62BA41FAA8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55" name="文字方塊 154">
          <a:extLst>
            <a:ext uri="{FF2B5EF4-FFF2-40B4-BE49-F238E27FC236}">
              <a16:creationId xmlns:a16="http://schemas.microsoft.com/office/drawing/2014/main" id="{08D9CCF7-6E39-41AA-9F5B-15769D5BE94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56" name="文字方塊 155">
          <a:extLst>
            <a:ext uri="{FF2B5EF4-FFF2-40B4-BE49-F238E27FC236}">
              <a16:creationId xmlns:a16="http://schemas.microsoft.com/office/drawing/2014/main" id="{CEE8937A-C3CD-4113-B8E3-659E22F008F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57" name="文字方塊 8">
          <a:extLst>
            <a:ext uri="{FF2B5EF4-FFF2-40B4-BE49-F238E27FC236}">
              <a16:creationId xmlns:a16="http://schemas.microsoft.com/office/drawing/2014/main" id="{65886727-CBA5-4077-8E6C-4F2AA355E53A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58" name="文字方塊 157">
          <a:extLst>
            <a:ext uri="{FF2B5EF4-FFF2-40B4-BE49-F238E27FC236}">
              <a16:creationId xmlns:a16="http://schemas.microsoft.com/office/drawing/2014/main" id="{5666FA57-E51B-400B-A17C-1FA92FBC30B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59" name="文字方塊 158">
          <a:extLst>
            <a:ext uri="{FF2B5EF4-FFF2-40B4-BE49-F238E27FC236}">
              <a16:creationId xmlns:a16="http://schemas.microsoft.com/office/drawing/2014/main" id="{E2DE6591-F024-4CDA-B888-FC230E1B0A8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0" name="文字方塊 159">
          <a:extLst>
            <a:ext uri="{FF2B5EF4-FFF2-40B4-BE49-F238E27FC236}">
              <a16:creationId xmlns:a16="http://schemas.microsoft.com/office/drawing/2014/main" id="{7E8584F4-1391-482F-92E3-19D88719185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61" name="文字方塊 8">
          <a:extLst>
            <a:ext uri="{FF2B5EF4-FFF2-40B4-BE49-F238E27FC236}">
              <a16:creationId xmlns:a16="http://schemas.microsoft.com/office/drawing/2014/main" id="{37AA06DE-0842-4D00-9FC8-1A1F9A9E27C0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2" name="文字方塊 161">
          <a:extLst>
            <a:ext uri="{FF2B5EF4-FFF2-40B4-BE49-F238E27FC236}">
              <a16:creationId xmlns:a16="http://schemas.microsoft.com/office/drawing/2014/main" id="{C7649EBD-4AB3-4B7F-97A5-D4714F8C171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3" name="文字方塊 162">
          <a:extLst>
            <a:ext uri="{FF2B5EF4-FFF2-40B4-BE49-F238E27FC236}">
              <a16:creationId xmlns:a16="http://schemas.microsoft.com/office/drawing/2014/main" id="{5B559767-F07F-4D32-9F82-DD59C83CB4F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4" name="文字方塊 163">
          <a:extLst>
            <a:ext uri="{FF2B5EF4-FFF2-40B4-BE49-F238E27FC236}">
              <a16:creationId xmlns:a16="http://schemas.microsoft.com/office/drawing/2014/main" id="{313F121E-F96E-4FC0-BE98-9D4AC6039AF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65" name="文字方塊 8">
          <a:extLst>
            <a:ext uri="{FF2B5EF4-FFF2-40B4-BE49-F238E27FC236}">
              <a16:creationId xmlns:a16="http://schemas.microsoft.com/office/drawing/2014/main" id="{0C4B8989-8234-4C57-B3F6-4A100210A704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6" name="文字方塊 165">
          <a:extLst>
            <a:ext uri="{FF2B5EF4-FFF2-40B4-BE49-F238E27FC236}">
              <a16:creationId xmlns:a16="http://schemas.microsoft.com/office/drawing/2014/main" id="{B46876A9-0668-4889-B45F-BFC52ED67DD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7" name="文字方塊 166">
          <a:extLst>
            <a:ext uri="{FF2B5EF4-FFF2-40B4-BE49-F238E27FC236}">
              <a16:creationId xmlns:a16="http://schemas.microsoft.com/office/drawing/2014/main" id="{84260995-EC7F-4FFA-A441-6DE543271A9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68" name="文字方塊 167">
          <a:extLst>
            <a:ext uri="{FF2B5EF4-FFF2-40B4-BE49-F238E27FC236}">
              <a16:creationId xmlns:a16="http://schemas.microsoft.com/office/drawing/2014/main" id="{DB81098A-FA29-4A6B-9F1C-699E0B7182A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69" name="文字方塊 168">
          <a:extLst>
            <a:ext uri="{FF2B5EF4-FFF2-40B4-BE49-F238E27FC236}">
              <a16:creationId xmlns:a16="http://schemas.microsoft.com/office/drawing/2014/main" id="{29548595-2462-41FD-8800-5626E4D591A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70" name="文字方塊 169">
          <a:extLst>
            <a:ext uri="{FF2B5EF4-FFF2-40B4-BE49-F238E27FC236}">
              <a16:creationId xmlns:a16="http://schemas.microsoft.com/office/drawing/2014/main" id="{71EA2505-0EAB-43B2-A57C-D6BADF889D6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71" name="文字方塊 170">
          <a:extLst>
            <a:ext uri="{FF2B5EF4-FFF2-40B4-BE49-F238E27FC236}">
              <a16:creationId xmlns:a16="http://schemas.microsoft.com/office/drawing/2014/main" id="{E57A8063-AA31-4619-9F14-0BAD65D099F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72" name="文字方塊 171">
          <a:extLst>
            <a:ext uri="{FF2B5EF4-FFF2-40B4-BE49-F238E27FC236}">
              <a16:creationId xmlns:a16="http://schemas.microsoft.com/office/drawing/2014/main" id="{49E8CC28-A4F0-4EF0-8AEE-41889809840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73" name="文字方塊 172">
          <a:extLst>
            <a:ext uri="{FF2B5EF4-FFF2-40B4-BE49-F238E27FC236}">
              <a16:creationId xmlns:a16="http://schemas.microsoft.com/office/drawing/2014/main" id="{182CF8E1-C8D9-401E-9908-6A8308DCCBA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74" name="文字方塊 8">
          <a:extLst>
            <a:ext uri="{FF2B5EF4-FFF2-40B4-BE49-F238E27FC236}">
              <a16:creationId xmlns:a16="http://schemas.microsoft.com/office/drawing/2014/main" id="{2EE1A08C-2762-4310-AEAE-64935FB3E7F5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75" name="文字方塊 9">
          <a:extLst>
            <a:ext uri="{FF2B5EF4-FFF2-40B4-BE49-F238E27FC236}">
              <a16:creationId xmlns:a16="http://schemas.microsoft.com/office/drawing/2014/main" id="{C4AEFE9E-280B-40B1-80E4-6F94510CB0B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76" name="文字方塊 175">
          <a:extLst>
            <a:ext uri="{FF2B5EF4-FFF2-40B4-BE49-F238E27FC236}">
              <a16:creationId xmlns:a16="http://schemas.microsoft.com/office/drawing/2014/main" id="{254763FE-E736-4B38-AA1A-CB3E4092376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77" name="文字方塊 176">
          <a:extLst>
            <a:ext uri="{FF2B5EF4-FFF2-40B4-BE49-F238E27FC236}">
              <a16:creationId xmlns:a16="http://schemas.microsoft.com/office/drawing/2014/main" id="{51EB01A8-15BF-4F90-BB8C-A53A75AA895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78" name="文字方塊 177">
          <a:extLst>
            <a:ext uri="{FF2B5EF4-FFF2-40B4-BE49-F238E27FC236}">
              <a16:creationId xmlns:a16="http://schemas.microsoft.com/office/drawing/2014/main" id="{C549664C-0B43-4F9A-B3F8-B2DA37D15B1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79" name="文字方塊 178">
          <a:extLst>
            <a:ext uri="{FF2B5EF4-FFF2-40B4-BE49-F238E27FC236}">
              <a16:creationId xmlns:a16="http://schemas.microsoft.com/office/drawing/2014/main" id="{A700C8CE-9BB7-4082-9021-1A9FD67E803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0" name="文字方塊 179">
          <a:extLst>
            <a:ext uri="{FF2B5EF4-FFF2-40B4-BE49-F238E27FC236}">
              <a16:creationId xmlns:a16="http://schemas.microsoft.com/office/drawing/2014/main" id="{D86B9068-ABB6-4E16-A846-662000B19CC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81" name="文字方塊 180">
          <a:extLst>
            <a:ext uri="{FF2B5EF4-FFF2-40B4-BE49-F238E27FC236}">
              <a16:creationId xmlns:a16="http://schemas.microsoft.com/office/drawing/2014/main" id="{FB78C09F-2BB4-4A4C-8758-D6E069BFD9A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82" name="文字方塊 8">
          <a:extLst>
            <a:ext uri="{FF2B5EF4-FFF2-40B4-BE49-F238E27FC236}">
              <a16:creationId xmlns:a16="http://schemas.microsoft.com/office/drawing/2014/main" id="{3FF38DF2-BDD1-4162-A6EC-DBAD7F818969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83" name="文字方塊 9">
          <a:extLst>
            <a:ext uri="{FF2B5EF4-FFF2-40B4-BE49-F238E27FC236}">
              <a16:creationId xmlns:a16="http://schemas.microsoft.com/office/drawing/2014/main" id="{2B5DCC73-C55E-4AFA-8FDA-071537B1B74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4" name="文字方塊 183">
          <a:extLst>
            <a:ext uri="{FF2B5EF4-FFF2-40B4-BE49-F238E27FC236}">
              <a16:creationId xmlns:a16="http://schemas.microsoft.com/office/drawing/2014/main" id="{BB59B523-6F6C-4914-806B-2576C798A2E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85" name="文字方塊 184">
          <a:extLst>
            <a:ext uri="{FF2B5EF4-FFF2-40B4-BE49-F238E27FC236}">
              <a16:creationId xmlns:a16="http://schemas.microsoft.com/office/drawing/2014/main" id="{ABF93E9E-82A2-48E3-8F1C-79F7473D60C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6" name="文字方塊 185">
          <a:extLst>
            <a:ext uri="{FF2B5EF4-FFF2-40B4-BE49-F238E27FC236}">
              <a16:creationId xmlns:a16="http://schemas.microsoft.com/office/drawing/2014/main" id="{C7871054-57C2-48D2-A448-FDD517775A6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87" name="文字方塊 186">
          <a:extLst>
            <a:ext uri="{FF2B5EF4-FFF2-40B4-BE49-F238E27FC236}">
              <a16:creationId xmlns:a16="http://schemas.microsoft.com/office/drawing/2014/main" id="{D0ADA58B-79D7-46ED-BD4B-5382A201F62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8" name="文字方塊 187">
          <a:extLst>
            <a:ext uri="{FF2B5EF4-FFF2-40B4-BE49-F238E27FC236}">
              <a16:creationId xmlns:a16="http://schemas.microsoft.com/office/drawing/2014/main" id="{4AF555CC-C591-4DCE-8923-3D50533275E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89" name="文字方塊 188">
          <a:extLst>
            <a:ext uri="{FF2B5EF4-FFF2-40B4-BE49-F238E27FC236}">
              <a16:creationId xmlns:a16="http://schemas.microsoft.com/office/drawing/2014/main" id="{D9FB68BF-4263-4490-95A1-E4F93318683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90" name="文字方塊 8">
          <a:extLst>
            <a:ext uri="{FF2B5EF4-FFF2-40B4-BE49-F238E27FC236}">
              <a16:creationId xmlns:a16="http://schemas.microsoft.com/office/drawing/2014/main" id="{7E813BB5-1E5C-4A32-B96F-DB9713381BE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91" name="文字方塊 9">
          <a:extLst>
            <a:ext uri="{FF2B5EF4-FFF2-40B4-BE49-F238E27FC236}">
              <a16:creationId xmlns:a16="http://schemas.microsoft.com/office/drawing/2014/main" id="{E0162C2C-6312-48ED-B4EC-903A45187F4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92" name="文字方塊 191">
          <a:extLst>
            <a:ext uri="{FF2B5EF4-FFF2-40B4-BE49-F238E27FC236}">
              <a16:creationId xmlns:a16="http://schemas.microsoft.com/office/drawing/2014/main" id="{6AB28605-F8AE-43C0-8B11-9330138BCAB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93" name="文字方塊 192">
          <a:extLst>
            <a:ext uri="{FF2B5EF4-FFF2-40B4-BE49-F238E27FC236}">
              <a16:creationId xmlns:a16="http://schemas.microsoft.com/office/drawing/2014/main" id="{DE6D5F78-586D-4862-9D50-AD59326DB3E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94" name="文字方塊 193">
          <a:extLst>
            <a:ext uri="{FF2B5EF4-FFF2-40B4-BE49-F238E27FC236}">
              <a16:creationId xmlns:a16="http://schemas.microsoft.com/office/drawing/2014/main" id="{708EE888-968A-43D9-B55B-B2DB07E6068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95" name="文字方塊 194">
          <a:extLst>
            <a:ext uri="{FF2B5EF4-FFF2-40B4-BE49-F238E27FC236}">
              <a16:creationId xmlns:a16="http://schemas.microsoft.com/office/drawing/2014/main" id="{44E5A220-F0DC-44FF-8B4D-FFD0902EA19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96" name="文字方塊 195">
          <a:extLst>
            <a:ext uri="{FF2B5EF4-FFF2-40B4-BE49-F238E27FC236}">
              <a16:creationId xmlns:a16="http://schemas.microsoft.com/office/drawing/2014/main" id="{76415C20-F0CA-4CB3-872A-806F4AB0BEA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97" name="文字方塊 196">
          <a:extLst>
            <a:ext uri="{FF2B5EF4-FFF2-40B4-BE49-F238E27FC236}">
              <a16:creationId xmlns:a16="http://schemas.microsoft.com/office/drawing/2014/main" id="{AD0EE090-AA53-4433-A449-BE14CB89733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98" name="文字方塊 8">
          <a:extLst>
            <a:ext uri="{FF2B5EF4-FFF2-40B4-BE49-F238E27FC236}">
              <a16:creationId xmlns:a16="http://schemas.microsoft.com/office/drawing/2014/main" id="{010E7E9C-9D4E-43E5-811E-0181437B0CDE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99" name="文字方塊 9">
          <a:extLst>
            <a:ext uri="{FF2B5EF4-FFF2-40B4-BE49-F238E27FC236}">
              <a16:creationId xmlns:a16="http://schemas.microsoft.com/office/drawing/2014/main" id="{076AF02D-F4CE-465A-8CE3-739D1BB4188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0" name="文字方塊 199">
          <a:extLst>
            <a:ext uri="{FF2B5EF4-FFF2-40B4-BE49-F238E27FC236}">
              <a16:creationId xmlns:a16="http://schemas.microsoft.com/office/drawing/2014/main" id="{B7C960A5-C8C5-4226-8805-2EA62F7972A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01" name="文字方塊 200">
          <a:extLst>
            <a:ext uri="{FF2B5EF4-FFF2-40B4-BE49-F238E27FC236}">
              <a16:creationId xmlns:a16="http://schemas.microsoft.com/office/drawing/2014/main" id="{C180270C-4CBF-42D8-ADD0-4450E1751FE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2" name="文字方塊 201">
          <a:extLst>
            <a:ext uri="{FF2B5EF4-FFF2-40B4-BE49-F238E27FC236}">
              <a16:creationId xmlns:a16="http://schemas.microsoft.com/office/drawing/2014/main" id="{108EFF6F-2545-4FE9-8254-13D7F5456C4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03" name="文字方塊 202">
          <a:extLst>
            <a:ext uri="{FF2B5EF4-FFF2-40B4-BE49-F238E27FC236}">
              <a16:creationId xmlns:a16="http://schemas.microsoft.com/office/drawing/2014/main" id="{FDD55D08-F2D6-4C4E-AF43-4F480B2D62C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4" name="文字方塊 203">
          <a:extLst>
            <a:ext uri="{FF2B5EF4-FFF2-40B4-BE49-F238E27FC236}">
              <a16:creationId xmlns:a16="http://schemas.microsoft.com/office/drawing/2014/main" id="{B66BC186-E46F-4D57-917E-2BC8C0995C7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05" name="文字方塊 204">
          <a:extLst>
            <a:ext uri="{FF2B5EF4-FFF2-40B4-BE49-F238E27FC236}">
              <a16:creationId xmlns:a16="http://schemas.microsoft.com/office/drawing/2014/main" id="{D8829DE6-0DA9-4E99-8E9F-D4ADA838B73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06" name="文字方塊 8">
          <a:extLst>
            <a:ext uri="{FF2B5EF4-FFF2-40B4-BE49-F238E27FC236}">
              <a16:creationId xmlns:a16="http://schemas.microsoft.com/office/drawing/2014/main" id="{246D3C35-C662-49A9-B722-C684ED3AF169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07" name="文字方塊 9">
          <a:extLst>
            <a:ext uri="{FF2B5EF4-FFF2-40B4-BE49-F238E27FC236}">
              <a16:creationId xmlns:a16="http://schemas.microsoft.com/office/drawing/2014/main" id="{B9961DC1-B6F6-4B25-BC9C-692BF5ECE0E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8" name="文字方塊 207">
          <a:extLst>
            <a:ext uri="{FF2B5EF4-FFF2-40B4-BE49-F238E27FC236}">
              <a16:creationId xmlns:a16="http://schemas.microsoft.com/office/drawing/2014/main" id="{6B618E85-5C77-49F5-9C92-1A9FE33BC2E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09" name="文字方塊 208">
          <a:extLst>
            <a:ext uri="{FF2B5EF4-FFF2-40B4-BE49-F238E27FC236}">
              <a16:creationId xmlns:a16="http://schemas.microsoft.com/office/drawing/2014/main" id="{D3F5AFED-9D00-4836-8E51-6BEE65F4873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10" name="文字方塊 209">
          <a:extLst>
            <a:ext uri="{FF2B5EF4-FFF2-40B4-BE49-F238E27FC236}">
              <a16:creationId xmlns:a16="http://schemas.microsoft.com/office/drawing/2014/main" id="{6C531C1E-97AE-4201-BFD1-B3FA1D6B5B3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11" name="文字方塊 210">
          <a:extLst>
            <a:ext uri="{FF2B5EF4-FFF2-40B4-BE49-F238E27FC236}">
              <a16:creationId xmlns:a16="http://schemas.microsoft.com/office/drawing/2014/main" id="{C211A4FC-5DAD-444C-A5C3-75A9AB6E691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12" name="文字方塊 211">
          <a:extLst>
            <a:ext uri="{FF2B5EF4-FFF2-40B4-BE49-F238E27FC236}">
              <a16:creationId xmlns:a16="http://schemas.microsoft.com/office/drawing/2014/main" id="{0B09271F-7F78-46D2-8DE6-EE0C200A9E0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13" name="文字方塊 212">
          <a:extLst>
            <a:ext uri="{FF2B5EF4-FFF2-40B4-BE49-F238E27FC236}">
              <a16:creationId xmlns:a16="http://schemas.microsoft.com/office/drawing/2014/main" id="{02E61188-D695-4EF1-BA90-488D543309D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14" name="文字方塊 8">
          <a:extLst>
            <a:ext uri="{FF2B5EF4-FFF2-40B4-BE49-F238E27FC236}">
              <a16:creationId xmlns:a16="http://schemas.microsoft.com/office/drawing/2014/main" id="{68242BFE-137D-4744-97F1-B383A61A4254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15" name="文字方塊 214">
          <a:extLst>
            <a:ext uri="{FF2B5EF4-FFF2-40B4-BE49-F238E27FC236}">
              <a16:creationId xmlns:a16="http://schemas.microsoft.com/office/drawing/2014/main" id="{982986AC-9544-4FF3-AB83-BF3DEE3C67E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16" name="文字方塊 215">
          <a:extLst>
            <a:ext uri="{FF2B5EF4-FFF2-40B4-BE49-F238E27FC236}">
              <a16:creationId xmlns:a16="http://schemas.microsoft.com/office/drawing/2014/main" id="{F45B1A52-79A3-4B35-80D6-DFD840ADF74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17" name="文字方塊 216">
          <a:extLst>
            <a:ext uri="{FF2B5EF4-FFF2-40B4-BE49-F238E27FC236}">
              <a16:creationId xmlns:a16="http://schemas.microsoft.com/office/drawing/2014/main" id="{9479EEA2-F3C8-4F1F-B028-D83A8EC4C6B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18" name="文字方塊 8">
          <a:extLst>
            <a:ext uri="{FF2B5EF4-FFF2-40B4-BE49-F238E27FC236}">
              <a16:creationId xmlns:a16="http://schemas.microsoft.com/office/drawing/2014/main" id="{505C5E99-BA10-46F2-AB5E-5EA54879698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19" name="文字方塊 218">
          <a:extLst>
            <a:ext uri="{FF2B5EF4-FFF2-40B4-BE49-F238E27FC236}">
              <a16:creationId xmlns:a16="http://schemas.microsoft.com/office/drawing/2014/main" id="{F01BFF83-26F6-4FF4-BE67-34A97C99751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0" name="文字方塊 219">
          <a:extLst>
            <a:ext uri="{FF2B5EF4-FFF2-40B4-BE49-F238E27FC236}">
              <a16:creationId xmlns:a16="http://schemas.microsoft.com/office/drawing/2014/main" id="{25995076-0432-431B-9C61-340BF739E54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1" name="文字方塊 220">
          <a:extLst>
            <a:ext uri="{FF2B5EF4-FFF2-40B4-BE49-F238E27FC236}">
              <a16:creationId xmlns:a16="http://schemas.microsoft.com/office/drawing/2014/main" id="{0585AE0B-62CB-418F-AB2B-4DEB2422DE0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22" name="文字方塊 8">
          <a:extLst>
            <a:ext uri="{FF2B5EF4-FFF2-40B4-BE49-F238E27FC236}">
              <a16:creationId xmlns:a16="http://schemas.microsoft.com/office/drawing/2014/main" id="{EC4A1ADE-478C-4D3D-B7E9-C80D6F4996F5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3" name="文字方塊 222">
          <a:extLst>
            <a:ext uri="{FF2B5EF4-FFF2-40B4-BE49-F238E27FC236}">
              <a16:creationId xmlns:a16="http://schemas.microsoft.com/office/drawing/2014/main" id="{2D6194EC-8960-436F-83BF-3345D72A50E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4" name="文字方塊 223">
          <a:extLst>
            <a:ext uri="{FF2B5EF4-FFF2-40B4-BE49-F238E27FC236}">
              <a16:creationId xmlns:a16="http://schemas.microsoft.com/office/drawing/2014/main" id="{7F862A2C-910D-4790-8F13-56ECECD26BD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5" name="文字方塊 224">
          <a:extLst>
            <a:ext uri="{FF2B5EF4-FFF2-40B4-BE49-F238E27FC236}">
              <a16:creationId xmlns:a16="http://schemas.microsoft.com/office/drawing/2014/main" id="{EE761878-39F8-45E0-AD9B-D57B2054003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26" name="文字方塊 8">
          <a:extLst>
            <a:ext uri="{FF2B5EF4-FFF2-40B4-BE49-F238E27FC236}">
              <a16:creationId xmlns:a16="http://schemas.microsoft.com/office/drawing/2014/main" id="{67A2F2CF-6992-4CEA-8B1A-DA1ECDD38A3C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7" name="文字方塊 226">
          <a:extLst>
            <a:ext uri="{FF2B5EF4-FFF2-40B4-BE49-F238E27FC236}">
              <a16:creationId xmlns:a16="http://schemas.microsoft.com/office/drawing/2014/main" id="{376EDC17-2544-471C-B178-BDE3DEE6201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8" name="文字方塊 227">
          <a:extLst>
            <a:ext uri="{FF2B5EF4-FFF2-40B4-BE49-F238E27FC236}">
              <a16:creationId xmlns:a16="http://schemas.microsoft.com/office/drawing/2014/main" id="{F5DC1D19-574C-4BED-9572-4CDD4E8DA44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9" name="文字方塊 228">
          <a:extLst>
            <a:ext uri="{FF2B5EF4-FFF2-40B4-BE49-F238E27FC236}">
              <a16:creationId xmlns:a16="http://schemas.microsoft.com/office/drawing/2014/main" id="{F7F6C8E4-FBE3-42E9-B03D-3F0F87FC9D0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30" name="文字方塊 8">
          <a:extLst>
            <a:ext uri="{FF2B5EF4-FFF2-40B4-BE49-F238E27FC236}">
              <a16:creationId xmlns:a16="http://schemas.microsoft.com/office/drawing/2014/main" id="{A20F9D7F-D86B-4FEB-A00B-A4E075398AA7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31" name="文字方塊 230">
          <a:extLst>
            <a:ext uri="{FF2B5EF4-FFF2-40B4-BE49-F238E27FC236}">
              <a16:creationId xmlns:a16="http://schemas.microsoft.com/office/drawing/2014/main" id="{88E281AB-D6F3-47C0-BCD0-BD7F334E055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32" name="文字方塊 231">
          <a:extLst>
            <a:ext uri="{FF2B5EF4-FFF2-40B4-BE49-F238E27FC236}">
              <a16:creationId xmlns:a16="http://schemas.microsoft.com/office/drawing/2014/main" id="{8906F9CF-9178-4F27-800C-70723751B34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33" name="文字方塊 232">
          <a:extLst>
            <a:ext uri="{FF2B5EF4-FFF2-40B4-BE49-F238E27FC236}">
              <a16:creationId xmlns:a16="http://schemas.microsoft.com/office/drawing/2014/main" id="{A3C43F59-DBB4-45F7-8E1F-524B5334EC7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34" name="文字方塊 8">
          <a:extLst>
            <a:ext uri="{FF2B5EF4-FFF2-40B4-BE49-F238E27FC236}">
              <a16:creationId xmlns:a16="http://schemas.microsoft.com/office/drawing/2014/main" id="{EDA597AA-5358-4F0F-8590-89597574C2A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35" name="文字方塊 234">
          <a:extLst>
            <a:ext uri="{FF2B5EF4-FFF2-40B4-BE49-F238E27FC236}">
              <a16:creationId xmlns:a16="http://schemas.microsoft.com/office/drawing/2014/main" id="{21138E6E-2DEC-44D0-91AB-3A05AC4B2A9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36" name="文字方塊 235">
          <a:extLst>
            <a:ext uri="{FF2B5EF4-FFF2-40B4-BE49-F238E27FC236}">
              <a16:creationId xmlns:a16="http://schemas.microsoft.com/office/drawing/2014/main" id="{2B251805-C552-4525-8C82-C20F96862CC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37" name="文字方塊 236">
          <a:extLst>
            <a:ext uri="{FF2B5EF4-FFF2-40B4-BE49-F238E27FC236}">
              <a16:creationId xmlns:a16="http://schemas.microsoft.com/office/drawing/2014/main" id="{67B85C1A-0459-40AD-ACF3-7FD91AF86AF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38" name="文字方塊 8">
          <a:extLst>
            <a:ext uri="{FF2B5EF4-FFF2-40B4-BE49-F238E27FC236}">
              <a16:creationId xmlns:a16="http://schemas.microsoft.com/office/drawing/2014/main" id="{91DD25AA-544C-4E14-859E-5F2DDECCD2D4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39" name="文字方塊 238">
          <a:extLst>
            <a:ext uri="{FF2B5EF4-FFF2-40B4-BE49-F238E27FC236}">
              <a16:creationId xmlns:a16="http://schemas.microsoft.com/office/drawing/2014/main" id="{408B460C-2C0B-4DA1-84A6-F5E0BFA4A3E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40" name="文字方塊 239">
          <a:extLst>
            <a:ext uri="{FF2B5EF4-FFF2-40B4-BE49-F238E27FC236}">
              <a16:creationId xmlns:a16="http://schemas.microsoft.com/office/drawing/2014/main" id="{98E0155A-A0B1-4703-BD48-FFA09EAD51B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26.xml><?xml version="1.0" encoding="utf-8"?>
<xdr:wsDr xmlns:xdr="http://schemas.openxmlformats.org/drawingml/2006/spreadsheetDrawing" xmlns:a="http://schemas.openxmlformats.org/drawingml/2006/main"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662032DD-AEA6-49F4-B330-422A2E2A1501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33BB5516-CEF9-47C0-B1D9-E16B15D54804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twoCellAnchor editAs="oneCell">
    <xdr:from>
      <xdr:col>3</xdr:col>
      <xdr:colOff>123269</xdr:colOff>
      <xdr:row>1</xdr:row>
      <xdr:rowOff>56021</xdr:rowOff>
    </xdr:from>
    <xdr:to>
      <xdr:col>5</xdr:col>
      <xdr:colOff>669622</xdr:colOff>
      <xdr:row>4</xdr:row>
      <xdr:rowOff>64717</xdr:rowOff>
    </xdr:to>
    <xdr:sp macro="[0]!auto_length" textlink="">
      <xdr:nvSpPr>
        <xdr:cNvPr id="4" name="矩形 3">
          <a:extLst>
            <a:ext uri="{FF2B5EF4-FFF2-40B4-BE49-F238E27FC236}">
              <a16:creationId xmlns:a16="http://schemas.microsoft.com/office/drawing/2014/main" id="{2024B665-5C41-4B68-93E4-6A22432C62A4}"/>
            </a:ext>
          </a:extLst>
        </xdr:cNvPr>
        <xdr:cNvSpPr>
          <a:spLocks noChangeAspect="1"/>
        </xdr:cNvSpPr>
      </xdr:nvSpPr>
      <xdr:spPr>
        <a:xfrm>
          <a:off x="946229" y="360821"/>
          <a:ext cx="2161793" cy="656396"/>
        </a:xfrm>
        <a:prstGeom prst="rect">
          <a:avLst/>
        </a:prstGeom>
        <a:solidFill>
          <a:schemeClr val="bg1"/>
        </a:solidFill>
        <a:ln w="38100">
          <a:solidFill>
            <a:schemeClr val="accent2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2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計算長度</a:t>
          </a:r>
        </a:p>
      </xdr:txBody>
    </xdr:sp>
    <xdr:clientData/>
  </xdr:twoCellAnchor>
  <xdr:oneCellAnchor>
    <xdr:from>
      <xdr:col>13</xdr:col>
      <xdr:colOff>134475</xdr:colOff>
      <xdr:row>1</xdr:row>
      <xdr:rowOff>56021</xdr:rowOff>
    </xdr:from>
    <xdr:ext cx="2160000" cy="360000"/>
    <xdr:sp macro="[0]!auto_angle" textlink="">
      <xdr:nvSpPr>
        <xdr:cNvPr id="5" name="矩形 4">
          <a:extLst>
            <a:ext uri="{FF2B5EF4-FFF2-40B4-BE49-F238E27FC236}">
              <a16:creationId xmlns:a16="http://schemas.microsoft.com/office/drawing/2014/main" id="{B35DC157-A15D-4EAB-8126-8C0EFDBA9439}"/>
            </a:ext>
          </a:extLst>
        </xdr:cNvPr>
        <xdr:cNvSpPr>
          <a:spLocks noChangeAspect="1"/>
        </xdr:cNvSpPr>
      </xdr:nvSpPr>
      <xdr:spPr>
        <a:xfrm>
          <a:off x="6215235" y="360821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4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計算角度</a:t>
          </a:r>
          <a:r>
            <a:rPr lang="en-US" altLang="zh-TW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(°)</a:t>
          </a:r>
          <a:endParaRPr lang="zh-TW" altLang="en-US" sz="1600" b="1">
            <a:solidFill>
              <a:schemeClr val="accent4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oneCellAnchor>
  <xdr:oneCellAnchor>
    <xdr:from>
      <xdr:col>24</xdr:col>
      <xdr:colOff>134475</xdr:colOff>
      <xdr:row>1</xdr:row>
      <xdr:rowOff>56022</xdr:rowOff>
    </xdr:from>
    <xdr:ext cx="2160000" cy="360000"/>
    <xdr:sp macro="[0]!auto_area" textlink="">
      <xdr:nvSpPr>
        <xdr:cNvPr id="6" name="矩形 5">
          <a:extLst>
            <a:ext uri="{FF2B5EF4-FFF2-40B4-BE49-F238E27FC236}">
              <a16:creationId xmlns:a16="http://schemas.microsoft.com/office/drawing/2014/main" id="{54AB9ED1-A302-40C9-A501-BF6FFA12594E}"/>
            </a:ext>
          </a:extLst>
        </xdr:cNvPr>
        <xdr:cNvSpPr>
          <a:spLocks noChangeAspect="1"/>
        </xdr:cNvSpPr>
      </xdr:nvSpPr>
      <xdr:spPr>
        <a:xfrm>
          <a:off x="11747355" y="360822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6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計算面積</a:t>
          </a:r>
        </a:p>
      </xdr:txBody>
    </xdr:sp>
    <xdr:clientData/>
  </xdr:oneCellAnchor>
  <xdr:twoCellAnchor editAs="oneCell">
    <xdr:from>
      <xdr:col>6</xdr:col>
      <xdr:colOff>85169</xdr:colOff>
      <xdr:row>1</xdr:row>
      <xdr:rowOff>51539</xdr:rowOff>
    </xdr:from>
    <xdr:to>
      <xdr:col>7</xdr:col>
      <xdr:colOff>718346</xdr:colOff>
      <xdr:row>4</xdr:row>
      <xdr:rowOff>60235</xdr:rowOff>
    </xdr:to>
    <xdr:sp macro="[0]!clear_length" textlink="">
      <xdr:nvSpPr>
        <xdr:cNvPr id="7" name="矩形 6">
          <a:extLst>
            <a:ext uri="{FF2B5EF4-FFF2-40B4-BE49-F238E27FC236}">
              <a16:creationId xmlns:a16="http://schemas.microsoft.com/office/drawing/2014/main" id="{296A57AC-518A-48CD-BEF7-F58761634EBF}"/>
            </a:ext>
          </a:extLst>
        </xdr:cNvPr>
        <xdr:cNvSpPr>
          <a:spLocks/>
        </xdr:cNvSpPr>
      </xdr:nvSpPr>
      <xdr:spPr>
        <a:xfrm>
          <a:off x="3331289" y="356339"/>
          <a:ext cx="1440897" cy="656396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twoCellAnchor>
  <xdr:oneCellAnchor>
    <xdr:from>
      <xdr:col>16</xdr:col>
      <xdr:colOff>85169</xdr:colOff>
      <xdr:row>1</xdr:row>
      <xdr:rowOff>51539</xdr:rowOff>
    </xdr:from>
    <xdr:ext cx="1440000" cy="360000"/>
    <xdr:sp macro="[0]!clear_angle" textlink="">
      <xdr:nvSpPr>
        <xdr:cNvPr id="8" name="矩形 7">
          <a:extLst>
            <a:ext uri="{FF2B5EF4-FFF2-40B4-BE49-F238E27FC236}">
              <a16:creationId xmlns:a16="http://schemas.microsoft.com/office/drawing/2014/main" id="{AB3EE651-CC83-4557-9CA8-2C702E9B1D02}"/>
            </a:ext>
          </a:extLst>
        </xdr:cNvPr>
        <xdr:cNvSpPr>
          <a:spLocks/>
        </xdr:cNvSpPr>
      </xdr:nvSpPr>
      <xdr:spPr>
        <a:xfrm>
          <a:off x="8589089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27</xdr:col>
      <xdr:colOff>85169</xdr:colOff>
      <xdr:row>1</xdr:row>
      <xdr:rowOff>51539</xdr:rowOff>
    </xdr:from>
    <xdr:ext cx="1440000" cy="360000"/>
    <xdr:sp macro="[0]!clear_area" textlink="">
      <xdr:nvSpPr>
        <xdr:cNvPr id="9" name="矩形 8">
          <a:extLst>
            <a:ext uri="{FF2B5EF4-FFF2-40B4-BE49-F238E27FC236}">
              <a16:creationId xmlns:a16="http://schemas.microsoft.com/office/drawing/2014/main" id="{AF3CBDD9-0480-46DE-B090-E8068E652522}"/>
            </a:ext>
          </a:extLst>
        </xdr:cNvPr>
        <xdr:cNvSpPr>
          <a:spLocks/>
        </xdr:cNvSpPr>
      </xdr:nvSpPr>
      <xdr:spPr>
        <a:xfrm>
          <a:off x="14121209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7C3FB522-59F0-4491-AACD-EF8E5BE65267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451AF8EB-EFB9-447C-A63F-7939B94CADD7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714E6736-5DE7-4F0F-8BA9-52AAC0DDD51E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6F8459F3-FDD7-4D74-B982-3C0B5097C51B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DF35B6AD-AA1A-426B-90DF-757ADAB07E80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EE24F39F-B660-4F19-9277-B71851C257D1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6" name="文字方塊 8">
          <a:extLst>
            <a:ext uri="{FF2B5EF4-FFF2-40B4-BE49-F238E27FC236}">
              <a16:creationId xmlns:a16="http://schemas.microsoft.com/office/drawing/2014/main" id="{24D39A3A-506E-493D-B968-AF320CF83A37}"/>
            </a:ext>
          </a:extLst>
        </xdr:cNvPr>
        <xdr:cNvSpPr txBox="1"/>
      </xdr:nvSpPr>
      <xdr:spPr>
        <a:xfrm>
          <a:off x="24589740" y="162754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7" name="文字方塊 9">
          <a:extLst>
            <a:ext uri="{FF2B5EF4-FFF2-40B4-BE49-F238E27FC236}">
              <a16:creationId xmlns:a16="http://schemas.microsoft.com/office/drawing/2014/main" id="{6F83652A-FE82-4582-9480-BCF107ED6FEA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26B1444B-7C6F-4A0D-A8B5-62DDC6910A1F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ACAA0751-0555-469D-9EDA-75E2E6D0FAA1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07BA6E53-7164-4DF2-8788-BD8E193722D1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781EC2BA-67D3-4807-B77C-70BA7A00AF05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0418C557-F916-47D1-9450-9224F051B16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5261CB94-25A6-413F-A376-9F1499BE46D1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4" name="文字方塊 8">
          <a:extLst>
            <a:ext uri="{FF2B5EF4-FFF2-40B4-BE49-F238E27FC236}">
              <a16:creationId xmlns:a16="http://schemas.microsoft.com/office/drawing/2014/main" id="{A88C72C7-5195-48D8-ACBD-65B363D1219C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5" name="文字方塊 9">
          <a:extLst>
            <a:ext uri="{FF2B5EF4-FFF2-40B4-BE49-F238E27FC236}">
              <a16:creationId xmlns:a16="http://schemas.microsoft.com/office/drawing/2014/main" id="{A68F9E97-432A-49CC-BDA3-E785277AAC99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6BED17B3-4497-4E1F-BDE5-1CFF8F373AC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B777BAD7-AA36-4E78-846F-46B4656B8443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52053A14-571F-43BC-97BF-33F90FBFB62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70C57D55-6FAF-40E2-A6F5-27977AF8567E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FF3EA4F6-5FAB-4C18-8698-C28869961FD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76F64F02-7129-406D-9363-1B1C743D9D00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32" name="文字方塊 8">
          <a:extLst>
            <a:ext uri="{FF2B5EF4-FFF2-40B4-BE49-F238E27FC236}">
              <a16:creationId xmlns:a16="http://schemas.microsoft.com/office/drawing/2014/main" id="{CD889200-F32D-401D-8114-451BC94C2160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33" name="文字方塊 9">
          <a:extLst>
            <a:ext uri="{FF2B5EF4-FFF2-40B4-BE49-F238E27FC236}">
              <a16:creationId xmlns:a16="http://schemas.microsoft.com/office/drawing/2014/main" id="{C208FFE5-2D87-49E8-9C78-D70FC60A2F36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F35B9A65-3321-41A3-818E-A8102B121CF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6E816E57-AC03-4F0F-AF7F-D82FBDD323F9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6" name="文字方塊 35">
          <a:extLst>
            <a:ext uri="{FF2B5EF4-FFF2-40B4-BE49-F238E27FC236}">
              <a16:creationId xmlns:a16="http://schemas.microsoft.com/office/drawing/2014/main" id="{45562978-B4EC-4AAD-B51E-9E42E41FB38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827B5BC3-7D6E-4415-8AC0-96EBA2E9673B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EE4AA405-A7FB-4CB0-B69E-C694A8D66889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7DDAF750-CD20-4412-BBE1-D67F894BD913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0" name="文字方塊 8">
          <a:extLst>
            <a:ext uri="{FF2B5EF4-FFF2-40B4-BE49-F238E27FC236}">
              <a16:creationId xmlns:a16="http://schemas.microsoft.com/office/drawing/2014/main" id="{52EDC8AE-4046-456F-A437-76836B12D29D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1" name="文字方塊 9">
          <a:extLst>
            <a:ext uri="{FF2B5EF4-FFF2-40B4-BE49-F238E27FC236}">
              <a16:creationId xmlns:a16="http://schemas.microsoft.com/office/drawing/2014/main" id="{2FD84AF2-2137-400E-AAD0-88410F10293E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B8AB060C-9C25-4DA3-9E28-C465987EE211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794CCD27-CFE1-4197-A671-60982F48E988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DB9F7517-13A2-467C-A1EE-A468DBB8778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5" name="文字方塊 44">
          <a:extLst>
            <a:ext uri="{FF2B5EF4-FFF2-40B4-BE49-F238E27FC236}">
              <a16:creationId xmlns:a16="http://schemas.microsoft.com/office/drawing/2014/main" id="{099601F7-6760-44FA-BE42-6090BDB76736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2973A034-06EF-45ED-AA2C-D0622D4314E8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D1490D05-6FF7-439C-948B-CAFD2FC8ECBD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8" name="文字方塊 8">
          <a:extLst>
            <a:ext uri="{FF2B5EF4-FFF2-40B4-BE49-F238E27FC236}">
              <a16:creationId xmlns:a16="http://schemas.microsoft.com/office/drawing/2014/main" id="{3182D1F3-C111-45C3-BF18-64F6B6C645FE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9" name="文字方塊 9">
          <a:extLst>
            <a:ext uri="{FF2B5EF4-FFF2-40B4-BE49-F238E27FC236}">
              <a16:creationId xmlns:a16="http://schemas.microsoft.com/office/drawing/2014/main" id="{AF837A66-6A3D-494D-A598-916840CCA09D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4DEE1ABF-4ED4-4C35-B347-70E626B68E0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8E6FBA45-D31C-4E1F-835A-72C102D326EE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2" name="文字方塊 51">
          <a:extLst>
            <a:ext uri="{FF2B5EF4-FFF2-40B4-BE49-F238E27FC236}">
              <a16:creationId xmlns:a16="http://schemas.microsoft.com/office/drawing/2014/main" id="{394975EE-D7DD-407F-A514-2A82F5D0A6C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3" name="文字方塊 52">
          <a:extLst>
            <a:ext uri="{FF2B5EF4-FFF2-40B4-BE49-F238E27FC236}">
              <a16:creationId xmlns:a16="http://schemas.microsoft.com/office/drawing/2014/main" id="{F1748F79-E393-4F12-8BF2-C5514633A102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2BC2EB11-7244-4AE3-80E6-A71E3B4F94D6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28852995-EB7C-4AAD-89FA-39B1CCA95756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6" name="文字方塊 8">
          <a:extLst>
            <a:ext uri="{FF2B5EF4-FFF2-40B4-BE49-F238E27FC236}">
              <a16:creationId xmlns:a16="http://schemas.microsoft.com/office/drawing/2014/main" id="{455B63D2-B92C-406B-A418-8DB8DA0DF288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57" name="文字方塊 9">
          <a:extLst>
            <a:ext uri="{FF2B5EF4-FFF2-40B4-BE49-F238E27FC236}">
              <a16:creationId xmlns:a16="http://schemas.microsoft.com/office/drawing/2014/main" id="{FD9B5204-D94F-4AF0-9EB5-2FBA2C9EA7BB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EBAA88DC-3A1F-46B0-8B9B-A5799ADC783F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9" name="文字方塊 58">
          <a:extLst>
            <a:ext uri="{FF2B5EF4-FFF2-40B4-BE49-F238E27FC236}">
              <a16:creationId xmlns:a16="http://schemas.microsoft.com/office/drawing/2014/main" id="{0324AE36-1F69-47BA-9520-0678FC8D758E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0" name="文字方塊 59">
          <a:extLst>
            <a:ext uri="{FF2B5EF4-FFF2-40B4-BE49-F238E27FC236}">
              <a16:creationId xmlns:a16="http://schemas.microsoft.com/office/drawing/2014/main" id="{31C8E24B-20AB-4C58-A2FB-D5659607CE3E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C7E3AF83-23C8-4F8D-ABB8-C88CE0CA7B74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E5F637A1-CA91-48F8-9FD0-C59B6A96590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3" name="文字方塊 62">
          <a:extLst>
            <a:ext uri="{FF2B5EF4-FFF2-40B4-BE49-F238E27FC236}">
              <a16:creationId xmlns:a16="http://schemas.microsoft.com/office/drawing/2014/main" id="{8FA9E263-4149-4644-805C-F74491E9684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4" name="文字方塊 8">
          <a:extLst>
            <a:ext uri="{FF2B5EF4-FFF2-40B4-BE49-F238E27FC236}">
              <a16:creationId xmlns:a16="http://schemas.microsoft.com/office/drawing/2014/main" id="{5EEBF45D-276D-489B-A8DA-E999F446F5F3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65" name="文字方塊 9">
          <a:extLst>
            <a:ext uri="{FF2B5EF4-FFF2-40B4-BE49-F238E27FC236}">
              <a16:creationId xmlns:a16="http://schemas.microsoft.com/office/drawing/2014/main" id="{3A96D41F-BF04-42B1-86EE-6069313F2D8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CCEF031C-736B-49C1-9037-9D1D2901157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7" name="文字方塊 66">
          <a:extLst>
            <a:ext uri="{FF2B5EF4-FFF2-40B4-BE49-F238E27FC236}">
              <a16:creationId xmlns:a16="http://schemas.microsoft.com/office/drawing/2014/main" id="{23F242B6-5683-48E2-96EE-434745761D5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8" name="文字方塊 67">
          <a:extLst>
            <a:ext uri="{FF2B5EF4-FFF2-40B4-BE49-F238E27FC236}">
              <a16:creationId xmlns:a16="http://schemas.microsoft.com/office/drawing/2014/main" id="{D3D52816-2A59-4273-8276-5208625E17A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42F3C2F4-A4AA-431D-963C-6DE30A72C2F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96BCEC1C-1CA3-40C3-9C0A-A5715580BA7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D168F88C-9D3F-4F46-9304-17B039C52A3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2" name="文字方塊 8">
          <a:extLst>
            <a:ext uri="{FF2B5EF4-FFF2-40B4-BE49-F238E27FC236}">
              <a16:creationId xmlns:a16="http://schemas.microsoft.com/office/drawing/2014/main" id="{8634F24B-4387-492E-BCBF-CAE186B5E244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73" name="文字方塊 9">
          <a:extLst>
            <a:ext uri="{FF2B5EF4-FFF2-40B4-BE49-F238E27FC236}">
              <a16:creationId xmlns:a16="http://schemas.microsoft.com/office/drawing/2014/main" id="{93E2C7B3-E69A-4B79-A139-3FA4E6B4411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4" name="文字方塊 73">
          <a:extLst>
            <a:ext uri="{FF2B5EF4-FFF2-40B4-BE49-F238E27FC236}">
              <a16:creationId xmlns:a16="http://schemas.microsoft.com/office/drawing/2014/main" id="{E08ACE04-6A40-4FE9-82AB-67074DA8F9E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75" name="文字方塊 74">
          <a:extLst>
            <a:ext uri="{FF2B5EF4-FFF2-40B4-BE49-F238E27FC236}">
              <a16:creationId xmlns:a16="http://schemas.microsoft.com/office/drawing/2014/main" id="{9FAE850A-9866-48E6-A0EF-0E3AE6FAC0C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6" name="文字方塊 75">
          <a:extLst>
            <a:ext uri="{FF2B5EF4-FFF2-40B4-BE49-F238E27FC236}">
              <a16:creationId xmlns:a16="http://schemas.microsoft.com/office/drawing/2014/main" id="{E1F0BB39-B45A-49DF-89B3-9D174748097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83EF8EDC-1B95-4410-BBE1-B4B3AF7B6BC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8" name="文字方塊 77">
          <a:extLst>
            <a:ext uri="{FF2B5EF4-FFF2-40B4-BE49-F238E27FC236}">
              <a16:creationId xmlns:a16="http://schemas.microsoft.com/office/drawing/2014/main" id="{3CA91EED-98F2-4414-869A-45773756CA3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79" name="文字方塊 78">
          <a:extLst>
            <a:ext uri="{FF2B5EF4-FFF2-40B4-BE49-F238E27FC236}">
              <a16:creationId xmlns:a16="http://schemas.microsoft.com/office/drawing/2014/main" id="{499C38D8-2300-484E-A80A-25C152114B3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0" name="文字方塊 8">
          <a:extLst>
            <a:ext uri="{FF2B5EF4-FFF2-40B4-BE49-F238E27FC236}">
              <a16:creationId xmlns:a16="http://schemas.microsoft.com/office/drawing/2014/main" id="{FC72F545-0C79-435C-98DA-51906A6EABEE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81" name="文字方塊 9">
          <a:extLst>
            <a:ext uri="{FF2B5EF4-FFF2-40B4-BE49-F238E27FC236}">
              <a16:creationId xmlns:a16="http://schemas.microsoft.com/office/drawing/2014/main" id="{F4463E74-D39E-4EDA-B21F-1FD437D9FE1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2" name="文字方塊 81">
          <a:extLst>
            <a:ext uri="{FF2B5EF4-FFF2-40B4-BE49-F238E27FC236}">
              <a16:creationId xmlns:a16="http://schemas.microsoft.com/office/drawing/2014/main" id="{2637C451-14F1-44C8-946B-0649C50D52E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83" name="文字方塊 82">
          <a:extLst>
            <a:ext uri="{FF2B5EF4-FFF2-40B4-BE49-F238E27FC236}">
              <a16:creationId xmlns:a16="http://schemas.microsoft.com/office/drawing/2014/main" id="{FDAD58AE-09DF-4F4A-9EE6-2F12A0C2A73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4" name="文字方塊 83">
          <a:extLst>
            <a:ext uri="{FF2B5EF4-FFF2-40B4-BE49-F238E27FC236}">
              <a16:creationId xmlns:a16="http://schemas.microsoft.com/office/drawing/2014/main" id="{8FDAD9D2-F288-4E1E-9841-E41326A9BCE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85" name="文字方塊 84">
          <a:extLst>
            <a:ext uri="{FF2B5EF4-FFF2-40B4-BE49-F238E27FC236}">
              <a16:creationId xmlns:a16="http://schemas.microsoft.com/office/drawing/2014/main" id="{28C1618B-AFBF-40A5-8E2F-CCDCB80A81B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6" name="文字方塊 85">
          <a:extLst>
            <a:ext uri="{FF2B5EF4-FFF2-40B4-BE49-F238E27FC236}">
              <a16:creationId xmlns:a16="http://schemas.microsoft.com/office/drawing/2014/main" id="{AABA7312-3CF0-4CAF-BA53-BACE1CAE8CA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87" name="文字方塊 86">
          <a:extLst>
            <a:ext uri="{FF2B5EF4-FFF2-40B4-BE49-F238E27FC236}">
              <a16:creationId xmlns:a16="http://schemas.microsoft.com/office/drawing/2014/main" id="{CB9613B4-C1C0-4C69-9480-C28D77AE33E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8" name="文字方塊 8">
          <a:extLst>
            <a:ext uri="{FF2B5EF4-FFF2-40B4-BE49-F238E27FC236}">
              <a16:creationId xmlns:a16="http://schemas.microsoft.com/office/drawing/2014/main" id="{F5BBBB3A-2E74-4573-ABC2-FD84D13E63D7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89" name="文字方塊 9">
          <a:extLst>
            <a:ext uri="{FF2B5EF4-FFF2-40B4-BE49-F238E27FC236}">
              <a16:creationId xmlns:a16="http://schemas.microsoft.com/office/drawing/2014/main" id="{073830D1-9262-41C1-A129-7B167D032E4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0" name="文字方塊 89">
          <a:extLst>
            <a:ext uri="{FF2B5EF4-FFF2-40B4-BE49-F238E27FC236}">
              <a16:creationId xmlns:a16="http://schemas.microsoft.com/office/drawing/2014/main" id="{61907467-BEE2-447D-99F3-0523B541E7C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91" name="文字方塊 90">
          <a:extLst>
            <a:ext uri="{FF2B5EF4-FFF2-40B4-BE49-F238E27FC236}">
              <a16:creationId xmlns:a16="http://schemas.microsoft.com/office/drawing/2014/main" id="{9BB85727-4B3F-4C4D-9711-75F6FC75186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2" name="文字方塊 91">
          <a:extLst>
            <a:ext uri="{FF2B5EF4-FFF2-40B4-BE49-F238E27FC236}">
              <a16:creationId xmlns:a16="http://schemas.microsoft.com/office/drawing/2014/main" id="{FD77659E-E480-422C-B969-81DA0259A26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93" name="文字方塊 92">
          <a:extLst>
            <a:ext uri="{FF2B5EF4-FFF2-40B4-BE49-F238E27FC236}">
              <a16:creationId xmlns:a16="http://schemas.microsoft.com/office/drawing/2014/main" id="{FE824442-A854-4E8E-B8A0-BD3ACDC43D7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4" name="文字方塊 93">
          <a:extLst>
            <a:ext uri="{FF2B5EF4-FFF2-40B4-BE49-F238E27FC236}">
              <a16:creationId xmlns:a16="http://schemas.microsoft.com/office/drawing/2014/main" id="{2E2DFEE6-245A-4140-91DD-51B69A53C17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95" name="文字方塊 94">
          <a:extLst>
            <a:ext uri="{FF2B5EF4-FFF2-40B4-BE49-F238E27FC236}">
              <a16:creationId xmlns:a16="http://schemas.microsoft.com/office/drawing/2014/main" id="{A0BD9BB7-A115-4B07-90B9-872AC41A3FC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96" name="文字方塊 8">
          <a:extLst>
            <a:ext uri="{FF2B5EF4-FFF2-40B4-BE49-F238E27FC236}">
              <a16:creationId xmlns:a16="http://schemas.microsoft.com/office/drawing/2014/main" id="{9F1E49EA-1D99-4819-8909-E0E26DD8DE6D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97" name="文字方塊 9">
          <a:extLst>
            <a:ext uri="{FF2B5EF4-FFF2-40B4-BE49-F238E27FC236}">
              <a16:creationId xmlns:a16="http://schemas.microsoft.com/office/drawing/2014/main" id="{4B275B71-200A-41A4-B7C3-3E29D0E10B3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8" name="文字方塊 97">
          <a:extLst>
            <a:ext uri="{FF2B5EF4-FFF2-40B4-BE49-F238E27FC236}">
              <a16:creationId xmlns:a16="http://schemas.microsoft.com/office/drawing/2014/main" id="{5EF33CE4-1F9F-4C7E-9A8F-2089EE56768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99" name="文字方塊 98">
          <a:extLst>
            <a:ext uri="{FF2B5EF4-FFF2-40B4-BE49-F238E27FC236}">
              <a16:creationId xmlns:a16="http://schemas.microsoft.com/office/drawing/2014/main" id="{C31D32DD-DE4F-4F28-BD5F-1B48F2FF965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0" name="文字方塊 99">
          <a:extLst>
            <a:ext uri="{FF2B5EF4-FFF2-40B4-BE49-F238E27FC236}">
              <a16:creationId xmlns:a16="http://schemas.microsoft.com/office/drawing/2014/main" id="{027C66A4-BE4B-4C1D-A46F-1C15390DF05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01" name="文字方塊 100">
          <a:extLst>
            <a:ext uri="{FF2B5EF4-FFF2-40B4-BE49-F238E27FC236}">
              <a16:creationId xmlns:a16="http://schemas.microsoft.com/office/drawing/2014/main" id="{4FA414B5-C77F-4EA1-A975-490240A7686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2" name="文字方塊 101">
          <a:extLst>
            <a:ext uri="{FF2B5EF4-FFF2-40B4-BE49-F238E27FC236}">
              <a16:creationId xmlns:a16="http://schemas.microsoft.com/office/drawing/2014/main" id="{A29B54A0-207F-4CD7-82E6-D46CE57EF6F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03" name="文字方塊 102">
          <a:extLst>
            <a:ext uri="{FF2B5EF4-FFF2-40B4-BE49-F238E27FC236}">
              <a16:creationId xmlns:a16="http://schemas.microsoft.com/office/drawing/2014/main" id="{8C8DA409-92DD-45C6-A3DB-7FBCF9ADCE60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4" name="文字方塊 8">
          <a:extLst>
            <a:ext uri="{FF2B5EF4-FFF2-40B4-BE49-F238E27FC236}">
              <a16:creationId xmlns:a16="http://schemas.microsoft.com/office/drawing/2014/main" id="{34CBA46F-80A2-483C-B772-3CD6C9EB00C1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05" name="文字方塊 9">
          <a:extLst>
            <a:ext uri="{FF2B5EF4-FFF2-40B4-BE49-F238E27FC236}">
              <a16:creationId xmlns:a16="http://schemas.microsoft.com/office/drawing/2014/main" id="{FEDA1AA1-6E36-4881-83A1-F517FC60862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6" name="文字方塊 105">
          <a:extLst>
            <a:ext uri="{FF2B5EF4-FFF2-40B4-BE49-F238E27FC236}">
              <a16:creationId xmlns:a16="http://schemas.microsoft.com/office/drawing/2014/main" id="{2EB8A826-FC7C-4F31-9776-B8E82362213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07" name="文字方塊 106">
          <a:extLst>
            <a:ext uri="{FF2B5EF4-FFF2-40B4-BE49-F238E27FC236}">
              <a16:creationId xmlns:a16="http://schemas.microsoft.com/office/drawing/2014/main" id="{9FE2E581-1C2D-4C22-9DC8-F5C921EE965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8" name="文字方塊 107">
          <a:extLst>
            <a:ext uri="{FF2B5EF4-FFF2-40B4-BE49-F238E27FC236}">
              <a16:creationId xmlns:a16="http://schemas.microsoft.com/office/drawing/2014/main" id="{20E0A262-19DF-47C7-891F-0498A27A433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09" name="文字方塊 108">
          <a:extLst>
            <a:ext uri="{FF2B5EF4-FFF2-40B4-BE49-F238E27FC236}">
              <a16:creationId xmlns:a16="http://schemas.microsoft.com/office/drawing/2014/main" id="{0EA2E1E1-C94A-4509-A5BB-9F7CA60A63D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0" name="文字方塊 109">
          <a:extLst>
            <a:ext uri="{FF2B5EF4-FFF2-40B4-BE49-F238E27FC236}">
              <a16:creationId xmlns:a16="http://schemas.microsoft.com/office/drawing/2014/main" id="{CAECB3FA-2D55-441F-9F2F-AF2AA94B6CB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1" name="文字方塊 110">
          <a:extLst>
            <a:ext uri="{FF2B5EF4-FFF2-40B4-BE49-F238E27FC236}">
              <a16:creationId xmlns:a16="http://schemas.microsoft.com/office/drawing/2014/main" id="{13537384-A8FD-4C2C-BA58-1EC4A626B11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12" name="文字方塊 8">
          <a:extLst>
            <a:ext uri="{FF2B5EF4-FFF2-40B4-BE49-F238E27FC236}">
              <a16:creationId xmlns:a16="http://schemas.microsoft.com/office/drawing/2014/main" id="{36407F68-CB2A-45E3-9986-7AF297C65B0A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3" name="文字方塊 112">
          <a:extLst>
            <a:ext uri="{FF2B5EF4-FFF2-40B4-BE49-F238E27FC236}">
              <a16:creationId xmlns:a16="http://schemas.microsoft.com/office/drawing/2014/main" id="{C6312BA3-0BF6-49C2-B6D7-8BDFE866D6E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4" name="文字方塊 113">
          <a:extLst>
            <a:ext uri="{FF2B5EF4-FFF2-40B4-BE49-F238E27FC236}">
              <a16:creationId xmlns:a16="http://schemas.microsoft.com/office/drawing/2014/main" id="{0E5B103B-B0CB-4869-B313-83E6063C68C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5" name="文字方塊 114">
          <a:extLst>
            <a:ext uri="{FF2B5EF4-FFF2-40B4-BE49-F238E27FC236}">
              <a16:creationId xmlns:a16="http://schemas.microsoft.com/office/drawing/2014/main" id="{7C5A1DB1-FCD1-47C2-B8AA-11AEE64C1B9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16" name="文字方塊 8">
          <a:extLst>
            <a:ext uri="{FF2B5EF4-FFF2-40B4-BE49-F238E27FC236}">
              <a16:creationId xmlns:a16="http://schemas.microsoft.com/office/drawing/2014/main" id="{53A4E25E-B804-4DCE-A70C-1434F4321653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7" name="文字方塊 116">
          <a:extLst>
            <a:ext uri="{FF2B5EF4-FFF2-40B4-BE49-F238E27FC236}">
              <a16:creationId xmlns:a16="http://schemas.microsoft.com/office/drawing/2014/main" id="{E8E42BDD-A470-44FD-B7C8-C467695A655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8" name="文字方塊 117">
          <a:extLst>
            <a:ext uri="{FF2B5EF4-FFF2-40B4-BE49-F238E27FC236}">
              <a16:creationId xmlns:a16="http://schemas.microsoft.com/office/drawing/2014/main" id="{B84B6BC4-5926-457B-8DEB-567F61DE2FD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9" name="文字方塊 118">
          <a:extLst>
            <a:ext uri="{FF2B5EF4-FFF2-40B4-BE49-F238E27FC236}">
              <a16:creationId xmlns:a16="http://schemas.microsoft.com/office/drawing/2014/main" id="{D5388F99-8637-4853-8DBD-326FA0D370D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20" name="文字方塊 8">
          <a:extLst>
            <a:ext uri="{FF2B5EF4-FFF2-40B4-BE49-F238E27FC236}">
              <a16:creationId xmlns:a16="http://schemas.microsoft.com/office/drawing/2014/main" id="{986E5656-05BC-478F-9EFF-CB7F68E6DFE1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1" name="文字方塊 120">
          <a:extLst>
            <a:ext uri="{FF2B5EF4-FFF2-40B4-BE49-F238E27FC236}">
              <a16:creationId xmlns:a16="http://schemas.microsoft.com/office/drawing/2014/main" id="{D4C32400-A636-404F-9160-20830A0B674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2" name="文字方塊 121">
          <a:extLst>
            <a:ext uri="{FF2B5EF4-FFF2-40B4-BE49-F238E27FC236}">
              <a16:creationId xmlns:a16="http://schemas.microsoft.com/office/drawing/2014/main" id="{7F900F35-6591-4614-B263-FA15C20E27D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3" name="文字方塊 122">
          <a:extLst>
            <a:ext uri="{FF2B5EF4-FFF2-40B4-BE49-F238E27FC236}">
              <a16:creationId xmlns:a16="http://schemas.microsoft.com/office/drawing/2014/main" id="{BB561855-87BE-4885-B3A3-81E0437D5A2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24" name="文字方塊 8">
          <a:extLst>
            <a:ext uri="{FF2B5EF4-FFF2-40B4-BE49-F238E27FC236}">
              <a16:creationId xmlns:a16="http://schemas.microsoft.com/office/drawing/2014/main" id="{E5A7AF72-C182-4C9D-9070-DE2C4E1F98B0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5" name="文字方塊 124">
          <a:extLst>
            <a:ext uri="{FF2B5EF4-FFF2-40B4-BE49-F238E27FC236}">
              <a16:creationId xmlns:a16="http://schemas.microsoft.com/office/drawing/2014/main" id="{D00E64D7-24EC-4620-A22D-C9294765386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6" name="文字方塊 125">
          <a:extLst>
            <a:ext uri="{FF2B5EF4-FFF2-40B4-BE49-F238E27FC236}">
              <a16:creationId xmlns:a16="http://schemas.microsoft.com/office/drawing/2014/main" id="{4402BDA4-A157-4464-B683-03DD6C83C53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7" name="文字方塊 126">
          <a:extLst>
            <a:ext uri="{FF2B5EF4-FFF2-40B4-BE49-F238E27FC236}">
              <a16:creationId xmlns:a16="http://schemas.microsoft.com/office/drawing/2014/main" id="{E693FD6C-3757-4CD6-B866-9F6A93FD0DF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28" name="文字方塊 8">
          <a:extLst>
            <a:ext uri="{FF2B5EF4-FFF2-40B4-BE49-F238E27FC236}">
              <a16:creationId xmlns:a16="http://schemas.microsoft.com/office/drawing/2014/main" id="{ADC2D626-7CF5-4524-9479-4BC190D1089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9" name="文字方塊 128">
          <a:extLst>
            <a:ext uri="{FF2B5EF4-FFF2-40B4-BE49-F238E27FC236}">
              <a16:creationId xmlns:a16="http://schemas.microsoft.com/office/drawing/2014/main" id="{EAB605DF-DF52-4CBF-9A77-374B3500C8F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0" name="文字方塊 129">
          <a:extLst>
            <a:ext uri="{FF2B5EF4-FFF2-40B4-BE49-F238E27FC236}">
              <a16:creationId xmlns:a16="http://schemas.microsoft.com/office/drawing/2014/main" id="{A864E9EC-FBD9-4AC7-8616-A2D21C0596B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1" name="文字方塊 130">
          <a:extLst>
            <a:ext uri="{FF2B5EF4-FFF2-40B4-BE49-F238E27FC236}">
              <a16:creationId xmlns:a16="http://schemas.microsoft.com/office/drawing/2014/main" id="{A4677487-3A05-4639-BBF9-D261DCCDDD4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32" name="文字方塊 8">
          <a:extLst>
            <a:ext uri="{FF2B5EF4-FFF2-40B4-BE49-F238E27FC236}">
              <a16:creationId xmlns:a16="http://schemas.microsoft.com/office/drawing/2014/main" id="{E74C78A5-7AE1-4021-BA4F-61D690C4779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3" name="文字方塊 132">
          <a:extLst>
            <a:ext uri="{FF2B5EF4-FFF2-40B4-BE49-F238E27FC236}">
              <a16:creationId xmlns:a16="http://schemas.microsoft.com/office/drawing/2014/main" id="{227FB351-7C0C-41BD-9B09-18857671C15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4" name="文字方塊 133">
          <a:extLst>
            <a:ext uri="{FF2B5EF4-FFF2-40B4-BE49-F238E27FC236}">
              <a16:creationId xmlns:a16="http://schemas.microsoft.com/office/drawing/2014/main" id="{BB604225-2A3C-49A3-A0C8-484D2FA0206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5" name="文字方塊 134">
          <a:extLst>
            <a:ext uri="{FF2B5EF4-FFF2-40B4-BE49-F238E27FC236}">
              <a16:creationId xmlns:a16="http://schemas.microsoft.com/office/drawing/2014/main" id="{8FB8D05B-891D-43EB-8522-FD785A36C17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36" name="文字方塊 8">
          <a:extLst>
            <a:ext uri="{FF2B5EF4-FFF2-40B4-BE49-F238E27FC236}">
              <a16:creationId xmlns:a16="http://schemas.microsoft.com/office/drawing/2014/main" id="{56EE1247-1E52-409A-B2AF-CAFB7F0507D7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7" name="文字方塊 136">
          <a:extLst>
            <a:ext uri="{FF2B5EF4-FFF2-40B4-BE49-F238E27FC236}">
              <a16:creationId xmlns:a16="http://schemas.microsoft.com/office/drawing/2014/main" id="{8B1402C3-D26B-48B5-AA95-A597D8D1667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38" name="文字方塊 137">
          <a:extLst>
            <a:ext uri="{FF2B5EF4-FFF2-40B4-BE49-F238E27FC236}">
              <a16:creationId xmlns:a16="http://schemas.microsoft.com/office/drawing/2014/main" id="{57666D4D-6AE4-4FA0-BF75-440036A4B75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27.xml><?xml version="1.0" encoding="utf-8"?>
<xdr:wsDr xmlns:xdr="http://schemas.openxmlformats.org/drawingml/2006/spreadsheetDrawing" xmlns:a="http://schemas.openxmlformats.org/drawingml/2006/main"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B3281A6C-0FBC-4CF9-A93A-4198281093BB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3459E757-3417-4688-9408-655DE6A1F354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twoCellAnchor editAs="oneCell">
    <xdr:from>
      <xdr:col>3</xdr:col>
      <xdr:colOff>123269</xdr:colOff>
      <xdr:row>1</xdr:row>
      <xdr:rowOff>56021</xdr:rowOff>
    </xdr:from>
    <xdr:to>
      <xdr:col>5</xdr:col>
      <xdr:colOff>669622</xdr:colOff>
      <xdr:row>3</xdr:row>
      <xdr:rowOff>260660</xdr:rowOff>
    </xdr:to>
    <xdr:sp macro="[0]!auto_length" textlink="">
      <xdr:nvSpPr>
        <xdr:cNvPr id="4" name="矩形 3">
          <a:extLst>
            <a:ext uri="{FF2B5EF4-FFF2-40B4-BE49-F238E27FC236}">
              <a16:creationId xmlns:a16="http://schemas.microsoft.com/office/drawing/2014/main" id="{33CA94AB-6455-485C-A6A1-CAE3BE2EABC3}"/>
            </a:ext>
          </a:extLst>
        </xdr:cNvPr>
        <xdr:cNvSpPr>
          <a:spLocks noChangeAspect="1"/>
        </xdr:cNvSpPr>
      </xdr:nvSpPr>
      <xdr:spPr>
        <a:xfrm>
          <a:off x="946229" y="360821"/>
          <a:ext cx="2161793" cy="656396"/>
        </a:xfrm>
        <a:prstGeom prst="rect">
          <a:avLst/>
        </a:prstGeom>
        <a:solidFill>
          <a:schemeClr val="bg1"/>
        </a:solidFill>
        <a:ln w="38100">
          <a:solidFill>
            <a:schemeClr val="accent2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2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計算長度</a:t>
          </a:r>
        </a:p>
      </xdr:txBody>
    </xdr:sp>
    <xdr:clientData/>
  </xdr:twoCellAnchor>
  <xdr:oneCellAnchor>
    <xdr:from>
      <xdr:col>13</xdr:col>
      <xdr:colOff>134475</xdr:colOff>
      <xdr:row>1</xdr:row>
      <xdr:rowOff>56021</xdr:rowOff>
    </xdr:from>
    <xdr:ext cx="2160000" cy="360000"/>
    <xdr:sp macro="[0]!auto_angle" textlink="">
      <xdr:nvSpPr>
        <xdr:cNvPr id="5" name="矩形 4">
          <a:extLst>
            <a:ext uri="{FF2B5EF4-FFF2-40B4-BE49-F238E27FC236}">
              <a16:creationId xmlns:a16="http://schemas.microsoft.com/office/drawing/2014/main" id="{80A05774-F5D7-4B8E-8765-FA5D26798259}"/>
            </a:ext>
          </a:extLst>
        </xdr:cNvPr>
        <xdr:cNvSpPr>
          <a:spLocks noChangeAspect="1"/>
        </xdr:cNvSpPr>
      </xdr:nvSpPr>
      <xdr:spPr>
        <a:xfrm>
          <a:off x="6215235" y="360821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4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計算角度</a:t>
          </a:r>
          <a:r>
            <a:rPr lang="en-US" altLang="zh-TW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(°)</a:t>
          </a:r>
          <a:endParaRPr lang="zh-TW" altLang="en-US" sz="1600" b="1">
            <a:solidFill>
              <a:schemeClr val="accent4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oneCellAnchor>
  <xdr:oneCellAnchor>
    <xdr:from>
      <xdr:col>24</xdr:col>
      <xdr:colOff>134475</xdr:colOff>
      <xdr:row>1</xdr:row>
      <xdr:rowOff>56022</xdr:rowOff>
    </xdr:from>
    <xdr:ext cx="2160000" cy="360000"/>
    <xdr:sp macro="[0]!auto_area" textlink="">
      <xdr:nvSpPr>
        <xdr:cNvPr id="6" name="矩形 5">
          <a:extLst>
            <a:ext uri="{FF2B5EF4-FFF2-40B4-BE49-F238E27FC236}">
              <a16:creationId xmlns:a16="http://schemas.microsoft.com/office/drawing/2014/main" id="{EA5ACBE8-9AAF-4635-AEED-E22BEF7A3C06}"/>
            </a:ext>
          </a:extLst>
        </xdr:cNvPr>
        <xdr:cNvSpPr>
          <a:spLocks noChangeAspect="1"/>
        </xdr:cNvSpPr>
      </xdr:nvSpPr>
      <xdr:spPr>
        <a:xfrm>
          <a:off x="11747355" y="360822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6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計算面積</a:t>
          </a:r>
        </a:p>
      </xdr:txBody>
    </xdr:sp>
    <xdr:clientData/>
  </xdr:oneCellAnchor>
  <xdr:twoCellAnchor editAs="oneCell">
    <xdr:from>
      <xdr:col>6</xdr:col>
      <xdr:colOff>85169</xdr:colOff>
      <xdr:row>1</xdr:row>
      <xdr:rowOff>51539</xdr:rowOff>
    </xdr:from>
    <xdr:to>
      <xdr:col>7</xdr:col>
      <xdr:colOff>718346</xdr:colOff>
      <xdr:row>3</xdr:row>
      <xdr:rowOff>256178</xdr:rowOff>
    </xdr:to>
    <xdr:sp macro="[0]!clear_length" textlink="">
      <xdr:nvSpPr>
        <xdr:cNvPr id="7" name="矩形 6">
          <a:extLst>
            <a:ext uri="{FF2B5EF4-FFF2-40B4-BE49-F238E27FC236}">
              <a16:creationId xmlns:a16="http://schemas.microsoft.com/office/drawing/2014/main" id="{2224BB14-BCB2-4B47-ADB1-FC211A95DF58}"/>
            </a:ext>
          </a:extLst>
        </xdr:cNvPr>
        <xdr:cNvSpPr>
          <a:spLocks/>
        </xdr:cNvSpPr>
      </xdr:nvSpPr>
      <xdr:spPr>
        <a:xfrm>
          <a:off x="3331289" y="356339"/>
          <a:ext cx="1440897" cy="656396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twoCellAnchor>
  <xdr:oneCellAnchor>
    <xdr:from>
      <xdr:col>16</xdr:col>
      <xdr:colOff>85169</xdr:colOff>
      <xdr:row>1</xdr:row>
      <xdr:rowOff>51539</xdr:rowOff>
    </xdr:from>
    <xdr:ext cx="1440000" cy="360000"/>
    <xdr:sp macro="[0]!clear_angle" textlink="">
      <xdr:nvSpPr>
        <xdr:cNvPr id="8" name="矩形 7">
          <a:extLst>
            <a:ext uri="{FF2B5EF4-FFF2-40B4-BE49-F238E27FC236}">
              <a16:creationId xmlns:a16="http://schemas.microsoft.com/office/drawing/2014/main" id="{46476E4B-C11C-48F6-8DD3-FA8F48DBAEC9}"/>
            </a:ext>
          </a:extLst>
        </xdr:cNvPr>
        <xdr:cNvSpPr>
          <a:spLocks/>
        </xdr:cNvSpPr>
      </xdr:nvSpPr>
      <xdr:spPr>
        <a:xfrm>
          <a:off x="8589089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27</xdr:col>
      <xdr:colOff>85169</xdr:colOff>
      <xdr:row>1</xdr:row>
      <xdr:rowOff>51539</xdr:rowOff>
    </xdr:from>
    <xdr:ext cx="1440000" cy="360000"/>
    <xdr:sp macro="[0]!clear_area" textlink="">
      <xdr:nvSpPr>
        <xdr:cNvPr id="9" name="矩形 8">
          <a:extLst>
            <a:ext uri="{FF2B5EF4-FFF2-40B4-BE49-F238E27FC236}">
              <a16:creationId xmlns:a16="http://schemas.microsoft.com/office/drawing/2014/main" id="{656DEF39-84DF-4005-AF55-6561006F80A6}"/>
            </a:ext>
          </a:extLst>
        </xdr:cNvPr>
        <xdr:cNvSpPr>
          <a:spLocks/>
        </xdr:cNvSpPr>
      </xdr:nvSpPr>
      <xdr:spPr>
        <a:xfrm>
          <a:off x="14121209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6BBE484A-B070-4188-AF73-E5BD601329DE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8CF2F502-1504-4A1C-954B-583B51E78D03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C84A83B2-ED5F-4C0F-8547-AC9DBFB6817A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5DAE68F3-ADA2-466B-8505-E0473F003A8A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8D0A02E9-97AF-4164-BAB0-2FA3C0D329E6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43E629F8-B146-4C2F-A8CF-C93828F6F5BB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6" name="文字方塊 8">
          <a:extLst>
            <a:ext uri="{FF2B5EF4-FFF2-40B4-BE49-F238E27FC236}">
              <a16:creationId xmlns:a16="http://schemas.microsoft.com/office/drawing/2014/main" id="{7141073D-86B3-451F-B9DE-181C261DA884}"/>
            </a:ext>
          </a:extLst>
        </xdr:cNvPr>
        <xdr:cNvSpPr txBox="1"/>
      </xdr:nvSpPr>
      <xdr:spPr>
        <a:xfrm>
          <a:off x="24589740" y="162754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7" name="文字方塊 9">
          <a:extLst>
            <a:ext uri="{FF2B5EF4-FFF2-40B4-BE49-F238E27FC236}">
              <a16:creationId xmlns:a16="http://schemas.microsoft.com/office/drawing/2014/main" id="{AA0E9FF2-E0AD-497E-8CAD-78775157D8FC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9E17A445-A62E-46FA-B0F9-B3C89A496621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27A2F6E8-FFED-45BF-9ADC-01D5EC616E17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7B9DC1CC-9935-4B58-9110-CFB44F15AABB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6DFA941E-7C0B-4ED7-88E2-EA8B7C12D8F7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7AFF44A0-EC7D-412C-9918-71AEEC5B584B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756172BF-147B-4640-8083-9564C9458114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4" name="文字方塊 8">
          <a:extLst>
            <a:ext uri="{FF2B5EF4-FFF2-40B4-BE49-F238E27FC236}">
              <a16:creationId xmlns:a16="http://schemas.microsoft.com/office/drawing/2014/main" id="{6452EB2E-8502-4313-939B-A7730EFB95B1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5" name="文字方塊 9">
          <a:extLst>
            <a:ext uri="{FF2B5EF4-FFF2-40B4-BE49-F238E27FC236}">
              <a16:creationId xmlns:a16="http://schemas.microsoft.com/office/drawing/2014/main" id="{C27706F1-8213-4104-823A-DBD71A5027B5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68E5851B-C22A-451C-82E4-279A4F45C639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5E930D43-F406-40D8-9932-96D026B82B30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BEB7EF2C-E027-49D9-A160-D2E6D7FE3C9F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F6E71177-77E4-4CC2-BF69-6EA26A8FDCB0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3E232D12-D7A3-4E3B-980E-F74C211B13A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B0175824-52FD-450A-ADD1-7FAFDB964AC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32" name="文字方塊 8">
          <a:extLst>
            <a:ext uri="{FF2B5EF4-FFF2-40B4-BE49-F238E27FC236}">
              <a16:creationId xmlns:a16="http://schemas.microsoft.com/office/drawing/2014/main" id="{F530B318-F8EE-4C2F-AB22-346184E1F459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33" name="文字方塊 9">
          <a:extLst>
            <a:ext uri="{FF2B5EF4-FFF2-40B4-BE49-F238E27FC236}">
              <a16:creationId xmlns:a16="http://schemas.microsoft.com/office/drawing/2014/main" id="{975C549A-BABA-4139-92CA-0A8C308A2AC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EBF156D8-EC17-4DA6-A145-B7621A5DBBF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B20DE3DE-5A66-4CD9-8E24-FCE5DA97211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6" name="文字方塊 35">
          <a:extLst>
            <a:ext uri="{FF2B5EF4-FFF2-40B4-BE49-F238E27FC236}">
              <a16:creationId xmlns:a16="http://schemas.microsoft.com/office/drawing/2014/main" id="{460B4294-5B9C-49CA-BDEE-B9F2E6E2F82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64063C8A-C356-4035-9C7B-27176F42B50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E83D2EC6-7552-46C0-AFE0-F4D1A720499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C2AEBD76-B700-4F17-9DA8-E74AE000FF6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0" name="文字方塊 8">
          <a:extLst>
            <a:ext uri="{FF2B5EF4-FFF2-40B4-BE49-F238E27FC236}">
              <a16:creationId xmlns:a16="http://schemas.microsoft.com/office/drawing/2014/main" id="{EC5F2AF4-E56F-4219-8F65-685B856838F3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1" name="文字方塊 9">
          <a:extLst>
            <a:ext uri="{FF2B5EF4-FFF2-40B4-BE49-F238E27FC236}">
              <a16:creationId xmlns:a16="http://schemas.microsoft.com/office/drawing/2014/main" id="{844919D7-1F80-4FB6-AA05-2565A8FBDFC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18764C38-ABB3-4E36-9E59-080151463E7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F67982EC-A0C1-4855-AE45-6FB2CE11CBA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0865D6A5-D381-42DB-B6DC-BB816353C72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5" name="文字方塊 44">
          <a:extLst>
            <a:ext uri="{FF2B5EF4-FFF2-40B4-BE49-F238E27FC236}">
              <a16:creationId xmlns:a16="http://schemas.microsoft.com/office/drawing/2014/main" id="{BB0A00ED-8DA7-4008-8E10-F9C8A36E668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783FB57F-4F09-4F4D-928D-81BFAFFAE6F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E96188EF-BAF0-414B-B1D8-D940F303EFF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8" name="文字方塊 8">
          <a:extLst>
            <a:ext uri="{FF2B5EF4-FFF2-40B4-BE49-F238E27FC236}">
              <a16:creationId xmlns:a16="http://schemas.microsoft.com/office/drawing/2014/main" id="{72572821-C4D9-437F-BBAC-13DE7F6DBEF1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9" name="文字方塊 9">
          <a:extLst>
            <a:ext uri="{FF2B5EF4-FFF2-40B4-BE49-F238E27FC236}">
              <a16:creationId xmlns:a16="http://schemas.microsoft.com/office/drawing/2014/main" id="{A31018D3-0804-413D-B78A-42C0CA1D365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B63ACED2-89D4-47C7-9D7B-ECDD865124D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3FD1E7B7-BD87-4617-9378-1C2830FAE4D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2" name="文字方塊 51">
          <a:extLst>
            <a:ext uri="{FF2B5EF4-FFF2-40B4-BE49-F238E27FC236}">
              <a16:creationId xmlns:a16="http://schemas.microsoft.com/office/drawing/2014/main" id="{E4501315-016C-4742-A5F4-56AD17A647F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3" name="文字方塊 52">
          <a:extLst>
            <a:ext uri="{FF2B5EF4-FFF2-40B4-BE49-F238E27FC236}">
              <a16:creationId xmlns:a16="http://schemas.microsoft.com/office/drawing/2014/main" id="{EB47790E-7FCD-4092-AF2A-1004C6C1055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8580679F-47CB-46D1-9ABC-BFA563A32F7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4F2F08CB-D9DD-447D-862F-2493A9565BB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6" name="文字方塊 8">
          <a:extLst>
            <a:ext uri="{FF2B5EF4-FFF2-40B4-BE49-F238E27FC236}">
              <a16:creationId xmlns:a16="http://schemas.microsoft.com/office/drawing/2014/main" id="{C851BB83-EA9A-4ADB-AC60-97CE5C5FF7AE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57" name="文字方塊 9">
          <a:extLst>
            <a:ext uri="{FF2B5EF4-FFF2-40B4-BE49-F238E27FC236}">
              <a16:creationId xmlns:a16="http://schemas.microsoft.com/office/drawing/2014/main" id="{560874CA-388B-4647-9AD4-319A227F45E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BF13A03F-8FD5-497A-96D6-3F1F3A568D4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9" name="文字方塊 58">
          <a:extLst>
            <a:ext uri="{FF2B5EF4-FFF2-40B4-BE49-F238E27FC236}">
              <a16:creationId xmlns:a16="http://schemas.microsoft.com/office/drawing/2014/main" id="{96881C26-4325-4516-9359-D12143521E5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0" name="文字方塊 59">
          <a:extLst>
            <a:ext uri="{FF2B5EF4-FFF2-40B4-BE49-F238E27FC236}">
              <a16:creationId xmlns:a16="http://schemas.microsoft.com/office/drawing/2014/main" id="{29D3192D-73AC-4249-B2CD-88338FE1FA3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3791BC43-9F7E-4B47-85B6-01F80F4C75D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6E97C15A-E243-40F3-A6CD-442AF5284E0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3" name="文字方塊 62">
          <a:extLst>
            <a:ext uri="{FF2B5EF4-FFF2-40B4-BE49-F238E27FC236}">
              <a16:creationId xmlns:a16="http://schemas.microsoft.com/office/drawing/2014/main" id="{F3F0BE1A-74A8-4A69-A831-73AE678479B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4" name="文字方塊 8">
          <a:extLst>
            <a:ext uri="{FF2B5EF4-FFF2-40B4-BE49-F238E27FC236}">
              <a16:creationId xmlns:a16="http://schemas.microsoft.com/office/drawing/2014/main" id="{A8480F86-5C47-4C8A-9795-302FC425F7D7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65" name="文字方塊 9">
          <a:extLst>
            <a:ext uri="{FF2B5EF4-FFF2-40B4-BE49-F238E27FC236}">
              <a16:creationId xmlns:a16="http://schemas.microsoft.com/office/drawing/2014/main" id="{ADBFB3BA-0954-49EB-AFF4-7C67D99102B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A443C8A3-8F43-4E06-9CE0-5C23FD46857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7" name="文字方塊 66">
          <a:extLst>
            <a:ext uri="{FF2B5EF4-FFF2-40B4-BE49-F238E27FC236}">
              <a16:creationId xmlns:a16="http://schemas.microsoft.com/office/drawing/2014/main" id="{FD1C46EC-B759-498C-B3F9-C6AEB1EC8D2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8" name="文字方塊 67">
          <a:extLst>
            <a:ext uri="{FF2B5EF4-FFF2-40B4-BE49-F238E27FC236}">
              <a16:creationId xmlns:a16="http://schemas.microsoft.com/office/drawing/2014/main" id="{2994B962-46FD-4DF3-B0A0-6639D200BCA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D0F2EE6D-E4EE-4FA7-A6EE-741D9E498D5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D8575410-7932-4F50-89C9-85AE034C55F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58514184-EBF4-4919-90A8-EA84F1A72A7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2" name="文字方塊 8">
          <a:extLst>
            <a:ext uri="{FF2B5EF4-FFF2-40B4-BE49-F238E27FC236}">
              <a16:creationId xmlns:a16="http://schemas.microsoft.com/office/drawing/2014/main" id="{102C0B4C-58B6-4A82-AEDD-9ED0FFC29A42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73" name="文字方塊 9">
          <a:extLst>
            <a:ext uri="{FF2B5EF4-FFF2-40B4-BE49-F238E27FC236}">
              <a16:creationId xmlns:a16="http://schemas.microsoft.com/office/drawing/2014/main" id="{F368E06B-1B28-45C9-8DAB-C43ED071504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4" name="文字方塊 73">
          <a:extLst>
            <a:ext uri="{FF2B5EF4-FFF2-40B4-BE49-F238E27FC236}">
              <a16:creationId xmlns:a16="http://schemas.microsoft.com/office/drawing/2014/main" id="{B83DB6AB-7684-4536-8DB9-D825963C5C2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75" name="文字方塊 74">
          <a:extLst>
            <a:ext uri="{FF2B5EF4-FFF2-40B4-BE49-F238E27FC236}">
              <a16:creationId xmlns:a16="http://schemas.microsoft.com/office/drawing/2014/main" id="{82DD97E4-E5E3-4424-8357-7FE6537820D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6" name="文字方塊 75">
          <a:extLst>
            <a:ext uri="{FF2B5EF4-FFF2-40B4-BE49-F238E27FC236}">
              <a16:creationId xmlns:a16="http://schemas.microsoft.com/office/drawing/2014/main" id="{8218AC52-322C-4DA5-8B83-044528E7301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D3283BAB-8929-4CF3-A6DB-F8A1CB62B1E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8" name="文字方塊 77">
          <a:extLst>
            <a:ext uri="{FF2B5EF4-FFF2-40B4-BE49-F238E27FC236}">
              <a16:creationId xmlns:a16="http://schemas.microsoft.com/office/drawing/2014/main" id="{D4797B15-3D92-4FB3-BC5B-61443F7ACF1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9" name="文字方塊 78">
          <a:extLst>
            <a:ext uri="{FF2B5EF4-FFF2-40B4-BE49-F238E27FC236}">
              <a16:creationId xmlns:a16="http://schemas.microsoft.com/office/drawing/2014/main" id="{45CA65A5-4479-47AD-8422-0C0A4ABF9F1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0" name="文字方塊 8">
          <a:extLst>
            <a:ext uri="{FF2B5EF4-FFF2-40B4-BE49-F238E27FC236}">
              <a16:creationId xmlns:a16="http://schemas.microsoft.com/office/drawing/2014/main" id="{4775547B-A1E3-4E71-A591-9D83D7817D24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1" name="文字方塊 80">
          <a:extLst>
            <a:ext uri="{FF2B5EF4-FFF2-40B4-BE49-F238E27FC236}">
              <a16:creationId xmlns:a16="http://schemas.microsoft.com/office/drawing/2014/main" id="{B149655D-42DB-43EA-B8D4-169343287DA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2" name="文字方塊 81">
          <a:extLst>
            <a:ext uri="{FF2B5EF4-FFF2-40B4-BE49-F238E27FC236}">
              <a16:creationId xmlns:a16="http://schemas.microsoft.com/office/drawing/2014/main" id="{A2B286CE-144D-4583-87AA-A3C4ACEF46D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3" name="文字方塊 82">
          <a:extLst>
            <a:ext uri="{FF2B5EF4-FFF2-40B4-BE49-F238E27FC236}">
              <a16:creationId xmlns:a16="http://schemas.microsoft.com/office/drawing/2014/main" id="{7A3D7D66-29CD-4FBF-82B3-FBFBBB7E58C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4" name="文字方塊 8">
          <a:extLst>
            <a:ext uri="{FF2B5EF4-FFF2-40B4-BE49-F238E27FC236}">
              <a16:creationId xmlns:a16="http://schemas.microsoft.com/office/drawing/2014/main" id="{82E77374-1254-42A4-B70C-70B49D6C3C64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5" name="文字方塊 84">
          <a:extLst>
            <a:ext uri="{FF2B5EF4-FFF2-40B4-BE49-F238E27FC236}">
              <a16:creationId xmlns:a16="http://schemas.microsoft.com/office/drawing/2014/main" id="{4C443325-B9BF-430F-95A8-35961CB308A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6" name="文字方塊 85">
          <a:extLst>
            <a:ext uri="{FF2B5EF4-FFF2-40B4-BE49-F238E27FC236}">
              <a16:creationId xmlns:a16="http://schemas.microsoft.com/office/drawing/2014/main" id="{B13A22C5-6C84-481C-91E5-F1AE49C433C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7" name="文字方塊 86">
          <a:extLst>
            <a:ext uri="{FF2B5EF4-FFF2-40B4-BE49-F238E27FC236}">
              <a16:creationId xmlns:a16="http://schemas.microsoft.com/office/drawing/2014/main" id="{28F8BF0C-9AB9-4FBE-8314-1CE1DBF8F83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8" name="文字方塊 8">
          <a:extLst>
            <a:ext uri="{FF2B5EF4-FFF2-40B4-BE49-F238E27FC236}">
              <a16:creationId xmlns:a16="http://schemas.microsoft.com/office/drawing/2014/main" id="{B2A96464-713F-43D0-892B-ECD7E77D8350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9" name="文字方塊 88">
          <a:extLst>
            <a:ext uri="{FF2B5EF4-FFF2-40B4-BE49-F238E27FC236}">
              <a16:creationId xmlns:a16="http://schemas.microsoft.com/office/drawing/2014/main" id="{CE18D2B1-4695-4120-97B7-B109E1287BA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0" name="文字方塊 89">
          <a:extLst>
            <a:ext uri="{FF2B5EF4-FFF2-40B4-BE49-F238E27FC236}">
              <a16:creationId xmlns:a16="http://schemas.microsoft.com/office/drawing/2014/main" id="{F84B7219-95D0-40A1-9D68-3489525E604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1" name="文字方塊 90">
          <a:extLst>
            <a:ext uri="{FF2B5EF4-FFF2-40B4-BE49-F238E27FC236}">
              <a16:creationId xmlns:a16="http://schemas.microsoft.com/office/drawing/2014/main" id="{A4C6F919-F935-4B22-A0C8-25DDB08B63B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92" name="文字方塊 8">
          <a:extLst>
            <a:ext uri="{FF2B5EF4-FFF2-40B4-BE49-F238E27FC236}">
              <a16:creationId xmlns:a16="http://schemas.microsoft.com/office/drawing/2014/main" id="{6951A393-065C-47C5-A380-E4248D512F55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3" name="文字方塊 92">
          <a:extLst>
            <a:ext uri="{FF2B5EF4-FFF2-40B4-BE49-F238E27FC236}">
              <a16:creationId xmlns:a16="http://schemas.microsoft.com/office/drawing/2014/main" id="{27D1DC2C-DE75-461B-AFF9-9ABCC765D0B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4" name="文字方塊 93">
          <a:extLst>
            <a:ext uri="{FF2B5EF4-FFF2-40B4-BE49-F238E27FC236}">
              <a16:creationId xmlns:a16="http://schemas.microsoft.com/office/drawing/2014/main" id="{6E11F35E-05D1-43BA-A2A4-0D5286DF680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5" name="文字方塊 94">
          <a:extLst>
            <a:ext uri="{FF2B5EF4-FFF2-40B4-BE49-F238E27FC236}">
              <a16:creationId xmlns:a16="http://schemas.microsoft.com/office/drawing/2014/main" id="{A5D6F610-72CF-4104-AEC9-97E0BCD7741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96" name="文字方塊 8">
          <a:extLst>
            <a:ext uri="{FF2B5EF4-FFF2-40B4-BE49-F238E27FC236}">
              <a16:creationId xmlns:a16="http://schemas.microsoft.com/office/drawing/2014/main" id="{A7C90141-F2BA-47F2-ACA5-01F82374664A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7" name="文字方塊 96">
          <a:extLst>
            <a:ext uri="{FF2B5EF4-FFF2-40B4-BE49-F238E27FC236}">
              <a16:creationId xmlns:a16="http://schemas.microsoft.com/office/drawing/2014/main" id="{9FF46855-DD1E-4783-938D-B87D7F22864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8" name="文字方塊 97">
          <a:extLst>
            <a:ext uri="{FF2B5EF4-FFF2-40B4-BE49-F238E27FC236}">
              <a16:creationId xmlns:a16="http://schemas.microsoft.com/office/drawing/2014/main" id="{7F94C378-DC3C-4304-9536-F6A27AC1E61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9" name="文字方塊 98">
          <a:extLst>
            <a:ext uri="{FF2B5EF4-FFF2-40B4-BE49-F238E27FC236}">
              <a16:creationId xmlns:a16="http://schemas.microsoft.com/office/drawing/2014/main" id="{9E92C2FA-8943-4C95-B636-962470A3A55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0" name="文字方塊 8">
          <a:extLst>
            <a:ext uri="{FF2B5EF4-FFF2-40B4-BE49-F238E27FC236}">
              <a16:creationId xmlns:a16="http://schemas.microsoft.com/office/drawing/2014/main" id="{6E438615-4EED-43B3-87F0-C32F32B816BC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1" name="文字方塊 100">
          <a:extLst>
            <a:ext uri="{FF2B5EF4-FFF2-40B4-BE49-F238E27FC236}">
              <a16:creationId xmlns:a16="http://schemas.microsoft.com/office/drawing/2014/main" id="{FCBA1A6F-4552-407A-AA97-FB381B22BD4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2" name="文字方塊 101">
          <a:extLst>
            <a:ext uri="{FF2B5EF4-FFF2-40B4-BE49-F238E27FC236}">
              <a16:creationId xmlns:a16="http://schemas.microsoft.com/office/drawing/2014/main" id="{822BBA55-19E1-4751-A43D-44FB0595BA2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3" name="文字方塊 102">
          <a:extLst>
            <a:ext uri="{FF2B5EF4-FFF2-40B4-BE49-F238E27FC236}">
              <a16:creationId xmlns:a16="http://schemas.microsoft.com/office/drawing/2014/main" id="{D99EE7B5-2BC7-4492-8E38-58059D70975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4" name="文字方塊 8">
          <a:extLst>
            <a:ext uri="{FF2B5EF4-FFF2-40B4-BE49-F238E27FC236}">
              <a16:creationId xmlns:a16="http://schemas.microsoft.com/office/drawing/2014/main" id="{4FFB3010-7563-44B3-B3EB-45CA849C9877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5" name="文字方塊 104">
          <a:extLst>
            <a:ext uri="{FF2B5EF4-FFF2-40B4-BE49-F238E27FC236}">
              <a16:creationId xmlns:a16="http://schemas.microsoft.com/office/drawing/2014/main" id="{8348C40D-09A9-4646-A75E-6D34825A35C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6" name="文字方塊 105">
          <a:extLst>
            <a:ext uri="{FF2B5EF4-FFF2-40B4-BE49-F238E27FC236}">
              <a16:creationId xmlns:a16="http://schemas.microsoft.com/office/drawing/2014/main" id="{BF92E0DF-89E2-4D6C-BE6C-8FB49AFFBAA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28.xml><?xml version="1.0" encoding="utf-8"?>
<xdr:wsDr xmlns:xdr="http://schemas.openxmlformats.org/drawingml/2006/spreadsheetDrawing" xmlns:a="http://schemas.openxmlformats.org/drawingml/2006/main"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F2810322-DC70-4521-B0BE-32968C694057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5854FFBD-F72F-4EDC-85CE-DB8F4CBEBE35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twoCellAnchor editAs="oneCell">
    <xdr:from>
      <xdr:col>3</xdr:col>
      <xdr:colOff>123269</xdr:colOff>
      <xdr:row>1</xdr:row>
      <xdr:rowOff>56021</xdr:rowOff>
    </xdr:from>
    <xdr:to>
      <xdr:col>5</xdr:col>
      <xdr:colOff>669622</xdr:colOff>
      <xdr:row>3</xdr:row>
      <xdr:rowOff>260660</xdr:rowOff>
    </xdr:to>
    <xdr:sp macro="[0]!auto_length" textlink="">
      <xdr:nvSpPr>
        <xdr:cNvPr id="4" name="矩形 3">
          <a:extLst>
            <a:ext uri="{FF2B5EF4-FFF2-40B4-BE49-F238E27FC236}">
              <a16:creationId xmlns:a16="http://schemas.microsoft.com/office/drawing/2014/main" id="{D5A656B2-6D1B-49C7-8428-2F0FE0702E75}"/>
            </a:ext>
          </a:extLst>
        </xdr:cNvPr>
        <xdr:cNvSpPr>
          <a:spLocks noChangeAspect="1"/>
        </xdr:cNvSpPr>
      </xdr:nvSpPr>
      <xdr:spPr>
        <a:xfrm>
          <a:off x="946229" y="360821"/>
          <a:ext cx="2161793" cy="656396"/>
        </a:xfrm>
        <a:prstGeom prst="rect">
          <a:avLst/>
        </a:prstGeom>
        <a:solidFill>
          <a:schemeClr val="bg1"/>
        </a:solidFill>
        <a:ln w="38100">
          <a:solidFill>
            <a:schemeClr val="accent2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2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計算長度</a:t>
          </a:r>
        </a:p>
      </xdr:txBody>
    </xdr:sp>
    <xdr:clientData/>
  </xdr:twoCellAnchor>
  <xdr:oneCellAnchor>
    <xdr:from>
      <xdr:col>13</xdr:col>
      <xdr:colOff>134475</xdr:colOff>
      <xdr:row>1</xdr:row>
      <xdr:rowOff>56021</xdr:rowOff>
    </xdr:from>
    <xdr:ext cx="2160000" cy="360000"/>
    <xdr:sp macro="[0]!auto_angle" textlink="">
      <xdr:nvSpPr>
        <xdr:cNvPr id="5" name="矩形 4">
          <a:extLst>
            <a:ext uri="{FF2B5EF4-FFF2-40B4-BE49-F238E27FC236}">
              <a16:creationId xmlns:a16="http://schemas.microsoft.com/office/drawing/2014/main" id="{35011EBE-B225-424E-BB0E-7CB8CA0AE81F}"/>
            </a:ext>
          </a:extLst>
        </xdr:cNvPr>
        <xdr:cNvSpPr>
          <a:spLocks noChangeAspect="1"/>
        </xdr:cNvSpPr>
      </xdr:nvSpPr>
      <xdr:spPr>
        <a:xfrm>
          <a:off x="6215235" y="360821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4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計算角度</a:t>
          </a:r>
          <a:r>
            <a:rPr lang="en-US" altLang="zh-TW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(°)</a:t>
          </a:r>
          <a:endParaRPr lang="zh-TW" altLang="en-US" sz="1600" b="1">
            <a:solidFill>
              <a:schemeClr val="accent4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oneCellAnchor>
  <xdr:oneCellAnchor>
    <xdr:from>
      <xdr:col>24</xdr:col>
      <xdr:colOff>134475</xdr:colOff>
      <xdr:row>1</xdr:row>
      <xdr:rowOff>56022</xdr:rowOff>
    </xdr:from>
    <xdr:ext cx="2160000" cy="360000"/>
    <xdr:sp macro="[0]!auto_area" textlink="">
      <xdr:nvSpPr>
        <xdr:cNvPr id="6" name="矩形 5">
          <a:extLst>
            <a:ext uri="{FF2B5EF4-FFF2-40B4-BE49-F238E27FC236}">
              <a16:creationId xmlns:a16="http://schemas.microsoft.com/office/drawing/2014/main" id="{ECB20152-E805-403A-A818-33FC8F769FCC}"/>
            </a:ext>
          </a:extLst>
        </xdr:cNvPr>
        <xdr:cNvSpPr>
          <a:spLocks noChangeAspect="1"/>
        </xdr:cNvSpPr>
      </xdr:nvSpPr>
      <xdr:spPr>
        <a:xfrm>
          <a:off x="11747355" y="360822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6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計算面積</a:t>
          </a:r>
        </a:p>
      </xdr:txBody>
    </xdr:sp>
    <xdr:clientData/>
  </xdr:oneCellAnchor>
  <xdr:twoCellAnchor editAs="oneCell">
    <xdr:from>
      <xdr:col>6</xdr:col>
      <xdr:colOff>85169</xdr:colOff>
      <xdr:row>1</xdr:row>
      <xdr:rowOff>51539</xdr:rowOff>
    </xdr:from>
    <xdr:to>
      <xdr:col>7</xdr:col>
      <xdr:colOff>718346</xdr:colOff>
      <xdr:row>3</xdr:row>
      <xdr:rowOff>256178</xdr:rowOff>
    </xdr:to>
    <xdr:sp macro="[0]!clear_length" textlink="">
      <xdr:nvSpPr>
        <xdr:cNvPr id="7" name="矩形 6">
          <a:extLst>
            <a:ext uri="{FF2B5EF4-FFF2-40B4-BE49-F238E27FC236}">
              <a16:creationId xmlns:a16="http://schemas.microsoft.com/office/drawing/2014/main" id="{3522CE51-B73F-481F-A3D3-DCCD7B5E89CC}"/>
            </a:ext>
          </a:extLst>
        </xdr:cNvPr>
        <xdr:cNvSpPr>
          <a:spLocks/>
        </xdr:cNvSpPr>
      </xdr:nvSpPr>
      <xdr:spPr>
        <a:xfrm>
          <a:off x="3331289" y="356339"/>
          <a:ext cx="1440897" cy="656396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twoCellAnchor>
  <xdr:oneCellAnchor>
    <xdr:from>
      <xdr:col>16</xdr:col>
      <xdr:colOff>85169</xdr:colOff>
      <xdr:row>1</xdr:row>
      <xdr:rowOff>51539</xdr:rowOff>
    </xdr:from>
    <xdr:ext cx="1440000" cy="360000"/>
    <xdr:sp macro="[0]!clear_angle" textlink="">
      <xdr:nvSpPr>
        <xdr:cNvPr id="8" name="矩形 7">
          <a:extLst>
            <a:ext uri="{FF2B5EF4-FFF2-40B4-BE49-F238E27FC236}">
              <a16:creationId xmlns:a16="http://schemas.microsoft.com/office/drawing/2014/main" id="{8CE77826-8FF9-48BA-A9DA-E0607BB6BFCC}"/>
            </a:ext>
          </a:extLst>
        </xdr:cNvPr>
        <xdr:cNvSpPr>
          <a:spLocks/>
        </xdr:cNvSpPr>
      </xdr:nvSpPr>
      <xdr:spPr>
        <a:xfrm>
          <a:off x="8589089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27</xdr:col>
      <xdr:colOff>85169</xdr:colOff>
      <xdr:row>1</xdr:row>
      <xdr:rowOff>51539</xdr:rowOff>
    </xdr:from>
    <xdr:ext cx="1440000" cy="360000"/>
    <xdr:sp macro="[0]!clear_area" textlink="">
      <xdr:nvSpPr>
        <xdr:cNvPr id="9" name="矩形 8">
          <a:extLst>
            <a:ext uri="{FF2B5EF4-FFF2-40B4-BE49-F238E27FC236}">
              <a16:creationId xmlns:a16="http://schemas.microsoft.com/office/drawing/2014/main" id="{C35CF3B3-E88F-4F6A-BADE-2F100C21BA18}"/>
            </a:ext>
          </a:extLst>
        </xdr:cNvPr>
        <xdr:cNvSpPr>
          <a:spLocks/>
        </xdr:cNvSpPr>
      </xdr:nvSpPr>
      <xdr:spPr>
        <a:xfrm>
          <a:off x="14121209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8E7AD8F5-43F2-4260-A6CF-DC38BF760115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0C2FE0AE-7E3A-4490-8FBE-4C9B5F72275F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072BA09C-7287-49E1-A61C-B0DB66DEEE06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E81C90E7-4381-4D61-A4C2-7BBF714EF1CE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1B69D5DC-523D-415C-AD4E-A2652EB118F6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F5AAF3E3-5E94-45EB-80C8-8E791C76E7AE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6" name="文字方塊 8">
          <a:extLst>
            <a:ext uri="{FF2B5EF4-FFF2-40B4-BE49-F238E27FC236}">
              <a16:creationId xmlns:a16="http://schemas.microsoft.com/office/drawing/2014/main" id="{1FA46C3D-F4F6-4835-96D0-5F691E95A447}"/>
            </a:ext>
          </a:extLst>
        </xdr:cNvPr>
        <xdr:cNvSpPr txBox="1"/>
      </xdr:nvSpPr>
      <xdr:spPr>
        <a:xfrm>
          <a:off x="24589740" y="162754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7" name="文字方塊 9">
          <a:extLst>
            <a:ext uri="{FF2B5EF4-FFF2-40B4-BE49-F238E27FC236}">
              <a16:creationId xmlns:a16="http://schemas.microsoft.com/office/drawing/2014/main" id="{70265DF4-1255-4C3C-B97F-A85364044536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CB291A40-F153-4455-B64F-24DE6B81CA21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006DB836-01F3-42B5-9C92-38A608129D91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20AEC1CA-01A5-431C-A2A0-44AC3747A8DE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C6FB7B2E-E631-47AD-94F7-6886D3E1C30E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39DF46C2-A915-4C72-B603-C399A77129F4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409DD255-FAF9-4C07-90BF-F1B541AC9E1A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4" name="文字方塊 8">
          <a:extLst>
            <a:ext uri="{FF2B5EF4-FFF2-40B4-BE49-F238E27FC236}">
              <a16:creationId xmlns:a16="http://schemas.microsoft.com/office/drawing/2014/main" id="{D0E79721-4FC6-4BCE-817E-FCA3C5FA9EB0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5" name="文字方塊 9">
          <a:extLst>
            <a:ext uri="{FF2B5EF4-FFF2-40B4-BE49-F238E27FC236}">
              <a16:creationId xmlns:a16="http://schemas.microsoft.com/office/drawing/2014/main" id="{F87EDEF2-3992-45EC-8419-38CC3EF8B70A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3BD63F22-47C5-4EDD-A448-5801B27260A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B0258EA8-C000-4327-BAB3-DE97A5554EF3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EB5FB69A-7283-4A25-BFE4-3F44F228145C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AA4C86F8-EA8B-46B6-A619-BEDAA52A2C52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027E0C43-B437-44FD-828E-805DE7B02395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28A44D3F-95FA-4043-92DB-FF70945E9858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2" name="文字方塊 31">
          <a:extLst>
            <a:ext uri="{FF2B5EF4-FFF2-40B4-BE49-F238E27FC236}">
              <a16:creationId xmlns:a16="http://schemas.microsoft.com/office/drawing/2014/main" id="{0547590A-230B-4545-AB34-56721C2107B7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3" name="文字方塊 32">
          <a:extLst>
            <a:ext uri="{FF2B5EF4-FFF2-40B4-BE49-F238E27FC236}">
              <a16:creationId xmlns:a16="http://schemas.microsoft.com/office/drawing/2014/main" id="{6369F56C-0D0C-4BF9-B067-EE76E50828A9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E173E37B-3E51-4B68-BE31-9E2EE08AD8CD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1A63846C-F586-4BC6-8235-F0E906D309F2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6" name="文字方塊 35">
          <a:extLst>
            <a:ext uri="{FF2B5EF4-FFF2-40B4-BE49-F238E27FC236}">
              <a16:creationId xmlns:a16="http://schemas.microsoft.com/office/drawing/2014/main" id="{B62803AF-F5C2-4BD1-9C47-CA490521287B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FA886004-F501-4D27-9ED1-EC4865F85DD9}"/>
            </a:ext>
          </a:extLst>
        </xdr:cNvPr>
        <xdr:cNvSpPr txBox="1">
          <a:spLocks noChangeAspect="1"/>
        </xdr:cNvSpPr>
      </xdr:nvSpPr>
      <xdr:spPr>
        <a:xfrm>
          <a:off x="79502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38" name="文字方塊 8">
          <a:extLst>
            <a:ext uri="{FF2B5EF4-FFF2-40B4-BE49-F238E27FC236}">
              <a16:creationId xmlns:a16="http://schemas.microsoft.com/office/drawing/2014/main" id="{57F937DB-CF3D-4E90-9A3C-8F67C8BA66BA}"/>
            </a:ext>
          </a:extLst>
        </xdr:cNvPr>
        <xdr:cNvSpPr txBox="1"/>
      </xdr:nvSpPr>
      <xdr:spPr>
        <a:xfrm>
          <a:off x="79502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39" name="文字方塊 9">
          <a:extLst>
            <a:ext uri="{FF2B5EF4-FFF2-40B4-BE49-F238E27FC236}">
              <a16:creationId xmlns:a16="http://schemas.microsoft.com/office/drawing/2014/main" id="{80513C67-ECEA-4F91-890B-715400B383BD}"/>
            </a:ext>
          </a:extLst>
        </xdr:cNvPr>
        <xdr:cNvSpPr txBox="1">
          <a:spLocks noChangeAspect="1"/>
        </xdr:cNvSpPr>
      </xdr:nvSpPr>
      <xdr:spPr>
        <a:xfrm>
          <a:off x="79502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0" name="文字方塊 39">
          <a:extLst>
            <a:ext uri="{FF2B5EF4-FFF2-40B4-BE49-F238E27FC236}">
              <a16:creationId xmlns:a16="http://schemas.microsoft.com/office/drawing/2014/main" id="{BDE795B4-F557-45B9-AEF7-1BCA13D394E5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1" name="文字方塊 40">
          <a:extLst>
            <a:ext uri="{FF2B5EF4-FFF2-40B4-BE49-F238E27FC236}">
              <a16:creationId xmlns:a16="http://schemas.microsoft.com/office/drawing/2014/main" id="{4DE3856D-67A7-4BEA-8987-A663640B92EE}"/>
            </a:ext>
          </a:extLst>
        </xdr:cNvPr>
        <xdr:cNvSpPr txBox="1">
          <a:spLocks noChangeAspect="1"/>
        </xdr:cNvSpPr>
      </xdr:nvSpPr>
      <xdr:spPr>
        <a:xfrm>
          <a:off x="79502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265AA8D4-4C83-494D-AB10-9319C128F8E6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8E0E5B29-9A75-4B8E-B6B1-1752024B0DBA}"/>
            </a:ext>
          </a:extLst>
        </xdr:cNvPr>
        <xdr:cNvSpPr txBox="1">
          <a:spLocks noChangeAspect="1"/>
        </xdr:cNvSpPr>
      </xdr:nvSpPr>
      <xdr:spPr>
        <a:xfrm>
          <a:off x="79502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6C8649FF-22FE-40B5-A914-580847B053B9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5" name="文字方塊 44">
          <a:extLst>
            <a:ext uri="{FF2B5EF4-FFF2-40B4-BE49-F238E27FC236}">
              <a16:creationId xmlns:a16="http://schemas.microsoft.com/office/drawing/2014/main" id="{30AB4CE3-247F-4CE0-99B5-47C01346A1CB}"/>
            </a:ext>
          </a:extLst>
        </xdr:cNvPr>
        <xdr:cNvSpPr txBox="1">
          <a:spLocks noChangeAspect="1"/>
        </xdr:cNvSpPr>
      </xdr:nvSpPr>
      <xdr:spPr>
        <a:xfrm>
          <a:off x="79502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3B690D1E-16BD-4B47-AD15-0B64095F01D0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06BAB59C-DAB3-4E8E-9E74-BB5DE147300E}"/>
            </a:ext>
          </a:extLst>
        </xdr:cNvPr>
        <xdr:cNvSpPr txBox="1">
          <a:spLocks noChangeAspect="1"/>
        </xdr:cNvSpPr>
      </xdr:nvSpPr>
      <xdr:spPr>
        <a:xfrm>
          <a:off x="79502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8" name="文字方塊 47">
          <a:extLst>
            <a:ext uri="{FF2B5EF4-FFF2-40B4-BE49-F238E27FC236}">
              <a16:creationId xmlns:a16="http://schemas.microsoft.com/office/drawing/2014/main" id="{D0440C2F-2FC3-471F-94AF-2388E8AE6108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9" name="文字方塊 48">
          <a:extLst>
            <a:ext uri="{FF2B5EF4-FFF2-40B4-BE49-F238E27FC236}">
              <a16:creationId xmlns:a16="http://schemas.microsoft.com/office/drawing/2014/main" id="{18A07B4B-AC38-4123-AA95-864B17C4EDB1}"/>
            </a:ext>
          </a:extLst>
        </xdr:cNvPr>
        <xdr:cNvSpPr txBox="1">
          <a:spLocks noChangeAspect="1"/>
        </xdr:cNvSpPr>
      </xdr:nvSpPr>
      <xdr:spPr>
        <a:xfrm>
          <a:off x="79502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7457B550-CC93-4F41-8BD3-D4B4DF3668DD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0FA0A340-DAA2-4BA1-9AC2-66D45879EE3A}"/>
            </a:ext>
          </a:extLst>
        </xdr:cNvPr>
        <xdr:cNvSpPr txBox="1">
          <a:spLocks noChangeAspect="1"/>
        </xdr:cNvSpPr>
      </xdr:nvSpPr>
      <xdr:spPr>
        <a:xfrm>
          <a:off x="79502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2" name="文字方塊 8">
          <a:extLst>
            <a:ext uri="{FF2B5EF4-FFF2-40B4-BE49-F238E27FC236}">
              <a16:creationId xmlns:a16="http://schemas.microsoft.com/office/drawing/2014/main" id="{550DFAAD-0557-434B-B6EC-D3E4E462FD93}"/>
            </a:ext>
          </a:extLst>
        </xdr:cNvPr>
        <xdr:cNvSpPr txBox="1"/>
      </xdr:nvSpPr>
      <xdr:spPr>
        <a:xfrm>
          <a:off x="79502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53" name="文字方塊 9">
          <a:extLst>
            <a:ext uri="{FF2B5EF4-FFF2-40B4-BE49-F238E27FC236}">
              <a16:creationId xmlns:a16="http://schemas.microsoft.com/office/drawing/2014/main" id="{9349BD12-EA45-4150-8E31-9FB874D32A1C}"/>
            </a:ext>
          </a:extLst>
        </xdr:cNvPr>
        <xdr:cNvSpPr txBox="1">
          <a:spLocks noChangeAspect="1"/>
        </xdr:cNvSpPr>
      </xdr:nvSpPr>
      <xdr:spPr>
        <a:xfrm>
          <a:off x="79502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E4E762A5-6F4B-443A-BDA4-F52213238FC6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BAB08BF7-AB01-48F3-9F49-B29DCD17A597}"/>
            </a:ext>
          </a:extLst>
        </xdr:cNvPr>
        <xdr:cNvSpPr txBox="1">
          <a:spLocks noChangeAspect="1"/>
        </xdr:cNvSpPr>
      </xdr:nvSpPr>
      <xdr:spPr>
        <a:xfrm>
          <a:off x="79502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6" name="文字方塊 55">
          <a:extLst>
            <a:ext uri="{FF2B5EF4-FFF2-40B4-BE49-F238E27FC236}">
              <a16:creationId xmlns:a16="http://schemas.microsoft.com/office/drawing/2014/main" id="{1F955F9F-D994-4F1C-ABA7-1E307184ECDA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7" name="文字方塊 56">
          <a:extLst>
            <a:ext uri="{FF2B5EF4-FFF2-40B4-BE49-F238E27FC236}">
              <a16:creationId xmlns:a16="http://schemas.microsoft.com/office/drawing/2014/main" id="{A0038003-EA54-4EF0-B9E1-365301C2F93A}"/>
            </a:ext>
          </a:extLst>
        </xdr:cNvPr>
        <xdr:cNvSpPr txBox="1">
          <a:spLocks noChangeAspect="1"/>
        </xdr:cNvSpPr>
      </xdr:nvSpPr>
      <xdr:spPr>
        <a:xfrm>
          <a:off x="79502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05118E3F-A0C3-4B86-9CD3-503DE26C62B2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9" name="文字方塊 58">
          <a:extLst>
            <a:ext uri="{FF2B5EF4-FFF2-40B4-BE49-F238E27FC236}">
              <a16:creationId xmlns:a16="http://schemas.microsoft.com/office/drawing/2014/main" id="{155146C0-3555-438B-AF00-99F022BA8712}"/>
            </a:ext>
          </a:extLst>
        </xdr:cNvPr>
        <xdr:cNvSpPr txBox="1">
          <a:spLocks noChangeAspect="1"/>
        </xdr:cNvSpPr>
      </xdr:nvSpPr>
      <xdr:spPr>
        <a:xfrm>
          <a:off x="79502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0" name="文字方塊 8">
          <a:extLst>
            <a:ext uri="{FF2B5EF4-FFF2-40B4-BE49-F238E27FC236}">
              <a16:creationId xmlns:a16="http://schemas.microsoft.com/office/drawing/2014/main" id="{0D5CD154-2948-4BE7-8E38-822B1E2C03C7}"/>
            </a:ext>
          </a:extLst>
        </xdr:cNvPr>
        <xdr:cNvSpPr txBox="1"/>
      </xdr:nvSpPr>
      <xdr:spPr>
        <a:xfrm>
          <a:off x="79502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61" name="文字方塊 9">
          <a:extLst>
            <a:ext uri="{FF2B5EF4-FFF2-40B4-BE49-F238E27FC236}">
              <a16:creationId xmlns:a16="http://schemas.microsoft.com/office/drawing/2014/main" id="{D73A254D-F638-43ED-AB9E-0CCBB6B65A67}"/>
            </a:ext>
          </a:extLst>
        </xdr:cNvPr>
        <xdr:cNvSpPr txBox="1">
          <a:spLocks noChangeAspect="1"/>
        </xdr:cNvSpPr>
      </xdr:nvSpPr>
      <xdr:spPr>
        <a:xfrm>
          <a:off x="79502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138AF765-E273-4F69-A48D-E80C5942D502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3" name="文字方塊 62">
          <a:extLst>
            <a:ext uri="{FF2B5EF4-FFF2-40B4-BE49-F238E27FC236}">
              <a16:creationId xmlns:a16="http://schemas.microsoft.com/office/drawing/2014/main" id="{BC7B20BA-CF5B-4221-A38A-5E41B5D5D9B9}"/>
            </a:ext>
          </a:extLst>
        </xdr:cNvPr>
        <xdr:cNvSpPr txBox="1">
          <a:spLocks noChangeAspect="1"/>
        </xdr:cNvSpPr>
      </xdr:nvSpPr>
      <xdr:spPr>
        <a:xfrm>
          <a:off x="79502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4" name="文字方塊 63">
          <a:extLst>
            <a:ext uri="{FF2B5EF4-FFF2-40B4-BE49-F238E27FC236}">
              <a16:creationId xmlns:a16="http://schemas.microsoft.com/office/drawing/2014/main" id="{C5E01DBA-B5F4-4B7C-B22B-5B5ADC6440A2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5" name="文字方塊 64">
          <a:extLst>
            <a:ext uri="{FF2B5EF4-FFF2-40B4-BE49-F238E27FC236}">
              <a16:creationId xmlns:a16="http://schemas.microsoft.com/office/drawing/2014/main" id="{C5BF632D-283D-44A7-814B-12C3D5962F74}"/>
            </a:ext>
          </a:extLst>
        </xdr:cNvPr>
        <xdr:cNvSpPr txBox="1">
          <a:spLocks noChangeAspect="1"/>
        </xdr:cNvSpPr>
      </xdr:nvSpPr>
      <xdr:spPr>
        <a:xfrm>
          <a:off x="79502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09B7143D-3EB8-4EAE-9C2A-835E12A9255E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7" name="文字方塊 66">
          <a:extLst>
            <a:ext uri="{FF2B5EF4-FFF2-40B4-BE49-F238E27FC236}">
              <a16:creationId xmlns:a16="http://schemas.microsoft.com/office/drawing/2014/main" id="{0F213B17-C88A-41D0-AEF2-1F07EE92E46D}"/>
            </a:ext>
          </a:extLst>
        </xdr:cNvPr>
        <xdr:cNvSpPr txBox="1">
          <a:spLocks noChangeAspect="1"/>
        </xdr:cNvSpPr>
      </xdr:nvSpPr>
      <xdr:spPr>
        <a:xfrm>
          <a:off x="79502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8" name="文字方塊 8">
          <a:extLst>
            <a:ext uri="{FF2B5EF4-FFF2-40B4-BE49-F238E27FC236}">
              <a16:creationId xmlns:a16="http://schemas.microsoft.com/office/drawing/2014/main" id="{BA06A148-FAF1-4B7E-AEBE-2CF0FBB112F5}"/>
            </a:ext>
          </a:extLst>
        </xdr:cNvPr>
        <xdr:cNvSpPr txBox="1"/>
      </xdr:nvSpPr>
      <xdr:spPr>
        <a:xfrm>
          <a:off x="79502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69" name="文字方塊 9">
          <a:extLst>
            <a:ext uri="{FF2B5EF4-FFF2-40B4-BE49-F238E27FC236}">
              <a16:creationId xmlns:a16="http://schemas.microsoft.com/office/drawing/2014/main" id="{FF9CF579-EBB4-4D8F-A4A2-6C1E6A91543C}"/>
            </a:ext>
          </a:extLst>
        </xdr:cNvPr>
        <xdr:cNvSpPr txBox="1">
          <a:spLocks noChangeAspect="1"/>
        </xdr:cNvSpPr>
      </xdr:nvSpPr>
      <xdr:spPr>
        <a:xfrm>
          <a:off x="79502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A721ABCE-A91E-4CAE-ABA0-C272083C27B5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234B9A42-AE44-4BE2-AA16-84F46F5A2EEC}"/>
            </a:ext>
          </a:extLst>
        </xdr:cNvPr>
        <xdr:cNvSpPr txBox="1">
          <a:spLocks noChangeAspect="1"/>
        </xdr:cNvSpPr>
      </xdr:nvSpPr>
      <xdr:spPr>
        <a:xfrm>
          <a:off x="79502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2" name="文字方塊 71">
          <a:extLst>
            <a:ext uri="{FF2B5EF4-FFF2-40B4-BE49-F238E27FC236}">
              <a16:creationId xmlns:a16="http://schemas.microsoft.com/office/drawing/2014/main" id="{0C7DCE32-2F55-46EA-A0BF-3424660EE78E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73" name="文字方塊 72">
          <a:extLst>
            <a:ext uri="{FF2B5EF4-FFF2-40B4-BE49-F238E27FC236}">
              <a16:creationId xmlns:a16="http://schemas.microsoft.com/office/drawing/2014/main" id="{6E44FDB2-449E-4088-8CFF-B07F5852B47A}"/>
            </a:ext>
          </a:extLst>
        </xdr:cNvPr>
        <xdr:cNvSpPr txBox="1">
          <a:spLocks noChangeAspect="1"/>
        </xdr:cNvSpPr>
      </xdr:nvSpPr>
      <xdr:spPr>
        <a:xfrm>
          <a:off x="79502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4" name="文字方塊 73">
          <a:extLst>
            <a:ext uri="{FF2B5EF4-FFF2-40B4-BE49-F238E27FC236}">
              <a16:creationId xmlns:a16="http://schemas.microsoft.com/office/drawing/2014/main" id="{C6B031E2-C72D-4F33-B48E-BE4CCE05B237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75" name="文字方塊 74">
          <a:extLst>
            <a:ext uri="{FF2B5EF4-FFF2-40B4-BE49-F238E27FC236}">
              <a16:creationId xmlns:a16="http://schemas.microsoft.com/office/drawing/2014/main" id="{6E9F145D-6F6C-4D0A-8A15-723EE3119EED}"/>
            </a:ext>
          </a:extLst>
        </xdr:cNvPr>
        <xdr:cNvSpPr txBox="1">
          <a:spLocks noChangeAspect="1"/>
        </xdr:cNvSpPr>
      </xdr:nvSpPr>
      <xdr:spPr>
        <a:xfrm>
          <a:off x="79502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6" name="文字方塊 8">
          <a:extLst>
            <a:ext uri="{FF2B5EF4-FFF2-40B4-BE49-F238E27FC236}">
              <a16:creationId xmlns:a16="http://schemas.microsoft.com/office/drawing/2014/main" id="{7281C512-6B14-4979-B303-212BFE186BB0}"/>
            </a:ext>
          </a:extLst>
        </xdr:cNvPr>
        <xdr:cNvSpPr txBox="1"/>
      </xdr:nvSpPr>
      <xdr:spPr>
        <a:xfrm>
          <a:off x="79502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77" name="文字方塊 9">
          <a:extLst>
            <a:ext uri="{FF2B5EF4-FFF2-40B4-BE49-F238E27FC236}">
              <a16:creationId xmlns:a16="http://schemas.microsoft.com/office/drawing/2014/main" id="{71054053-202F-42E5-8B64-50D209087FA7}"/>
            </a:ext>
          </a:extLst>
        </xdr:cNvPr>
        <xdr:cNvSpPr txBox="1">
          <a:spLocks noChangeAspect="1"/>
        </xdr:cNvSpPr>
      </xdr:nvSpPr>
      <xdr:spPr>
        <a:xfrm>
          <a:off x="79502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8" name="文字方塊 77">
          <a:extLst>
            <a:ext uri="{FF2B5EF4-FFF2-40B4-BE49-F238E27FC236}">
              <a16:creationId xmlns:a16="http://schemas.microsoft.com/office/drawing/2014/main" id="{9B6E756A-853A-47A2-B6AF-EFFA45D9BC8F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79" name="文字方塊 78">
          <a:extLst>
            <a:ext uri="{FF2B5EF4-FFF2-40B4-BE49-F238E27FC236}">
              <a16:creationId xmlns:a16="http://schemas.microsoft.com/office/drawing/2014/main" id="{351BEFC3-E83D-4647-9502-D7A238BC628B}"/>
            </a:ext>
          </a:extLst>
        </xdr:cNvPr>
        <xdr:cNvSpPr txBox="1">
          <a:spLocks noChangeAspect="1"/>
        </xdr:cNvSpPr>
      </xdr:nvSpPr>
      <xdr:spPr>
        <a:xfrm>
          <a:off x="79502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0" name="文字方塊 79">
          <a:extLst>
            <a:ext uri="{FF2B5EF4-FFF2-40B4-BE49-F238E27FC236}">
              <a16:creationId xmlns:a16="http://schemas.microsoft.com/office/drawing/2014/main" id="{718629B3-E484-4708-BB0E-705172D6D59F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81" name="文字方塊 80">
          <a:extLst>
            <a:ext uri="{FF2B5EF4-FFF2-40B4-BE49-F238E27FC236}">
              <a16:creationId xmlns:a16="http://schemas.microsoft.com/office/drawing/2014/main" id="{A1D71529-4214-4EF4-A510-A42662C17D05}"/>
            </a:ext>
          </a:extLst>
        </xdr:cNvPr>
        <xdr:cNvSpPr txBox="1">
          <a:spLocks noChangeAspect="1"/>
        </xdr:cNvSpPr>
      </xdr:nvSpPr>
      <xdr:spPr>
        <a:xfrm>
          <a:off x="79502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2" name="文字方塊 81">
          <a:extLst>
            <a:ext uri="{FF2B5EF4-FFF2-40B4-BE49-F238E27FC236}">
              <a16:creationId xmlns:a16="http://schemas.microsoft.com/office/drawing/2014/main" id="{3D59B987-F3B0-486C-A368-D905B7BF53D8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83" name="文字方塊 82">
          <a:extLst>
            <a:ext uri="{FF2B5EF4-FFF2-40B4-BE49-F238E27FC236}">
              <a16:creationId xmlns:a16="http://schemas.microsoft.com/office/drawing/2014/main" id="{74148109-8A2E-479C-BAEB-A4281CC05E98}"/>
            </a:ext>
          </a:extLst>
        </xdr:cNvPr>
        <xdr:cNvSpPr txBox="1">
          <a:spLocks noChangeAspect="1"/>
        </xdr:cNvSpPr>
      </xdr:nvSpPr>
      <xdr:spPr>
        <a:xfrm>
          <a:off x="79502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4" name="文字方塊 8">
          <a:extLst>
            <a:ext uri="{FF2B5EF4-FFF2-40B4-BE49-F238E27FC236}">
              <a16:creationId xmlns:a16="http://schemas.microsoft.com/office/drawing/2014/main" id="{DC36AF30-6CC2-40DE-9553-A586F9FBBD92}"/>
            </a:ext>
          </a:extLst>
        </xdr:cNvPr>
        <xdr:cNvSpPr txBox="1"/>
      </xdr:nvSpPr>
      <xdr:spPr>
        <a:xfrm>
          <a:off x="79502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85" name="文字方塊 9">
          <a:extLst>
            <a:ext uri="{FF2B5EF4-FFF2-40B4-BE49-F238E27FC236}">
              <a16:creationId xmlns:a16="http://schemas.microsoft.com/office/drawing/2014/main" id="{15DCAF3E-8281-4CF4-B1DF-F0FF6AFF409D}"/>
            </a:ext>
          </a:extLst>
        </xdr:cNvPr>
        <xdr:cNvSpPr txBox="1">
          <a:spLocks noChangeAspect="1"/>
        </xdr:cNvSpPr>
      </xdr:nvSpPr>
      <xdr:spPr>
        <a:xfrm>
          <a:off x="79502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6" name="文字方塊 85">
          <a:extLst>
            <a:ext uri="{FF2B5EF4-FFF2-40B4-BE49-F238E27FC236}">
              <a16:creationId xmlns:a16="http://schemas.microsoft.com/office/drawing/2014/main" id="{D042531C-CD5B-4026-B1A4-534C1BAB2012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87" name="文字方塊 86">
          <a:extLst>
            <a:ext uri="{FF2B5EF4-FFF2-40B4-BE49-F238E27FC236}">
              <a16:creationId xmlns:a16="http://schemas.microsoft.com/office/drawing/2014/main" id="{F8F4157E-ED07-4C6A-8901-DA3BE9E81890}"/>
            </a:ext>
          </a:extLst>
        </xdr:cNvPr>
        <xdr:cNvSpPr txBox="1">
          <a:spLocks noChangeAspect="1"/>
        </xdr:cNvSpPr>
      </xdr:nvSpPr>
      <xdr:spPr>
        <a:xfrm>
          <a:off x="79502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8" name="文字方塊 87">
          <a:extLst>
            <a:ext uri="{FF2B5EF4-FFF2-40B4-BE49-F238E27FC236}">
              <a16:creationId xmlns:a16="http://schemas.microsoft.com/office/drawing/2014/main" id="{6A2DCE30-CA60-4E48-A134-A1DF1E22A291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89" name="文字方塊 88">
          <a:extLst>
            <a:ext uri="{FF2B5EF4-FFF2-40B4-BE49-F238E27FC236}">
              <a16:creationId xmlns:a16="http://schemas.microsoft.com/office/drawing/2014/main" id="{963285F5-C5F8-4187-BFB1-DA701CC3A899}"/>
            </a:ext>
          </a:extLst>
        </xdr:cNvPr>
        <xdr:cNvSpPr txBox="1">
          <a:spLocks noChangeAspect="1"/>
        </xdr:cNvSpPr>
      </xdr:nvSpPr>
      <xdr:spPr>
        <a:xfrm>
          <a:off x="79502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0" name="文字方塊 89">
          <a:extLst>
            <a:ext uri="{FF2B5EF4-FFF2-40B4-BE49-F238E27FC236}">
              <a16:creationId xmlns:a16="http://schemas.microsoft.com/office/drawing/2014/main" id="{1E3BFDD6-553B-401B-9457-2F3F9C563E2D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1" name="文字方塊 90">
          <a:extLst>
            <a:ext uri="{FF2B5EF4-FFF2-40B4-BE49-F238E27FC236}">
              <a16:creationId xmlns:a16="http://schemas.microsoft.com/office/drawing/2014/main" id="{46E916C2-E0FB-410D-8C34-F6B3145D46DB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92" name="文字方塊 8">
          <a:extLst>
            <a:ext uri="{FF2B5EF4-FFF2-40B4-BE49-F238E27FC236}">
              <a16:creationId xmlns:a16="http://schemas.microsoft.com/office/drawing/2014/main" id="{40F1B680-5347-46F4-80AB-E455676F17CA}"/>
            </a:ext>
          </a:extLst>
        </xdr:cNvPr>
        <xdr:cNvSpPr txBox="1"/>
      </xdr:nvSpPr>
      <xdr:spPr>
        <a:xfrm>
          <a:off x="79502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3" name="文字方塊 92">
          <a:extLst>
            <a:ext uri="{FF2B5EF4-FFF2-40B4-BE49-F238E27FC236}">
              <a16:creationId xmlns:a16="http://schemas.microsoft.com/office/drawing/2014/main" id="{05FCECD7-F220-40E0-869D-239043C8F15A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4" name="文字方塊 93">
          <a:extLst>
            <a:ext uri="{FF2B5EF4-FFF2-40B4-BE49-F238E27FC236}">
              <a16:creationId xmlns:a16="http://schemas.microsoft.com/office/drawing/2014/main" id="{B119FFFA-0510-4051-A905-3A6A6D4ED22D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5" name="文字方塊 94">
          <a:extLst>
            <a:ext uri="{FF2B5EF4-FFF2-40B4-BE49-F238E27FC236}">
              <a16:creationId xmlns:a16="http://schemas.microsoft.com/office/drawing/2014/main" id="{A9999F8D-5A37-489E-B933-3B73B1212E10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96" name="文字方塊 8">
          <a:extLst>
            <a:ext uri="{FF2B5EF4-FFF2-40B4-BE49-F238E27FC236}">
              <a16:creationId xmlns:a16="http://schemas.microsoft.com/office/drawing/2014/main" id="{EF222CB0-051C-4963-89DB-F9CA8A45C5FC}"/>
            </a:ext>
          </a:extLst>
        </xdr:cNvPr>
        <xdr:cNvSpPr txBox="1"/>
      </xdr:nvSpPr>
      <xdr:spPr>
        <a:xfrm>
          <a:off x="79502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7" name="文字方塊 96">
          <a:extLst>
            <a:ext uri="{FF2B5EF4-FFF2-40B4-BE49-F238E27FC236}">
              <a16:creationId xmlns:a16="http://schemas.microsoft.com/office/drawing/2014/main" id="{828986E5-060C-4F2D-9662-36015A0858A7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8" name="文字方塊 97">
          <a:extLst>
            <a:ext uri="{FF2B5EF4-FFF2-40B4-BE49-F238E27FC236}">
              <a16:creationId xmlns:a16="http://schemas.microsoft.com/office/drawing/2014/main" id="{7C8A2FAA-A8C9-4CA7-A755-1FDE66F1653B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9" name="文字方塊 98">
          <a:extLst>
            <a:ext uri="{FF2B5EF4-FFF2-40B4-BE49-F238E27FC236}">
              <a16:creationId xmlns:a16="http://schemas.microsoft.com/office/drawing/2014/main" id="{6E27F36C-B8A5-4119-BCA5-ACE8E624066E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0" name="文字方塊 8">
          <a:extLst>
            <a:ext uri="{FF2B5EF4-FFF2-40B4-BE49-F238E27FC236}">
              <a16:creationId xmlns:a16="http://schemas.microsoft.com/office/drawing/2014/main" id="{B127BBCA-7A03-49F1-91AD-9F34530E6E3E}"/>
            </a:ext>
          </a:extLst>
        </xdr:cNvPr>
        <xdr:cNvSpPr txBox="1"/>
      </xdr:nvSpPr>
      <xdr:spPr>
        <a:xfrm>
          <a:off x="79502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1" name="文字方塊 100">
          <a:extLst>
            <a:ext uri="{FF2B5EF4-FFF2-40B4-BE49-F238E27FC236}">
              <a16:creationId xmlns:a16="http://schemas.microsoft.com/office/drawing/2014/main" id="{2962C49D-B5D4-4B6F-9295-8E23A23E1850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2" name="文字方塊 101">
          <a:extLst>
            <a:ext uri="{FF2B5EF4-FFF2-40B4-BE49-F238E27FC236}">
              <a16:creationId xmlns:a16="http://schemas.microsoft.com/office/drawing/2014/main" id="{17AE8473-5466-40A8-A790-14150A5A2E01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3" name="文字方塊 102">
          <a:extLst>
            <a:ext uri="{FF2B5EF4-FFF2-40B4-BE49-F238E27FC236}">
              <a16:creationId xmlns:a16="http://schemas.microsoft.com/office/drawing/2014/main" id="{7E9DB2B6-8742-423A-98A7-FB8F238A82F4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4" name="文字方塊 8">
          <a:extLst>
            <a:ext uri="{FF2B5EF4-FFF2-40B4-BE49-F238E27FC236}">
              <a16:creationId xmlns:a16="http://schemas.microsoft.com/office/drawing/2014/main" id="{2434AFC9-67BE-4ADF-B750-AA46E575C281}"/>
            </a:ext>
          </a:extLst>
        </xdr:cNvPr>
        <xdr:cNvSpPr txBox="1"/>
      </xdr:nvSpPr>
      <xdr:spPr>
        <a:xfrm>
          <a:off x="79502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5" name="文字方塊 104">
          <a:extLst>
            <a:ext uri="{FF2B5EF4-FFF2-40B4-BE49-F238E27FC236}">
              <a16:creationId xmlns:a16="http://schemas.microsoft.com/office/drawing/2014/main" id="{5421844B-51AA-4936-8FC0-35C0839781F5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6" name="文字方塊 105">
          <a:extLst>
            <a:ext uri="{FF2B5EF4-FFF2-40B4-BE49-F238E27FC236}">
              <a16:creationId xmlns:a16="http://schemas.microsoft.com/office/drawing/2014/main" id="{FC3137F4-FAC2-4F8E-8D0C-A75087992398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7" name="文字方塊 106">
          <a:extLst>
            <a:ext uri="{FF2B5EF4-FFF2-40B4-BE49-F238E27FC236}">
              <a16:creationId xmlns:a16="http://schemas.microsoft.com/office/drawing/2014/main" id="{1A156E51-B313-41D7-9EDD-AD382F2FECE5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8" name="文字方塊 8">
          <a:extLst>
            <a:ext uri="{FF2B5EF4-FFF2-40B4-BE49-F238E27FC236}">
              <a16:creationId xmlns:a16="http://schemas.microsoft.com/office/drawing/2014/main" id="{B38B7614-C5FA-494C-B67E-2CD191AA7218}"/>
            </a:ext>
          </a:extLst>
        </xdr:cNvPr>
        <xdr:cNvSpPr txBox="1"/>
      </xdr:nvSpPr>
      <xdr:spPr>
        <a:xfrm>
          <a:off x="79502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9" name="文字方塊 108">
          <a:extLst>
            <a:ext uri="{FF2B5EF4-FFF2-40B4-BE49-F238E27FC236}">
              <a16:creationId xmlns:a16="http://schemas.microsoft.com/office/drawing/2014/main" id="{EB4E62D7-12B8-4F57-A99F-EEBD45844274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0" name="文字方塊 109">
          <a:extLst>
            <a:ext uri="{FF2B5EF4-FFF2-40B4-BE49-F238E27FC236}">
              <a16:creationId xmlns:a16="http://schemas.microsoft.com/office/drawing/2014/main" id="{857AFC4A-560B-4197-BA93-8AF188BD0379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1" name="文字方塊 110">
          <a:extLst>
            <a:ext uri="{FF2B5EF4-FFF2-40B4-BE49-F238E27FC236}">
              <a16:creationId xmlns:a16="http://schemas.microsoft.com/office/drawing/2014/main" id="{D0613726-D4F8-46D1-B6A4-26B37611CAE1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12" name="文字方塊 8">
          <a:extLst>
            <a:ext uri="{FF2B5EF4-FFF2-40B4-BE49-F238E27FC236}">
              <a16:creationId xmlns:a16="http://schemas.microsoft.com/office/drawing/2014/main" id="{F8CD2D2F-30C2-4098-93FD-4A6243A6B41C}"/>
            </a:ext>
          </a:extLst>
        </xdr:cNvPr>
        <xdr:cNvSpPr txBox="1"/>
      </xdr:nvSpPr>
      <xdr:spPr>
        <a:xfrm>
          <a:off x="79502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3" name="文字方塊 112">
          <a:extLst>
            <a:ext uri="{FF2B5EF4-FFF2-40B4-BE49-F238E27FC236}">
              <a16:creationId xmlns:a16="http://schemas.microsoft.com/office/drawing/2014/main" id="{212DE069-AC2E-4011-AC16-1A4D251D9216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4" name="文字方塊 113">
          <a:extLst>
            <a:ext uri="{FF2B5EF4-FFF2-40B4-BE49-F238E27FC236}">
              <a16:creationId xmlns:a16="http://schemas.microsoft.com/office/drawing/2014/main" id="{4DD7DEF3-4F45-48D8-817B-6544D30EFE30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5" name="文字方塊 114">
          <a:extLst>
            <a:ext uri="{FF2B5EF4-FFF2-40B4-BE49-F238E27FC236}">
              <a16:creationId xmlns:a16="http://schemas.microsoft.com/office/drawing/2014/main" id="{570BC8E7-9A22-4D76-B844-D7EF55B3E350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16" name="文字方塊 8">
          <a:extLst>
            <a:ext uri="{FF2B5EF4-FFF2-40B4-BE49-F238E27FC236}">
              <a16:creationId xmlns:a16="http://schemas.microsoft.com/office/drawing/2014/main" id="{93D21402-24BF-4877-ABC5-4B2804797E18}"/>
            </a:ext>
          </a:extLst>
        </xdr:cNvPr>
        <xdr:cNvSpPr txBox="1"/>
      </xdr:nvSpPr>
      <xdr:spPr>
        <a:xfrm>
          <a:off x="79502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7" name="文字方塊 116">
          <a:extLst>
            <a:ext uri="{FF2B5EF4-FFF2-40B4-BE49-F238E27FC236}">
              <a16:creationId xmlns:a16="http://schemas.microsoft.com/office/drawing/2014/main" id="{662E83F2-EEE0-459B-B546-7908F9024725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18" name="文字方塊 117">
          <a:extLst>
            <a:ext uri="{FF2B5EF4-FFF2-40B4-BE49-F238E27FC236}">
              <a16:creationId xmlns:a16="http://schemas.microsoft.com/office/drawing/2014/main" id="{90B080AB-AEBC-410C-88FD-FAED730773C4}"/>
            </a:ext>
          </a:extLst>
        </xdr:cNvPr>
        <xdr:cNvSpPr txBox="1"/>
      </xdr:nvSpPr>
      <xdr:spPr>
        <a:xfrm>
          <a:off x="79502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29.xml><?xml version="1.0" encoding="utf-8"?>
<xdr:wsDr xmlns:xdr="http://schemas.openxmlformats.org/drawingml/2006/spreadsheetDrawing" xmlns:a="http://schemas.openxmlformats.org/drawingml/2006/main"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1689A964-4AF6-44C6-B14D-646B7C128EE6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2A047664-BB12-43D3-AE5D-DFE7F2EE9A49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twoCellAnchor editAs="oneCell">
    <xdr:from>
      <xdr:col>3</xdr:col>
      <xdr:colOff>123269</xdr:colOff>
      <xdr:row>1</xdr:row>
      <xdr:rowOff>56021</xdr:rowOff>
    </xdr:from>
    <xdr:to>
      <xdr:col>5</xdr:col>
      <xdr:colOff>669622</xdr:colOff>
      <xdr:row>3</xdr:row>
      <xdr:rowOff>261941</xdr:rowOff>
    </xdr:to>
    <xdr:sp macro="[0]!auto_length" textlink="">
      <xdr:nvSpPr>
        <xdr:cNvPr id="4" name="矩形 3">
          <a:extLst>
            <a:ext uri="{FF2B5EF4-FFF2-40B4-BE49-F238E27FC236}">
              <a16:creationId xmlns:a16="http://schemas.microsoft.com/office/drawing/2014/main" id="{542E720A-929C-4811-A4BF-1684FF48A8C2}"/>
            </a:ext>
          </a:extLst>
        </xdr:cNvPr>
        <xdr:cNvSpPr>
          <a:spLocks noChangeAspect="1"/>
        </xdr:cNvSpPr>
      </xdr:nvSpPr>
      <xdr:spPr>
        <a:xfrm>
          <a:off x="946229" y="360821"/>
          <a:ext cx="2161793" cy="656396"/>
        </a:xfrm>
        <a:prstGeom prst="rect">
          <a:avLst/>
        </a:prstGeom>
        <a:solidFill>
          <a:schemeClr val="bg1"/>
        </a:solidFill>
        <a:ln w="38100">
          <a:solidFill>
            <a:schemeClr val="accent2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2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計算長度</a:t>
          </a:r>
        </a:p>
      </xdr:txBody>
    </xdr:sp>
    <xdr:clientData/>
  </xdr:twoCellAnchor>
  <xdr:oneCellAnchor>
    <xdr:from>
      <xdr:col>13</xdr:col>
      <xdr:colOff>134475</xdr:colOff>
      <xdr:row>1</xdr:row>
      <xdr:rowOff>56021</xdr:rowOff>
    </xdr:from>
    <xdr:ext cx="2160000" cy="360000"/>
    <xdr:sp macro="[0]!auto_angle" textlink="">
      <xdr:nvSpPr>
        <xdr:cNvPr id="5" name="矩形 4">
          <a:extLst>
            <a:ext uri="{FF2B5EF4-FFF2-40B4-BE49-F238E27FC236}">
              <a16:creationId xmlns:a16="http://schemas.microsoft.com/office/drawing/2014/main" id="{B4C7A807-1A93-472A-895D-47F7A961ED34}"/>
            </a:ext>
          </a:extLst>
        </xdr:cNvPr>
        <xdr:cNvSpPr>
          <a:spLocks noChangeAspect="1"/>
        </xdr:cNvSpPr>
      </xdr:nvSpPr>
      <xdr:spPr>
        <a:xfrm>
          <a:off x="6215235" y="360821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4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計算角度</a:t>
          </a:r>
          <a:r>
            <a:rPr lang="en-US" altLang="zh-TW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(°)</a:t>
          </a:r>
          <a:endParaRPr lang="zh-TW" altLang="en-US" sz="1600" b="1">
            <a:solidFill>
              <a:schemeClr val="accent4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oneCellAnchor>
  <xdr:oneCellAnchor>
    <xdr:from>
      <xdr:col>24</xdr:col>
      <xdr:colOff>134475</xdr:colOff>
      <xdr:row>1</xdr:row>
      <xdr:rowOff>56022</xdr:rowOff>
    </xdr:from>
    <xdr:ext cx="2160000" cy="360000"/>
    <xdr:sp macro="[0]!auto_area" textlink="">
      <xdr:nvSpPr>
        <xdr:cNvPr id="6" name="矩形 5">
          <a:extLst>
            <a:ext uri="{FF2B5EF4-FFF2-40B4-BE49-F238E27FC236}">
              <a16:creationId xmlns:a16="http://schemas.microsoft.com/office/drawing/2014/main" id="{64F27082-949A-41C2-9BD9-05BD5A6963C8}"/>
            </a:ext>
          </a:extLst>
        </xdr:cNvPr>
        <xdr:cNvSpPr>
          <a:spLocks noChangeAspect="1"/>
        </xdr:cNvSpPr>
      </xdr:nvSpPr>
      <xdr:spPr>
        <a:xfrm>
          <a:off x="11747355" y="360822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6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計算面積</a:t>
          </a:r>
        </a:p>
      </xdr:txBody>
    </xdr:sp>
    <xdr:clientData/>
  </xdr:oneCellAnchor>
  <xdr:twoCellAnchor editAs="oneCell">
    <xdr:from>
      <xdr:col>6</xdr:col>
      <xdr:colOff>85169</xdr:colOff>
      <xdr:row>1</xdr:row>
      <xdr:rowOff>51539</xdr:rowOff>
    </xdr:from>
    <xdr:to>
      <xdr:col>7</xdr:col>
      <xdr:colOff>718346</xdr:colOff>
      <xdr:row>3</xdr:row>
      <xdr:rowOff>257459</xdr:rowOff>
    </xdr:to>
    <xdr:sp macro="[0]!clear_length" textlink="">
      <xdr:nvSpPr>
        <xdr:cNvPr id="7" name="矩形 6">
          <a:extLst>
            <a:ext uri="{FF2B5EF4-FFF2-40B4-BE49-F238E27FC236}">
              <a16:creationId xmlns:a16="http://schemas.microsoft.com/office/drawing/2014/main" id="{31F53EE5-7013-4405-968F-FDD19E013CA5}"/>
            </a:ext>
          </a:extLst>
        </xdr:cNvPr>
        <xdr:cNvSpPr>
          <a:spLocks/>
        </xdr:cNvSpPr>
      </xdr:nvSpPr>
      <xdr:spPr>
        <a:xfrm>
          <a:off x="3331289" y="356339"/>
          <a:ext cx="1440897" cy="656396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twoCellAnchor>
  <xdr:oneCellAnchor>
    <xdr:from>
      <xdr:col>16</xdr:col>
      <xdr:colOff>85169</xdr:colOff>
      <xdr:row>1</xdr:row>
      <xdr:rowOff>51539</xdr:rowOff>
    </xdr:from>
    <xdr:ext cx="1440000" cy="360000"/>
    <xdr:sp macro="[0]!clear_angle" textlink="">
      <xdr:nvSpPr>
        <xdr:cNvPr id="8" name="矩形 7">
          <a:extLst>
            <a:ext uri="{FF2B5EF4-FFF2-40B4-BE49-F238E27FC236}">
              <a16:creationId xmlns:a16="http://schemas.microsoft.com/office/drawing/2014/main" id="{D7C06CC1-73AE-430E-B852-CFF1B20C4E20}"/>
            </a:ext>
          </a:extLst>
        </xdr:cNvPr>
        <xdr:cNvSpPr>
          <a:spLocks/>
        </xdr:cNvSpPr>
      </xdr:nvSpPr>
      <xdr:spPr>
        <a:xfrm>
          <a:off x="8589089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27</xdr:col>
      <xdr:colOff>85169</xdr:colOff>
      <xdr:row>1</xdr:row>
      <xdr:rowOff>51539</xdr:rowOff>
    </xdr:from>
    <xdr:ext cx="1440000" cy="360000"/>
    <xdr:sp macro="[0]!clear_area" textlink="">
      <xdr:nvSpPr>
        <xdr:cNvPr id="9" name="矩形 8">
          <a:extLst>
            <a:ext uri="{FF2B5EF4-FFF2-40B4-BE49-F238E27FC236}">
              <a16:creationId xmlns:a16="http://schemas.microsoft.com/office/drawing/2014/main" id="{41A9C3B5-44AA-47ED-A47B-917E10EEEA44}"/>
            </a:ext>
          </a:extLst>
        </xdr:cNvPr>
        <xdr:cNvSpPr>
          <a:spLocks/>
        </xdr:cNvSpPr>
      </xdr:nvSpPr>
      <xdr:spPr>
        <a:xfrm>
          <a:off x="14121209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732C4A3F-153B-42AC-B7C7-B09A7C7FDC4E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CDB54B4B-6027-48A0-8E89-4682BBFB02F7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B0BA9674-E393-4E75-BA7F-326054B3B185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E9BC1F58-33F5-429D-B24C-47D5446A88AF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86C4EF2C-5C20-487A-A76E-CCDBBE8A462A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63199EF5-3F46-45E6-A4EC-4A19A9DB37B8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6" name="文字方塊 8">
          <a:extLst>
            <a:ext uri="{FF2B5EF4-FFF2-40B4-BE49-F238E27FC236}">
              <a16:creationId xmlns:a16="http://schemas.microsoft.com/office/drawing/2014/main" id="{8912FE00-FDC6-4D58-89E8-A6C8DB905E41}"/>
            </a:ext>
          </a:extLst>
        </xdr:cNvPr>
        <xdr:cNvSpPr txBox="1"/>
      </xdr:nvSpPr>
      <xdr:spPr>
        <a:xfrm>
          <a:off x="24589740" y="162754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7" name="文字方塊 9">
          <a:extLst>
            <a:ext uri="{FF2B5EF4-FFF2-40B4-BE49-F238E27FC236}">
              <a16:creationId xmlns:a16="http://schemas.microsoft.com/office/drawing/2014/main" id="{1B3FDFC7-6169-443C-978C-A67F59DAD4A7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EAFEF4F6-3FCF-4044-9796-B9E949F0E65E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ED7A00E0-22BF-4030-86A5-AACC51237344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B10635FF-6F4F-4181-B578-45E5028E350A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9B9D6B80-53BB-4F32-910B-0FDCACC5A25F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061ACCB1-7CEB-4AF1-B2F3-1016E8EF6D81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F5C1F41A-32C5-4778-B378-C3F043EFF2E4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4" name="文字方塊 8">
          <a:extLst>
            <a:ext uri="{FF2B5EF4-FFF2-40B4-BE49-F238E27FC236}">
              <a16:creationId xmlns:a16="http://schemas.microsoft.com/office/drawing/2014/main" id="{7C639636-7A1F-44FF-A9F2-2CF93215ABEF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5" name="文字方塊 9">
          <a:extLst>
            <a:ext uri="{FF2B5EF4-FFF2-40B4-BE49-F238E27FC236}">
              <a16:creationId xmlns:a16="http://schemas.microsoft.com/office/drawing/2014/main" id="{399EB9D7-0CC3-4914-B54B-91EBE6983CF2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EBCBB19B-C56A-4A7E-8CAF-E693E2109E4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101661D1-DFC1-4F31-8913-47C69EB1F05A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DF3C4F2D-CFD6-4503-8D47-64CFAC36AEF2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E54EFC2A-A7AB-454F-A9CF-9D2B65B42A26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D7AEADC2-60D6-4432-A2A5-7C6167CF635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D00C14EB-BB9A-4AF3-9710-6342F6EB713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32" name="文字方塊 8">
          <a:extLst>
            <a:ext uri="{FF2B5EF4-FFF2-40B4-BE49-F238E27FC236}">
              <a16:creationId xmlns:a16="http://schemas.microsoft.com/office/drawing/2014/main" id="{8E2F9C3F-9D68-4D28-BC89-3C6E98880C50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33" name="文字方塊 9">
          <a:extLst>
            <a:ext uri="{FF2B5EF4-FFF2-40B4-BE49-F238E27FC236}">
              <a16:creationId xmlns:a16="http://schemas.microsoft.com/office/drawing/2014/main" id="{48A666B2-2E60-498E-A9E5-3F35BF15A12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0205654B-99F4-4CDF-85D0-6E51E53F717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2389CF20-6605-4F5A-945B-2089375B4CE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6" name="文字方塊 35">
          <a:extLst>
            <a:ext uri="{FF2B5EF4-FFF2-40B4-BE49-F238E27FC236}">
              <a16:creationId xmlns:a16="http://schemas.microsoft.com/office/drawing/2014/main" id="{D59C1114-C457-4563-ABB0-05A8EEF1686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C500A41E-D1C9-4BA9-9A5C-D0BAB7FAA03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B89FE661-EB02-4C09-AF56-4CBFC2A09BC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167F8FB2-2BE0-4CA8-A27A-6F062125F59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0" name="文字方塊 8">
          <a:extLst>
            <a:ext uri="{FF2B5EF4-FFF2-40B4-BE49-F238E27FC236}">
              <a16:creationId xmlns:a16="http://schemas.microsoft.com/office/drawing/2014/main" id="{5FFE1278-31B4-4F1C-B978-17F7BAC08B01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1" name="文字方塊 9">
          <a:extLst>
            <a:ext uri="{FF2B5EF4-FFF2-40B4-BE49-F238E27FC236}">
              <a16:creationId xmlns:a16="http://schemas.microsoft.com/office/drawing/2014/main" id="{D180121D-EB44-4DF6-A818-4DAC9386965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A8509A2B-2F73-476F-8065-127EE430315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1351E203-97E1-46F3-B6E4-68273A0637A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9424F402-B9AC-4EBE-ACE3-551101F4699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5" name="文字方塊 44">
          <a:extLst>
            <a:ext uri="{FF2B5EF4-FFF2-40B4-BE49-F238E27FC236}">
              <a16:creationId xmlns:a16="http://schemas.microsoft.com/office/drawing/2014/main" id="{356A641E-A038-403D-A8F5-69C7DEB1E95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3A34BFE1-4EC3-46F3-874E-0F1E2A86178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A10D0C31-2A9E-455E-B711-A0F445EB425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8" name="文字方塊 8">
          <a:extLst>
            <a:ext uri="{FF2B5EF4-FFF2-40B4-BE49-F238E27FC236}">
              <a16:creationId xmlns:a16="http://schemas.microsoft.com/office/drawing/2014/main" id="{57213B1B-83E9-487E-ACA0-1716DB48266F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9" name="文字方塊 9">
          <a:extLst>
            <a:ext uri="{FF2B5EF4-FFF2-40B4-BE49-F238E27FC236}">
              <a16:creationId xmlns:a16="http://schemas.microsoft.com/office/drawing/2014/main" id="{43B1F027-C587-462A-83A8-C71482A1A87C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E94A1191-AB25-4211-BBBE-234BB25D536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2E5B79F7-4D60-4CA9-A46B-6005FC932A3B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2" name="文字方塊 51">
          <a:extLst>
            <a:ext uri="{FF2B5EF4-FFF2-40B4-BE49-F238E27FC236}">
              <a16:creationId xmlns:a16="http://schemas.microsoft.com/office/drawing/2014/main" id="{8E5649B2-16FE-4E25-BE1B-702ED14AA57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3" name="文字方塊 52">
          <a:extLst>
            <a:ext uri="{FF2B5EF4-FFF2-40B4-BE49-F238E27FC236}">
              <a16:creationId xmlns:a16="http://schemas.microsoft.com/office/drawing/2014/main" id="{E31F82F0-363E-40AB-9DB7-67A0D63626C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7F14DC1F-32E5-453E-B79A-2FC63104FDD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E8FDE6A7-0756-4E47-B9B4-264008C6A2E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6" name="文字方塊 8">
          <a:extLst>
            <a:ext uri="{FF2B5EF4-FFF2-40B4-BE49-F238E27FC236}">
              <a16:creationId xmlns:a16="http://schemas.microsoft.com/office/drawing/2014/main" id="{C526E23E-6659-4B5D-9AF2-6A2AB09C8CD1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57" name="文字方塊 9">
          <a:extLst>
            <a:ext uri="{FF2B5EF4-FFF2-40B4-BE49-F238E27FC236}">
              <a16:creationId xmlns:a16="http://schemas.microsoft.com/office/drawing/2014/main" id="{C52EC5A9-1B0E-4706-AA25-0DB9FE097CC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382B3ADD-D416-4C21-9879-4CDA401047F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9" name="文字方塊 58">
          <a:extLst>
            <a:ext uri="{FF2B5EF4-FFF2-40B4-BE49-F238E27FC236}">
              <a16:creationId xmlns:a16="http://schemas.microsoft.com/office/drawing/2014/main" id="{530EE9A7-2ED8-47DE-8B32-89EDC61808E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0" name="文字方塊 59">
          <a:extLst>
            <a:ext uri="{FF2B5EF4-FFF2-40B4-BE49-F238E27FC236}">
              <a16:creationId xmlns:a16="http://schemas.microsoft.com/office/drawing/2014/main" id="{78F32F73-2F79-4C17-A052-08541328EB0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82B4651E-0091-4A9D-A11F-D58CB4E7B88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91A9751B-222D-4821-8AA2-FD980722929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3" name="文字方塊 62">
          <a:extLst>
            <a:ext uri="{FF2B5EF4-FFF2-40B4-BE49-F238E27FC236}">
              <a16:creationId xmlns:a16="http://schemas.microsoft.com/office/drawing/2014/main" id="{802545BE-B316-4753-A1FA-C73C3884835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4" name="文字方塊 8">
          <a:extLst>
            <a:ext uri="{FF2B5EF4-FFF2-40B4-BE49-F238E27FC236}">
              <a16:creationId xmlns:a16="http://schemas.microsoft.com/office/drawing/2014/main" id="{716A3C73-AD1B-43C3-BAB6-8EA3DB89B1B8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65" name="文字方塊 9">
          <a:extLst>
            <a:ext uri="{FF2B5EF4-FFF2-40B4-BE49-F238E27FC236}">
              <a16:creationId xmlns:a16="http://schemas.microsoft.com/office/drawing/2014/main" id="{FB44D3B8-1FB7-458B-A009-7ADF96D4212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215F6575-123A-4868-AF63-B92892F3390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7" name="文字方塊 66">
          <a:extLst>
            <a:ext uri="{FF2B5EF4-FFF2-40B4-BE49-F238E27FC236}">
              <a16:creationId xmlns:a16="http://schemas.microsoft.com/office/drawing/2014/main" id="{8EA6F380-B659-43EA-96E4-8E323332C5A9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8" name="文字方塊 67">
          <a:extLst>
            <a:ext uri="{FF2B5EF4-FFF2-40B4-BE49-F238E27FC236}">
              <a16:creationId xmlns:a16="http://schemas.microsoft.com/office/drawing/2014/main" id="{A19757BC-A0F3-4005-88E4-4BBB95CCEB2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4F613BBB-D296-4DC8-AC54-B86AD6EE64F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5E0E8707-619E-4410-A7FF-19A428F7654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3A8BFC7A-E4FF-483F-981A-07876B657C1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2" name="文字方塊 8">
          <a:extLst>
            <a:ext uri="{FF2B5EF4-FFF2-40B4-BE49-F238E27FC236}">
              <a16:creationId xmlns:a16="http://schemas.microsoft.com/office/drawing/2014/main" id="{0E4C937A-E5BE-4437-9444-21A606864830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73" name="文字方塊 9">
          <a:extLst>
            <a:ext uri="{FF2B5EF4-FFF2-40B4-BE49-F238E27FC236}">
              <a16:creationId xmlns:a16="http://schemas.microsoft.com/office/drawing/2014/main" id="{55281179-0362-4905-AE34-151140DD6E9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4" name="文字方塊 73">
          <a:extLst>
            <a:ext uri="{FF2B5EF4-FFF2-40B4-BE49-F238E27FC236}">
              <a16:creationId xmlns:a16="http://schemas.microsoft.com/office/drawing/2014/main" id="{43D7D3C5-2080-4F33-8C12-5427509051E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75" name="文字方塊 74">
          <a:extLst>
            <a:ext uri="{FF2B5EF4-FFF2-40B4-BE49-F238E27FC236}">
              <a16:creationId xmlns:a16="http://schemas.microsoft.com/office/drawing/2014/main" id="{6A2E6F29-E5D2-4F26-B9D8-1D4C39343B2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6" name="文字方塊 75">
          <a:extLst>
            <a:ext uri="{FF2B5EF4-FFF2-40B4-BE49-F238E27FC236}">
              <a16:creationId xmlns:a16="http://schemas.microsoft.com/office/drawing/2014/main" id="{B5209531-B0A9-4DA7-8C7F-6890B0060C8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A258859B-FCF8-4D2D-BE90-56E6C89368F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8" name="文字方塊 77">
          <a:extLst>
            <a:ext uri="{FF2B5EF4-FFF2-40B4-BE49-F238E27FC236}">
              <a16:creationId xmlns:a16="http://schemas.microsoft.com/office/drawing/2014/main" id="{B1FCE7E8-CD44-48CE-8BF7-CCD304F1862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9" name="文字方塊 78">
          <a:extLst>
            <a:ext uri="{FF2B5EF4-FFF2-40B4-BE49-F238E27FC236}">
              <a16:creationId xmlns:a16="http://schemas.microsoft.com/office/drawing/2014/main" id="{0EE89332-C2BD-4D51-A8B7-412B22A28DA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0" name="文字方塊 8">
          <a:extLst>
            <a:ext uri="{FF2B5EF4-FFF2-40B4-BE49-F238E27FC236}">
              <a16:creationId xmlns:a16="http://schemas.microsoft.com/office/drawing/2014/main" id="{58C592C3-D8AB-49BE-925D-8DB33230FB0C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1" name="文字方塊 80">
          <a:extLst>
            <a:ext uri="{FF2B5EF4-FFF2-40B4-BE49-F238E27FC236}">
              <a16:creationId xmlns:a16="http://schemas.microsoft.com/office/drawing/2014/main" id="{750FC887-6960-452E-943F-AEE48F56F1E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2" name="文字方塊 81">
          <a:extLst>
            <a:ext uri="{FF2B5EF4-FFF2-40B4-BE49-F238E27FC236}">
              <a16:creationId xmlns:a16="http://schemas.microsoft.com/office/drawing/2014/main" id="{B158D2A5-2BAB-4DF7-9AE9-0901EC5EEF2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3" name="文字方塊 82">
          <a:extLst>
            <a:ext uri="{FF2B5EF4-FFF2-40B4-BE49-F238E27FC236}">
              <a16:creationId xmlns:a16="http://schemas.microsoft.com/office/drawing/2014/main" id="{4D1BE1C6-B688-4BA6-9AEE-31E0AC51127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4" name="文字方塊 8">
          <a:extLst>
            <a:ext uri="{FF2B5EF4-FFF2-40B4-BE49-F238E27FC236}">
              <a16:creationId xmlns:a16="http://schemas.microsoft.com/office/drawing/2014/main" id="{B9DA0B85-EE87-4F7C-9871-DAA650576EE1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5" name="文字方塊 84">
          <a:extLst>
            <a:ext uri="{FF2B5EF4-FFF2-40B4-BE49-F238E27FC236}">
              <a16:creationId xmlns:a16="http://schemas.microsoft.com/office/drawing/2014/main" id="{59F859BF-FE4C-4095-8501-3E034ACB0CE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6" name="文字方塊 85">
          <a:extLst>
            <a:ext uri="{FF2B5EF4-FFF2-40B4-BE49-F238E27FC236}">
              <a16:creationId xmlns:a16="http://schemas.microsoft.com/office/drawing/2014/main" id="{B2CD5F63-3646-40BE-9EDA-6547DC0412C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7" name="文字方塊 86">
          <a:extLst>
            <a:ext uri="{FF2B5EF4-FFF2-40B4-BE49-F238E27FC236}">
              <a16:creationId xmlns:a16="http://schemas.microsoft.com/office/drawing/2014/main" id="{FFA3081E-232C-497D-82CD-69B09725C51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8" name="文字方塊 8">
          <a:extLst>
            <a:ext uri="{FF2B5EF4-FFF2-40B4-BE49-F238E27FC236}">
              <a16:creationId xmlns:a16="http://schemas.microsoft.com/office/drawing/2014/main" id="{9ADE2091-6EF8-4E2D-9D9C-CBF2EC046700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9" name="文字方塊 88">
          <a:extLst>
            <a:ext uri="{FF2B5EF4-FFF2-40B4-BE49-F238E27FC236}">
              <a16:creationId xmlns:a16="http://schemas.microsoft.com/office/drawing/2014/main" id="{1B667C1F-DD1E-41AD-B4E8-D282E3411AF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0" name="文字方塊 89">
          <a:extLst>
            <a:ext uri="{FF2B5EF4-FFF2-40B4-BE49-F238E27FC236}">
              <a16:creationId xmlns:a16="http://schemas.microsoft.com/office/drawing/2014/main" id="{9592FF80-21C9-4D4D-B21D-ABDC0CAFA20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1" name="文字方塊 90">
          <a:extLst>
            <a:ext uri="{FF2B5EF4-FFF2-40B4-BE49-F238E27FC236}">
              <a16:creationId xmlns:a16="http://schemas.microsoft.com/office/drawing/2014/main" id="{9039F92E-E5D8-41A9-A1F3-D3ADFEDECC6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92" name="文字方塊 8">
          <a:extLst>
            <a:ext uri="{FF2B5EF4-FFF2-40B4-BE49-F238E27FC236}">
              <a16:creationId xmlns:a16="http://schemas.microsoft.com/office/drawing/2014/main" id="{D7C150F3-9E38-4E87-AA48-170A0BFFABCC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3" name="文字方塊 92">
          <a:extLst>
            <a:ext uri="{FF2B5EF4-FFF2-40B4-BE49-F238E27FC236}">
              <a16:creationId xmlns:a16="http://schemas.microsoft.com/office/drawing/2014/main" id="{2FB5A7B7-CAE9-487E-AB5D-4F1F5E3CC80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4" name="文字方塊 93">
          <a:extLst>
            <a:ext uri="{FF2B5EF4-FFF2-40B4-BE49-F238E27FC236}">
              <a16:creationId xmlns:a16="http://schemas.microsoft.com/office/drawing/2014/main" id="{A28D0B0A-2D57-4319-ADCF-61D300DB9AD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5" name="文字方塊 94">
          <a:extLst>
            <a:ext uri="{FF2B5EF4-FFF2-40B4-BE49-F238E27FC236}">
              <a16:creationId xmlns:a16="http://schemas.microsoft.com/office/drawing/2014/main" id="{B2439B92-103C-4D7E-9478-2A5C3AE4CA1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96" name="文字方塊 8">
          <a:extLst>
            <a:ext uri="{FF2B5EF4-FFF2-40B4-BE49-F238E27FC236}">
              <a16:creationId xmlns:a16="http://schemas.microsoft.com/office/drawing/2014/main" id="{B48617D5-3613-4807-90EC-C345073B63B8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7" name="文字方塊 96">
          <a:extLst>
            <a:ext uri="{FF2B5EF4-FFF2-40B4-BE49-F238E27FC236}">
              <a16:creationId xmlns:a16="http://schemas.microsoft.com/office/drawing/2014/main" id="{75704C86-AAEA-43B3-A128-02A869BE853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8" name="文字方塊 97">
          <a:extLst>
            <a:ext uri="{FF2B5EF4-FFF2-40B4-BE49-F238E27FC236}">
              <a16:creationId xmlns:a16="http://schemas.microsoft.com/office/drawing/2014/main" id="{03906D62-B33C-4877-BF9A-3275035CB24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9" name="文字方塊 98">
          <a:extLst>
            <a:ext uri="{FF2B5EF4-FFF2-40B4-BE49-F238E27FC236}">
              <a16:creationId xmlns:a16="http://schemas.microsoft.com/office/drawing/2014/main" id="{0A70BDCF-60CE-4A0C-878C-E5CCB7145EB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0" name="文字方塊 8">
          <a:extLst>
            <a:ext uri="{FF2B5EF4-FFF2-40B4-BE49-F238E27FC236}">
              <a16:creationId xmlns:a16="http://schemas.microsoft.com/office/drawing/2014/main" id="{57664E66-28A6-4BA6-BEE6-4E8B5F4F7CD2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1" name="文字方塊 100">
          <a:extLst>
            <a:ext uri="{FF2B5EF4-FFF2-40B4-BE49-F238E27FC236}">
              <a16:creationId xmlns:a16="http://schemas.microsoft.com/office/drawing/2014/main" id="{30268ED4-30CB-4CAC-AF3D-556CF7839FC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2" name="文字方塊 101">
          <a:extLst>
            <a:ext uri="{FF2B5EF4-FFF2-40B4-BE49-F238E27FC236}">
              <a16:creationId xmlns:a16="http://schemas.microsoft.com/office/drawing/2014/main" id="{B8970418-B12D-4997-92C8-2DC170C3126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3" name="文字方塊 102">
          <a:extLst>
            <a:ext uri="{FF2B5EF4-FFF2-40B4-BE49-F238E27FC236}">
              <a16:creationId xmlns:a16="http://schemas.microsoft.com/office/drawing/2014/main" id="{7661F3E8-B4AD-4ED4-ACA0-BCC29C02DE7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4" name="文字方塊 8">
          <a:extLst>
            <a:ext uri="{FF2B5EF4-FFF2-40B4-BE49-F238E27FC236}">
              <a16:creationId xmlns:a16="http://schemas.microsoft.com/office/drawing/2014/main" id="{49FBD50C-6C83-4795-B69E-FC02DFE2F462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5" name="文字方塊 104">
          <a:extLst>
            <a:ext uri="{FF2B5EF4-FFF2-40B4-BE49-F238E27FC236}">
              <a16:creationId xmlns:a16="http://schemas.microsoft.com/office/drawing/2014/main" id="{D1A0B81E-AE9A-4220-890D-68B0500416E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6" name="文字方塊 105">
          <a:extLst>
            <a:ext uri="{FF2B5EF4-FFF2-40B4-BE49-F238E27FC236}">
              <a16:creationId xmlns:a16="http://schemas.microsoft.com/office/drawing/2014/main" id="{8BDB5439-A147-49FE-A33B-8F9D88374EC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30.xml><?xml version="1.0" encoding="utf-8"?>
<xdr:wsDr xmlns:xdr="http://schemas.openxmlformats.org/drawingml/2006/spreadsheetDrawing" xmlns:a="http://schemas.openxmlformats.org/drawingml/2006/main"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709ED673-B10B-48DC-8F8E-94EA971DB7C5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0517E5CB-76C4-4B69-B8DF-E4D1BF03A7DD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twoCellAnchor editAs="oneCell">
    <xdr:from>
      <xdr:col>3</xdr:col>
      <xdr:colOff>123269</xdr:colOff>
      <xdr:row>1</xdr:row>
      <xdr:rowOff>56021</xdr:rowOff>
    </xdr:from>
    <xdr:to>
      <xdr:col>5</xdr:col>
      <xdr:colOff>669622</xdr:colOff>
      <xdr:row>3</xdr:row>
      <xdr:rowOff>260660</xdr:rowOff>
    </xdr:to>
    <xdr:sp macro="[0]!auto_length" textlink="">
      <xdr:nvSpPr>
        <xdr:cNvPr id="4" name="矩形 3">
          <a:extLst>
            <a:ext uri="{FF2B5EF4-FFF2-40B4-BE49-F238E27FC236}">
              <a16:creationId xmlns:a16="http://schemas.microsoft.com/office/drawing/2014/main" id="{AE2E01C6-9DB2-4595-8B90-5DFE5C843789}"/>
            </a:ext>
          </a:extLst>
        </xdr:cNvPr>
        <xdr:cNvSpPr>
          <a:spLocks noChangeAspect="1"/>
        </xdr:cNvSpPr>
      </xdr:nvSpPr>
      <xdr:spPr>
        <a:xfrm>
          <a:off x="946229" y="360821"/>
          <a:ext cx="2161793" cy="656396"/>
        </a:xfrm>
        <a:prstGeom prst="rect">
          <a:avLst/>
        </a:prstGeom>
        <a:solidFill>
          <a:schemeClr val="bg1"/>
        </a:solidFill>
        <a:ln w="38100">
          <a:solidFill>
            <a:schemeClr val="accent2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2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計算長度</a:t>
          </a:r>
        </a:p>
      </xdr:txBody>
    </xdr:sp>
    <xdr:clientData/>
  </xdr:twoCellAnchor>
  <xdr:oneCellAnchor>
    <xdr:from>
      <xdr:col>13</xdr:col>
      <xdr:colOff>134475</xdr:colOff>
      <xdr:row>1</xdr:row>
      <xdr:rowOff>56021</xdr:rowOff>
    </xdr:from>
    <xdr:ext cx="2160000" cy="360000"/>
    <xdr:sp macro="[0]!auto_angle" textlink="">
      <xdr:nvSpPr>
        <xdr:cNvPr id="5" name="矩形 4">
          <a:extLst>
            <a:ext uri="{FF2B5EF4-FFF2-40B4-BE49-F238E27FC236}">
              <a16:creationId xmlns:a16="http://schemas.microsoft.com/office/drawing/2014/main" id="{FB1E3A4A-965B-46C3-BC11-3F528C900737}"/>
            </a:ext>
          </a:extLst>
        </xdr:cNvPr>
        <xdr:cNvSpPr>
          <a:spLocks noChangeAspect="1"/>
        </xdr:cNvSpPr>
      </xdr:nvSpPr>
      <xdr:spPr>
        <a:xfrm>
          <a:off x="6215235" y="360821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4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計算角度</a:t>
          </a:r>
          <a:r>
            <a:rPr lang="en-US" altLang="zh-TW" sz="1600" b="1">
              <a:solidFill>
                <a:schemeClr val="accent4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(°)</a:t>
          </a:r>
          <a:endParaRPr lang="zh-TW" altLang="en-US" sz="1600" b="1">
            <a:solidFill>
              <a:schemeClr val="accent4"/>
            </a:solidFill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oneCellAnchor>
  <xdr:oneCellAnchor>
    <xdr:from>
      <xdr:col>24</xdr:col>
      <xdr:colOff>134475</xdr:colOff>
      <xdr:row>1</xdr:row>
      <xdr:rowOff>56022</xdr:rowOff>
    </xdr:from>
    <xdr:ext cx="2160000" cy="360000"/>
    <xdr:sp macro="[0]!auto_area" textlink="">
      <xdr:nvSpPr>
        <xdr:cNvPr id="6" name="矩形 5">
          <a:extLst>
            <a:ext uri="{FF2B5EF4-FFF2-40B4-BE49-F238E27FC236}">
              <a16:creationId xmlns:a16="http://schemas.microsoft.com/office/drawing/2014/main" id="{C2163B11-B012-4E6B-A162-F2766DEA098E}"/>
            </a:ext>
          </a:extLst>
        </xdr:cNvPr>
        <xdr:cNvSpPr>
          <a:spLocks noChangeAspect="1"/>
        </xdr:cNvSpPr>
      </xdr:nvSpPr>
      <xdr:spPr>
        <a:xfrm>
          <a:off x="11747355" y="360822"/>
          <a:ext cx="2160000" cy="360000"/>
        </a:xfrm>
        <a:prstGeom prst="rect">
          <a:avLst/>
        </a:prstGeom>
        <a:solidFill>
          <a:schemeClr val="bg1"/>
        </a:solidFill>
        <a:ln w="38100">
          <a:solidFill>
            <a:schemeClr val="accent6"/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accent6"/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計算面積</a:t>
          </a:r>
        </a:p>
      </xdr:txBody>
    </xdr:sp>
    <xdr:clientData/>
  </xdr:oneCellAnchor>
  <xdr:twoCellAnchor editAs="oneCell">
    <xdr:from>
      <xdr:col>6</xdr:col>
      <xdr:colOff>85169</xdr:colOff>
      <xdr:row>1</xdr:row>
      <xdr:rowOff>51539</xdr:rowOff>
    </xdr:from>
    <xdr:to>
      <xdr:col>7</xdr:col>
      <xdr:colOff>718346</xdr:colOff>
      <xdr:row>3</xdr:row>
      <xdr:rowOff>256178</xdr:rowOff>
    </xdr:to>
    <xdr:sp macro="[0]!clear_length" textlink="">
      <xdr:nvSpPr>
        <xdr:cNvPr id="7" name="矩形 6">
          <a:extLst>
            <a:ext uri="{FF2B5EF4-FFF2-40B4-BE49-F238E27FC236}">
              <a16:creationId xmlns:a16="http://schemas.microsoft.com/office/drawing/2014/main" id="{A2992D73-9D80-4ED0-A2FB-A24261E0C7D3}"/>
            </a:ext>
          </a:extLst>
        </xdr:cNvPr>
        <xdr:cNvSpPr>
          <a:spLocks/>
        </xdr:cNvSpPr>
      </xdr:nvSpPr>
      <xdr:spPr>
        <a:xfrm>
          <a:off x="3331289" y="356339"/>
          <a:ext cx="1440897" cy="656396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twoCellAnchor>
  <xdr:oneCellAnchor>
    <xdr:from>
      <xdr:col>16</xdr:col>
      <xdr:colOff>85169</xdr:colOff>
      <xdr:row>1</xdr:row>
      <xdr:rowOff>51539</xdr:rowOff>
    </xdr:from>
    <xdr:ext cx="1440000" cy="360000"/>
    <xdr:sp macro="[0]!clear_angle" textlink="">
      <xdr:nvSpPr>
        <xdr:cNvPr id="8" name="矩形 7">
          <a:extLst>
            <a:ext uri="{FF2B5EF4-FFF2-40B4-BE49-F238E27FC236}">
              <a16:creationId xmlns:a16="http://schemas.microsoft.com/office/drawing/2014/main" id="{F236C9FC-A6F3-4B85-B28B-C0804BE1E0BC}"/>
            </a:ext>
          </a:extLst>
        </xdr:cNvPr>
        <xdr:cNvSpPr>
          <a:spLocks/>
        </xdr:cNvSpPr>
      </xdr:nvSpPr>
      <xdr:spPr>
        <a:xfrm>
          <a:off x="8589089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27</xdr:col>
      <xdr:colOff>85169</xdr:colOff>
      <xdr:row>1</xdr:row>
      <xdr:rowOff>51539</xdr:rowOff>
    </xdr:from>
    <xdr:ext cx="1440000" cy="360000"/>
    <xdr:sp macro="[0]!clear_area" textlink="">
      <xdr:nvSpPr>
        <xdr:cNvPr id="9" name="矩形 8">
          <a:extLst>
            <a:ext uri="{FF2B5EF4-FFF2-40B4-BE49-F238E27FC236}">
              <a16:creationId xmlns:a16="http://schemas.microsoft.com/office/drawing/2014/main" id="{F68B7660-0FA4-45D7-BB21-C47032A39A4A}"/>
            </a:ext>
          </a:extLst>
        </xdr:cNvPr>
        <xdr:cNvSpPr>
          <a:spLocks/>
        </xdr:cNvSpPr>
      </xdr:nvSpPr>
      <xdr:spPr>
        <a:xfrm>
          <a:off x="14121209" y="356339"/>
          <a:ext cx="1440000" cy="360000"/>
        </a:xfrm>
        <a:prstGeom prst="rect">
          <a:avLst/>
        </a:prstGeom>
        <a:solidFill>
          <a:schemeClr val="bg1"/>
        </a:solidFill>
        <a:ln w="38100">
          <a:solidFill>
            <a:schemeClr val="bg1">
              <a:lumMod val="50000"/>
            </a:schemeClr>
          </a:solidFill>
        </a:ln>
        <a:effectLst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600" b="1">
              <a:solidFill>
                <a:schemeClr val="bg1">
                  <a:lumMod val="50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</a:rPr>
            <a:t>清除</a:t>
          </a:r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1D779365-AD95-4F01-895D-B8338C28E17C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AF9DC010-E26C-4361-A6AD-0A3BC2CFC897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7AEEFD1F-E580-4B7E-867C-93FAEFE2BBE4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CCB23B6D-DAF8-47B1-B287-FE2625D72508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A5C1E7E8-4CA1-47CE-BAB9-F2CE31807CDA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E0A324C0-F24E-4F19-B5D3-5644B640971E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6" name="文字方塊 8">
          <a:extLst>
            <a:ext uri="{FF2B5EF4-FFF2-40B4-BE49-F238E27FC236}">
              <a16:creationId xmlns:a16="http://schemas.microsoft.com/office/drawing/2014/main" id="{35D75DD7-9C6E-4025-A6EB-2118326C617B}"/>
            </a:ext>
          </a:extLst>
        </xdr:cNvPr>
        <xdr:cNvSpPr txBox="1"/>
      </xdr:nvSpPr>
      <xdr:spPr>
        <a:xfrm>
          <a:off x="24589740" y="162754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17" name="文字方塊 9">
          <a:extLst>
            <a:ext uri="{FF2B5EF4-FFF2-40B4-BE49-F238E27FC236}">
              <a16:creationId xmlns:a16="http://schemas.microsoft.com/office/drawing/2014/main" id="{2EAA5B83-0A98-4E32-9708-0F9A4C1BC5B2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4F9B7FEE-D22B-4FE6-9DCD-00300D5881C4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93495829-0328-460F-8C17-F20AB3C42C9A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36E02542-EB31-4C9E-8A1F-326FBA5D5742}"/>
            </a:ext>
          </a:extLst>
        </xdr:cNvPr>
        <xdr:cNvSpPr txBox="1"/>
      </xdr:nvSpPr>
      <xdr:spPr>
        <a:xfrm>
          <a:off x="24589740" y="162754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CE7C75E2-AFCE-4673-837B-5459552B7D6C}"/>
            </a:ext>
          </a:extLst>
        </xdr:cNvPr>
        <xdr:cNvSpPr txBox="1">
          <a:spLocks noChangeAspect="1"/>
        </xdr:cNvSpPr>
      </xdr:nvSpPr>
      <xdr:spPr>
        <a:xfrm>
          <a:off x="2458974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74E9C0C1-E06A-49E9-A00A-1BB745AED661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18B6E04A-D955-42C4-A4AC-9085BB605A05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24" name="文字方塊 8">
          <a:extLst>
            <a:ext uri="{FF2B5EF4-FFF2-40B4-BE49-F238E27FC236}">
              <a16:creationId xmlns:a16="http://schemas.microsoft.com/office/drawing/2014/main" id="{600ACE77-311E-45AB-9801-9BF31B5E8969}"/>
            </a:ext>
          </a:extLst>
        </xdr:cNvPr>
        <xdr:cNvSpPr txBox="1"/>
      </xdr:nvSpPr>
      <xdr:spPr>
        <a:xfrm>
          <a:off x="7924800" y="163516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25" name="文字方塊 9">
          <a:extLst>
            <a:ext uri="{FF2B5EF4-FFF2-40B4-BE49-F238E27FC236}">
              <a16:creationId xmlns:a16="http://schemas.microsoft.com/office/drawing/2014/main" id="{5D71E23A-C867-4A55-9555-0B1310714449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FCD0ADC0-E085-45F1-B51C-5E35D304AB33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0DC1520C-6003-442F-BE06-C5CDB80D475B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EF21412D-77B7-407E-8912-0BBAE0322E6A}"/>
            </a:ext>
          </a:extLst>
        </xdr:cNvPr>
        <xdr:cNvSpPr txBox="1"/>
      </xdr:nvSpPr>
      <xdr:spPr>
        <a:xfrm>
          <a:off x="7924800" y="16351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3CFD17A0-C770-4BB8-8979-1B56B657D446}"/>
            </a:ext>
          </a:extLst>
        </xdr:cNvPr>
        <xdr:cNvSpPr txBox="1">
          <a:spLocks noChangeAspect="1"/>
        </xdr:cNvSpPr>
      </xdr:nvSpPr>
      <xdr:spPr>
        <a:xfrm>
          <a:off x="7924800" y="104529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A75FBA9A-D18C-4525-AA38-87203628A15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4CFBD0E1-33F1-4414-AFDE-75E152DE6C9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32" name="文字方塊 8">
          <a:extLst>
            <a:ext uri="{FF2B5EF4-FFF2-40B4-BE49-F238E27FC236}">
              <a16:creationId xmlns:a16="http://schemas.microsoft.com/office/drawing/2014/main" id="{246AA3DD-E3BF-4583-AF24-5AEFBF40B8A1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33" name="文字方塊 9">
          <a:extLst>
            <a:ext uri="{FF2B5EF4-FFF2-40B4-BE49-F238E27FC236}">
              <a16:creationId xmlns:a16="http://schemas.microsoft.com/office/drawing/2014/main" id="{C93C01F6-F10C-4F16-BF74-73FFBDBEE6D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F0DA1505-F627-4609-B363-DCDB3215433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77A9B3C3-E48B-4277-9A1D-66239990116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6" name="文字方塊 35">
          <a:extLst>
            <a:ext uri="{FF2B5EF4-FFF2-40B4-BE49-F238E27FC236}">
              <a16:creationId xmlns:a16="http://schemas.microsoft.com/office/drawing/2014/main" id="{6B495FF6-75CE-483F-8C09-5D356FF7F61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7" name="文字方塊 36">
          <a:extLst>
            <a:ext uri="{FF2B5EF4-FFF2-40B4-BE49-F238E27FC236}">
              <a16:creationId xmlns:a16="http://schemas.microsoft.com/office/drawing/2014/main" id="{75AD9189-1673-4BCE-93D1-629BFA41B6F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38" name="文字方塊 37">
          <a:extLst>
            <a:ext uri="{FF2B5EF4-FFF2-40B4-BE49-F238E27FC236}">
              <a16:creationId xmlns:a16="http://schemas.microsoft.com/office/drawing/2014/main" id="{11C8FEDD-D3F9-4C1C-84A5-28B38009873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7E882402-E898-4E38-B0CD-577500EE2C1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0" name="文字方塊 8">
          <a:extLst>
            <a:ext uri="{FF2B5EF4-FFF2-40B4-BE49-F238E27FC236}">
              <a16:creationId xmlns:a16="http://schemas.microsoft.com/office/drawing/2014/main" id="{A305D93A-F561-4D36-831D-07C4CA965179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1" name="文字方塊 9">
          <a:extLst>
            <a:ext uri="{FF2B5EF4-FFF2-40B4-BE49-F238E27FC236}">
              <a16:creationId xmlns:a16="http://schemas.microsoft.com/office/drawing/2014/main" id="{1D125677-44F1-4C38-9F5E-4829BA93030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B39E2B21-66BD-4ADB-A5A6-BCDF7751691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F008E205-B113-4555-B2A6-6FE31DC0D0D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3A6ACD40-1C36-4004-9F0C-80E50A717E0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5" name="文字方塊 44">
          <a:extLst>
            <a:ext uri="{FF2B5EF4-FFF2-40B4-BE49-F238E27FC236}">
              <a16:creationId xmlns:a16="http://schemas.microsoft.com/office/drawing/2014/main" id="{D9EDA586-42C9-4FD8-9796-D6EA342727F8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109AAF88-A83E-4BA6-9626-850448C7949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47" name="文字方塊 46">
          <a:extLst>
            <a:ext uri="{FF2B5EF4-FFF2-40B4-BE49-F238E27FC236}">
              <a16:creationId xmlns:a16="http://schemas.microsoft.com/office/drawing/2014/main" id="{70669031-7062-4A95-BE18-CB0754CEA8A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48" name="文字方塊 8">
          <a:extLst>
            <a:ext uri="{FF2B5EF4-FFF2-40B4-BE49-F238E27FC236}">
              <a16:creationId xmlns:a16="http://schemas.microsoft.com/office/drawing/2014/main" id="{0D522530-CF0F-4EAE-976D-D61B025B2261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49" name="文字方塊 9">
          <a:extLst>
            <a:ext uri="{FF2B5EF4-FFF2-40B4-BE49-F238E27FC236}">
              <a16:creationId xmlns:a16="http://schemas.microsoft.com/office/drawing/2014/main" id="{A892520D-462D-43EF-BAF4-262904D9AE0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0" name="文字方塊 49">
          <a:extLst>
            <a:ext uri="{FF2B5EF4-FFF2-40B4-BE49-F238E27FC236}">
              <a16:creationId xmlns:a16="http://schemas.microsoft.com/office/drawing/2014/main" id="{14C625EE-AB94-45F7-8035-93EBF2174BA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1" name="文字方塊 50">
          <a:extLst>
            <a:ext uri="{FF2B5EF4-FFF2-40B4-BE49-F238E27FC236}">
              <a16:creationId xmlns:a16="http://schemas.microsoft.com/office/drawing/2014/main" id="{3D1A9CD2-B777-4AF1-B17A-A70129B583E6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2" name="文字方塊 51">
          <a:extLst>
            <a:ext uri="{FF2B5EF4-FFF2-40B4-BE49-F238E27FC236}">
              <a16:creationId xmlns:a16="http://schemas.microsoft.com/office/drawing/2014/main" id="{4B4249E9-FBC2-4863-A805-592EA8AA23D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3" name="文字方塊 52">
          <a:extLst>
            <a:ext uri="{FF2B5EF4-FFF2-40B4-BE49-F238E27FC236}">
              <a16:creationId xmlns:a16="http://schemas.microsoft.com/office/drawing/2014/main" id="{63C4ECEC-593B-4B3A-94A6-6297769E78D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4" name="文字方塊 53">
          <a:extLst>
            <a:ext uri="{FF2B5EF4-FFF2-40B4-BE49-F238E27FC236}">
              <a16:creationId xmlns:a16="http://schemas.microsoft.com/office/drawing/2014/main" id="{FD1D9056-1321-4310-9636-B602302AB7DB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5" name="文字方塊 54">
          <a:extLst>
            <a:ext uri="{FF2B5EF4-FFF2-40B4-BE49-F238E27FC236}">
              <a16:creationId xmlns:a16="http://schemas.microsoft.com/office/drawing/2014/main" id="{8B64E108-A545-47FD-89C2-90715439A13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56" name="文字方塊 8">
          <a:extLst>
            <a:ext uri="{FF2B5EF4-FFF2-40B4-BE49-F238E27FC236}">
              <a16:creationId xmlns:a16="http://schemas.microsoft.com/office/drawing/2014/main" id="{5AD371A1-9859-4B58-9272-1070531931A1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57" name="文字方塊 9">
          <a:extLst>
            <a:ext uri="{FF2B5EF4-FFF2-40B4-BE49-F238E27FC236}">
              <a16:creationId xmlns:a16="http://schemas.microsoft.com/office/drawing/2014/main" id="{DBDE19BC-4AF8-4466-87E1-8D2403E909AF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58" name="文字方塊 57">
          <a:extLst>
            <a:ext uri="{FF2B5EF4-FFF2-40B4-BE49-F238E27FC236}">
              <a16:creationId xmlns:a16="http://schemas.microsoft.com/office/drawing/2014/main" id="{D06DB851-A2E2-47F5-B706-808CEB406C2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59" name="文字方塊 58">
          <a:extLst>
            <a:ext uri="{FF2B5EF4-FFF2-40B4-BE49-F238E27FC236}">
              <a16:creationId xmlns:a16="http://schemas.microsoft.com/office/drawing/2014/main" id="{44E53C0D-79D9-485B-B8AD-E34329DE6201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0" name="文字方塊 59">
          <a:extLst>
            <a:ext uri="{FF2B5EF4-FFF2-40B4-BE49-F238E27FC236}">
              <a16:creationId xmlns:a16="http://schemas.microsoft.com/office/drawing/2014/main" id="{A2F4939A-5136-41AF-A65B-197B4064328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1" name="文字方塊 60">
          <a:extLst>
            <a:ext uri="{FF2B5EF4-FFF2-40B4-BE49-F238E27FC236}">
              <a16:creationId xmlns:a16="http://schemas.microsoft.com/office/drawing/2014/main" id="{8ED00258-46DD-433F-8A74-721045CA7673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2" name="文字方塊 61">
          <a:extLst>
            <a:ext uri="{FF2B5EF4-FFF2-40B4-BE49-F238E27FC236}">
              <a16:creationId xmlns:a16="http://schemas.microsoft.com/office/drawing/2014/main" id="{CD8AB057-0DAD-466A-9AD7-287C738EA59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3" name="文字方塊 62">
          <a:extLst>
            <a:ext uri="{FF2B5EF4-FFF2-40B4-BE49-F238E27FC236}">
              <a16:creationId xmlns:a16="http://schemas.microsoft.com/office/drawing/2014/main" id="{9582524B-83B9-458A-B591-5C1E2FF4F25D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64" name="文字方塊 8">
          <a:extLst>
            <a:ext uri="{FF2B5EF4-FFF2-40B4-BE49-F238E27FC236}">
              <a16:creationId xmlns:a16="http://schemas.microsoft.com/office/drawing/2014/main" id="{5BE26E0E-F748-4FEB-8E1F-B4EC3558A43B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65" name="文字方塊 9">
          <a:extLst>
            <a:ext uri="{FF2B5EF4-FFF2-40B4-BE49-F238E27FC236}">
              <a16:creationId xmlns:a16="http://schemas.microsoft.com/office/drawing/2014/main" id="{7A789ADB-E277-4D65-BFD3-FAF82D041AE7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6" name="文字方塊 65">
          <a:extLst>
            <a:ext uri="{FF2B5EF4-FFF2-40B4-BE49-F238E27FC236}">
              <a16:creationId xmlns:a16="http://schemas.microsoft.com/office/drawing/2014/main" id="{21E145FA-8A23-4A04-BB03-3BF40892D1AC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7" name="文字方塊 66">
          <a:extLst>
            <a:ext uri="{FF2B5EF4-FFF2-40B4-BE49-F238E27FC236}">
              <a16:creationId xmlns:a16="http://schemas.microsoft.com/office/drawing/2014/main" id="{FE764E2D-0E81-4538-93F3-59B539DEE5D2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68" name="文字方塊 67">
          <a:extLst>
            <a:ext uri="{FF2B5EF4-FFF2-40B4-BE49-F238E27FC236}">
              <a16:creationId xmlns:a16="http://schemas.microsoft.com/office/drawing/2014/main" id="{1DC1C79A-5FEC-4753-AF2A-411B3319581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69" name="文字方塊 68">
          <a:extLst>
            <a:ext uri="{FF2B5EF4-FFF2-40B4-BE49-F238E27FC236}">
              <a16:creationId xmlns:a16="http://schemas.microsoft.com/office/drawing/2014/main" id="{F484CD18-8D49-40D1-AF41-35C67D5A0A34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0" name="文字方塊 69">
          <a:extLst>
            <a:ext uri="{FF2B5EF4-FFF2-40B4-BE49-F238E27FC236}">
              <a16:creationId xmlns:a16="http://schemas.microsoft.com/office/drawing/2014/main" id="{3A920259-35DA-4EBD-968D-4E9C97ABDBD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71" name="文字方塊 70">
          <a:extLst>
            <a:ext uri="{FF2B5EF4-FFF2-40B4-BE49-F238E27FC236}">
              <a16:creationId xmlns:a16="http://schemas.microsoft.com/office/drawing/2014/main" id="{7D6E5CAE-2606-4251-A6AE-9F511431064E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72" name="文字方塊 8">
          <a:extLst>
            <a:ext uri="{FF2B5EF4-FFF2-40B4-BE49-F238E27FC236}">
              <a16:creationId xmlns:a16="http://schemas.microsoft.com/office/drawing/2014/main" id="{9C3CBEB3-CD52-4C15-9854-7F1874F247D3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0" cy="172227"/>
    <xdr:sp macro="" textlink="">
      <xdr:nvSpPr>
        <xdr:cNvPr id="73" name="文字方塊 9">
          <a:extLst>
            <a:ext uri="{FF2B5EF4-FFF2-40B4-BE49-F238E27FC236}">
              <a16:creationId xmlns:a16="http://schemas.microsoft.com/office/drawing/2014/main" id="{C066C80D-670B-4B9B-8E7B-720AE192ED2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4" name="文字方塊 73">
          <a:extLst>
            <a:ext uri="{FF2B5EF4-FFF2-40B4-BE49-F238E27FC236}">
              <a16:creationId xmlns:a16="http://schemas.microsoft.com/office/drawing/2014/main" id="{390B9616-94C6-452C-B358-9FE8A80F651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75" name="文字方塊 74">
          <a:extLst>
            <a:ext uri="{FF2B5EF4-FFF2-40B4-BE49-F238E27FC236}">
              <a16:creationId xmlns:a16="http://schemas.microsoft.com/office/drawing/2014/main" id="{1F741854-0D64-4E60-B518-DD6D10CAA71A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6" name="文字方塊 75">
          <a:extLst>
            <a:ext uri="{FF2B5EF4-FFF2-40B4-BE49-F238E27FC236}">
              <a16:creationId xmlns:a16="http://schemas.microsoft.com/office/drawing/2014/main" id="{75B5B6FE-5DF2-470B-965F-BA67D9A93005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4</xdr:row>
      <xdr:rowOff>108032</xdr:rowOff>
    </xdr:from>
    <xdr:ext cx="65" cy="172227"/>
    <xdr:sp macro="" textlink="">
      <xdr:nvSpPr>
        <xdr:cNvPr id="77" name="文字方塊 76">
          <a:extLst>
            <a:ext uri="{FF2B5EF4-FFF2-40B4-BE49-F238E27FC236}">
              <a16:creationId xmlns:a16="http://schemas.microsoft.com/office/drawing/2014/main" id="{09C44B29-47D1-42B2-8651-345DF6CC78E5}"/>
            </a:ext>
          </a:extLst>
        </xdr:cNvPr>
        <xdr:cNvSpPr txBox="1">
          <a:spLocks noChangeAspect="1"/>
        </xdr:cNvSpPr>
      </xdr:nvSpPr>
      <xdr:spPr>
        <a:xfrm>
          <a:off x="7924800" y="106053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8" name="文字方塊 77">
          <a:extLst>
            <a:ext uri="{FF2B5EF4-FFF2-40B4-BE49-F238E27FC236}">
              <a16:creationId xmlns:a16="http://schemas.microsoft.com/office/drawing/2014/main" id="{AA9A98DF-F862-49FF-A20B-77ACB1252B8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79" name="文字方塊 78">
          <a:extLst>
            <a:ext uri="{FF2B5EF4-FFF2-40B4-BE49-F238E27FC236}">
              <a16:creationId xmlns:a16="http://schemas.microsoft.com/office/drawing/2014/main" id="{316BFEA4-FF68-40E5-A9AB-0D47A58E05C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0" name="文字方塊 8">
          <a:extLst>
            <a:ext uri="{FF2B5EF4-FFF2-40B4-BE49-F238E27FC236}">
              <a16:creationId xmlns:a16="http://schemas.microsoft.com/office/drawing/2014/main" id="{21FDEE0B-8887-4D65-96F1-31D9288A2988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1" name="文字方塊 80">
          <a:extLst>
            <a:ext uri="{FF2B5EF4-FFF2-40B4-BE49-F238E27FC236}">
              <a16:creationId xmlns:a16="http://schemas.microsoft.com/office/drawing/2014/main" id="{1ED19700-2EFD-4B38-B6C2-0D739B8ECD8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2" name="文字方塊 81">
          <a:extLst>
            <a:ext uri="{FF2B5EF4-FFF2-40B4-BE49-F238E27FC236}">
              <a16:creationId xmlns:a16="http://schemas.microsoft.com/office/drawing/2014/main" id="{5A9A601E-ED37-49A2-B2C3-42478779373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3" name="文字方塊 82">
          <a:extLst>
            <a:ext uri="{FF2B5EF4-FFF2-40B4-BE49-F238E27FC236}">
              <a16:creationId xmlns:a16="http://schemas.microsoft.com/office/drawing/2014/main" id="{EACC433E-0390-4F80-BDFA-CD69C4D83600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4" name="文字方塊 8">
          <a:extLst>
            <a:ext uri="{FF2B5EF4-FFF2-40B4-BE49-F238E27FC236}">
              <a16:creationId xmlns:a16="http://schemas.microsoft.com/office/drawing/2014/main" id="{9689D693-582E-4813-8DF4-CB2BBED7D849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5" name="文字方塊 84">
          <a:extLst>
            <a:ext uri="{FF2B5EF4-FFF2-40B4-BE49-F238E27FC236}">
              <a16:creationId xmlns:a16="http://schemas.microsoft.com/office/drawing/2014/main" id="{E5EE22E5-D47C-4EC7-B3F3-5956DF34B79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6" name="文字方塊 85">
          <a:extLst>
            <a:ext uri="{FF2B5EF4-FFF2-40B4-BE49-F238E27FC236}">
              <a16:creationId xmlns:a16="http://schemas.microsoft.com/office/drawing/2014/main" id="{895C4F65-A19D-47BC-8EA2-F2586286BC7F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7" name="文字方塊 86">
          <a:extLst>
            <a:ext uri="{FF2B5EF4-FFF2-40B4-BE49-F238E27FC236}">
              <a16:creationId xmlns:a16="http://schemas.microsoft.com/office/drawing/2014/main" id="{0C11811E-2DF9-4042-B9A0-36A7CBF74338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88" name="文字方塊 8">
          <a:extLst>
            <a:ext uri="{FF2B5EF4-FFF2-40B4-BE49-F238E27FC236}">
              <a16:creationId xmlns:a16="http://schemas.microsoft.com/office/drawing/2014/main" id="{4F2A037F-ADB8-41E6-AD67-84FF57BA29BE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89" name="文字方塊 88">
          <a:extLst>
            <a:ext uri="{FF2B5EF4-FFF2-40B4-BE49-F238E27FC236}">
              <a16:creationId xmlns:a16="http://schemas.microsoft.com/office/drawing/2014/main" id="{668DF1EF-CA40-4F35-ADF1-AD6452CD0473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0" name="文字方塊 89">
          <a:extLst>
            <a:ext uri="{FF2B5EF4-FFF2-40B4-BE49-F238E27FC236}">
              <a16:creationId xmlns:a16="http://schemas.microsoft.com/office/drawing/2014/main" id="{41494BC1-520E-4C02-8F7C-FE64D67107C1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1" name="文字方塊 90">
          <a:extLst>
            <a:ext uri="{FF2B5EF4-FFF2-40B4-BE49-F238E27FC236}">
              <a16:creationId xmlns:a16="http://schemas.microsoft.com/office/drawing/2014/main" id="{A0930712-5C26-4EA9-B03D-9FFB345948D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92" name="文字方塊 8">
          <a:extLst>
            <a:ext uri="{FF2B5EF4-FFF2-40B4-BE49-F238E27FC236}">
              <a16:creationId xmlns:a16="http://schemas.microsoft.com/office/drawing/2014/main" id="{70975CE8-00B0-4814-AC59-7C898B707A74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3" name="文字方塊 92">
          <a:extLst>
            <a:ext uri="{FF2B5EF4-FFF2-40B4-BE49-F238E27FC236}">
              <a16:creationId xmlns:a16="http://schemas.microsoft.com/office/drawing/2014/main" id="{E8E50E12-C6D2-415E-97AA-6F528F7DD062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4" name="文字方塊 93">
          <a:extLst>
            <a:ext uri="{FF2B5EF4-FFF2-40B4-BE49-F238E27FC236}">
              <a16:creationId xmlns:a16="http://schemas.microsoft.com/office/drawing/2014/main" id="{2F5E0979-F0AF-4C71-9CA7-DEFDFE7F3CCE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5" name="文字方塊 94">
          <a:extLst>
            <a:ext uri="{FF2B5EF4-FFF2-40B4-BE49-F238E27FC236}">
              <a16:creationId xmlns:a16="http://schemas.microsoft.com/office/drawing/2014/main" id="{AD9A219B-DDBA-483A-974D-8B11CA7E28E7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96" name="文字方塊 8">
          <a:extLst>
            <a:ext uri="{FF2B5EF4-FFF2-40B4-BE49-F238E27FC236}">
              <a16:creationId xmlns:a16="http://schemas.microsoft.com/office/drawing/2014/main" id="{BDEF5327-C8CA-4965-AE4C-D9D18FC717DA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7" name="文字方塊 96">
          <a:extLst>
            <a:ext uri="{FF2B5EF4-FFF2-40B4-BE49-F238E27FC236}">
              <a16:creationId xmlns:a16="http://schemas.microsoft.com/office/drawing/2014/main" id="{849AFF00-E6AD-43BB-9826-4959235B709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8" name="文字方塊 97">
          <a:extLst>
            <a:ext uri="{FF2B5EF4-FFF2-40B4-BE49-F238E27FC236}">
              <a16:creationId xmlns:a16="http://schemas.microsoft.com/office/drawing/2014/main" id="{7FA4ADC6-1A1B-44CE-BADA-26F587E07CE9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99" name="文字方塊 98">
          <a:extLst>
            <a:ext uri="{FF2B5EF4-FFF2-40B4-BE49-F238E27FC236}">
              <a16:creationId xmlns:a16="http://schemas.microsoft.com/office/drawing/2014/main" id="{8D24936D-E9B5-42DB-9B2A-348F31AFF14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0" name="文字方塊 8">
          <a:extLst>
            <a:ext uri="{FF2B5EF4-FFF2-40B4-BE49-F238E27FC236}">
              <a16:creationId xmlns:a16="http://schemas.microsoft.com/office/drawing/2014/main" id="{725D3357-2CEE-4888-B1BE-2D268926C6E7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1" name="文字方塊 100">
          <a:extLst>
            <a:ext uri="{FF2B5EF4-FFF2-40B4-BE49-F238E27FC236}">
              <a16:creationId xmlns:a16="http://schemas.microsoft.com/office/drawing/2014/main" id="{70162053-6A83-4B52-B4D5-0324E53CA04A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2" name="文字方塊 101">
          <a:extLst>
            <a:ext uri="{FF2B5EF4-FFF2-40B4-BE49-F238E27FC236}">
              <a16:creationId xmlns:a16="http://schemas.microsoft.com/office/drawing/2014/main" id="{CAD7AC06-7C23-4095-8605-FE4ACF910AC6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3" name="文字方塊 102">
          <a:extLst>
            <a:ext uri="{FF2B5EF4-FFF2-40B4-BE49-F238E27FC236}">
              <a16:creationId xmlns:a16="http://schemas.microsoft.com/office/drawing/2014/main" id="{A8C1A20E-F8F3-4678-976F-27B2A8A4977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0" cy="172227"/>
    <xdr:sp macro="" textlink="">
      <xdr:nvSpPr>
        <xdr:cNvPr id="104" name="文字方塊 8">
          <a:extLst>
            <a:ext uri="{FF2B5EF4-FFF2-40B4-BE49-F238E27FC236}">
              <a16:creationId xmlns:a16="http://schemas.microsoft.com/office/drawing/2014/main" id="{F9DD8B36-1B85-4638-938B-BDE6328332E5}"/>
            </a:ext>
          </a:extLst>
        </xdr:cNvPr>
        <xdr:cNvSpPr txBox="1"/>
      </xdr:nvSpPr>
      <xdr:spPr>
        <a:xfrm>
          <a:off x="7924800" y="1680882"/>
          <a:ext cx="0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5" name="文字方塊 104">
          <a:extLst>
            <a:ext uri="{FF2B5EF4-FFF2-40B4-BE49-F238E27FC236}">
              <a16:creationId xmlns:a16="http://schemas.microsoft.com/office/drawing/2014/main" id="{7A0E05F9-BF73-4443-8B9B-9D2F2F418D84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  <xdr:oneCellAnchor>
    <xdr:from>
      <xdr:col>42</xdr:col>
      <xdr:colOff>0</xdr:colOff>
      <xdr:row>7</xdr:row>
      <xdr:rowOff>80682</xdr:rowOff>
    </xdr:from>
    <xdr:ext cx="65" cy="172227"/>
    <xdr:sp macro="" textlink="">
      <xdr:nvSpPr>
        <xdr:cNvPr id="106" name="文字方塊 105">
          <a:extLst>
            <a:ext uri="{FF2B5EF4-FFF2-40B4-BE49-F238E27FC236}">
              <a16:creationId xmlns:a16="http://schemas.microsoft.com/office/drawing/2014/main" id="{D441EA67-7170-4B4A-8150-99368B8A9EAD}"/>
            </a:ext>
          </a:extLst>
        </xdr:cNvPr>
        <xdr:cNvSpPr txBox="1"/>
      </xdr:nvSpPr>
      <xdr:spPr>
        <a:xfrm>
          <a:off x="7924800" y="168088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22"/>
  <dimension ref="A1:AS52"/>
  <sheetViews>
    <sheetView topLeftCell="S1" zoomScale="70" zoomScaleNormal="70" workbookViewId="0">
      <selection activeCell="AI3" sqref="AI3:AJ3"/>
    </sheetView>
  </sheetViews>
  <sheetFormatPr defaultColWidth="9" defaultRowHeight="15.5"/>
  <cols>
    <col min="1" max="1" width="3.58203125" style="22" customWidth="1"/>
    <col min="2" max="3" width="3.58203125" style="4" customWidth="1"/>
    <col min="4" max="8" width="10.58203125" style="10" customWidth="1"/>
    <col min="9" max="9" width="2.08203125" style="1" customWidth="1"/>
    <col min="10" max="10" width="3.58203125" style="22" customWidth="1"/>
    <col min="11" max="12" width="3.58203125" style="4" customWidth="1"/>
    <col min="13" max="13" width="3.08203125" style="4" bestFit="1" customWidth="1"/>
    <col min="14" max="18" width="10.58203125" style="10" customWidth="1"/>
    <col min="19" max="19" width="2.08203125" style="1" customWidth="1"/>
    <col min="20" max="20" width="3.58203125" style="22" customWidth="1"/>
    <col min="21" max="23" width="3.58203125" style="4" customWidth="1"/>
    <col min="24" max="24" width="3.08203125" style="4" bestFit="1" customWidth="1"/>
    <col min="25" max="29" width="10.58203125" style="10" customWidth="1"/>
    <col min="30" max="30" width="2.08203125" style="1" customWidth="1"/>
    <col min="31" max="31" width="7.58203125" style="4" customWidth="1"/>
    <col min="32" max="32" width="10.58203125" style="10" customWidth="1"/>
    <col min="33" max="33" width="10.58203125" style="1" customWidth="1"/>
    <col min="34" max="34" width="7.58203125" style="4" customWidth="1"/>
    <col min="35" max="35" width="10.58203125" style="10" customWidth="1"/>
    <col min="36" max="36" width="10.58203125" style="1" customWidth="1"/>
    <col min="37" max="37" width="7.58203125" style="4" customWidth="1"/>
    <col min="38" max="38" width="10.58203125" style="10" customWidth="1"/>
    <col min="39" max="39" width="10.58203125" style="1" customWidth="1"/>
    <col min="40" max="40" width="7.58203125" style="4" customWidth="1"/>
    <col min="41" max="41" width="10.58203125" style="10" customWidth="1"/>
    <col min="42" max="42" width="10.58203125" style="1" customWidth="1"/>
    <col min="43" max="16384" width="9" style="1"/>
  </cols>
  <sheetData>
    <row r="1" spans="1:45" ht="24" customHeight="1">
      <c r="A1" s="57" t="s">
        <v>58</v>
      </c>
      <c r="B1" s="57"/>
      <c r="C1" s="57"/>
      <c r="D1" s="57"/>
      <c r="E1" s="57"/>
      <c r="F1" s="57"/>
      <c r="G1" s="57"/>
      <c r="H1" s="58"/>
      <c r="J1" s="59" t="s">
        <v>60</v>
      </c>
      <c r="K1" s="59"/>
      <c r="L1" s="59"/>
      <c r="M1" s="59"/>
      <c r="N1" s="59"/>
      <c r="O1" s="59"/>
      <c r="P1" s="59"/>
      <c r="Q1" s="59"/>
      <c r="R1" s="59"/>
      <c r="T1" s="60" t="s">
        <v>59</v>
      </c>
      <c r="U1" s="60"/>
      <c r="V1" s="60"/>
      <c r="W1" s="60"/>
      <c r="X1" s="60"/>
      <c r="Y1" s="60"/>
      <c r="Z1" s="60"/>
      <c r="AA1" s="60"/>
      <c r="AB1" s="60"/>
      <c r="AC1" s="60"/>
      <c r="AE1" s="98" t="s">
        <v>179</v>
      </c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100"/>
    </row>
    <row r="2" spans="1:45" s="2" customFormat="1" ht="19.5" customHeight="1">
      <c r="A2" s="63" t="s">
        <v>55</v>
      </c>
      <c r="B2" s="63"/>
      <c r="C2" s="63"/>
      <c r="D2" s="65"/>
      <c r="E2" s="66"/>
      <c r="F2" s="67"/>
      <c r="G2" s="65"/>
      <c r="H2" s="67"/>
      <c r="J2" s="71" t="s">
        <v>56</v>
      </c>
      <c r="K2" s="71"/>
      <c r="L2" s="71"/>
      <c r="M2" s="71"/>
      <c r="N2" s="73"/>
      <c r="O2" s="74"/>
      <c r="P2" s="75"/>
      <c r="Q2" s="73"/>
      <c r="R2" s="75"/>
      <c r="T2" s="90" t="s">
        <v>57</v>
      </c>
      <c r="U2" s="90"/>
      <c r="V2" s="90"/>
      <c r="W2" s="90"/>
      <c r="X2" s="90"/>
      <c r="Y2" s="92"/>
      <c r="Z2" s="93"/>
      <c r="AA2" s="94"/>
      <c r="AB2" s="92"/>
      <c r="AC2" s="94"/>
      <c r="AE2" s="54" t="s">
        <v>171</v>
      </c>
      <c r="AF2" s="55"/>
      <c r="AG2" s="56"/>
      <c r="AH2" s="81" t="s">
        <v>172</v>
      </c>
      <c r="AI2" s="82"/>
      <c r="AJ2" s="83"/>
      <c r="AK2" s="54" t="s">
        <v>173</v>
      </c>
      <c r="AL2" s="55"/>
      <c r="AM2" s="56"/>
      <c r="AN2" s="81" t="s">
        <v>174</v>
      </c>
      <c r="AO2" s="82"/>
      <c r="AP2" s="83"/>
      <c r="AQ2" s="54" t="s">
        <v>175</v>
      </c>
      <c r="AR2" s="55"/>
      <c r="AS2" s="56"/>
    </row>
    <row r="3" spans="1:45" ht="16.5" customHeight="1">
      <c r="A3" s="63"/>
      <c r="B3" s="63"/>
      <c r="C3" s="63"/>
      <c r="D3" s="68"/>
      <c r="E3" s="69"/>
      <c r="F3" s="70"/>
      <c r="G3" s="68"/>
      <c r="H3" s="70"/>
      <c r="J3" s="71"/>
      <c r="K3" s="71"/>
      <c r="L3" s="71"/>
      <c r="M3" s="71"/>
      <c r="N3" s="76"/>
      <c r="O3" s="77"/>
      <c r="P3" s="78"/>
      <c r="Q3" s="76"/>
      <c r="R3" s="78"/>
      <c r="T3" s="90"/>
      <c r="U3" s="90"/>
      <c r="V3" s="90"/>
      <c r="W3" s="90"/>
      <c r="X3" s="90"/>
      <c r="Y3" s="95"/>
      <c r="Z3" s="96"/>
      <c r="AA3" s="97"/>
      <c r="AB3" s="95"/>
      <c r="AC3" s="97"/>
      <c r="AE3" s="52" t="s">
        <v>176</v>
      </c>
      <c r="AF3" s="84" t="s">
        <v>177</v>
      </c>
      <c r="AG3" s="84"/>
      <c r="AH3" s="52" t="s">
        <v>176</v>
      </c>
      <c r="AI3" s="85" t="s">
        <v>177</v>
      </c>
      <c r="AJ3" s="85"/>
      <c r="AK3" s="52" t="s">
        <v>176</v>
      </c>
      <c r="AL3" s="86" t="s">
        <v>177</v>
      </c>
      <c r="AM3" s="87"/>
      <c r="AN3" s="52" t="s">
        <v>176</v>
      </c>
      <c r="AO3" s="88" t="s">
        <v>177</v>
      </c>
      <c r="AP3" s="89"/>
      <c r="AQ3" s="52" t="s">
        <v>176</v>
      </c>
      <c r="AR3" s="86" t="s">
        <v>177</v>
      </c>
      <c r="AS3" s="87"/>
    </row>
    <row r="4" spans="1:45" s="4" customFormat="1" ht="15.75" customHeight="1">
      <c r="A4" s="63"/>
      <c r="B4" s="64"/>
      <c r="C4" s="64"/>
      <c r="D4" s="19" t="s">
        <v>25</v>
      </c>
      <c r="E4" s="19" t="s">
        <v>26</v>
      </c>
      <c r="F4" s="19" t="s">
        <v>27</v>
      </c>
      <c r="G4" s="19" t="s">
        <v>28</v>
      </c>
      <c r="H4" s="19" t="s">
        <v>29</v>
      </c>
      <c r="J4" s="71"/>
      <c r="K4" s="72"/>
      <c r="L4" s="72"/>
      <c r="M4" s="72"/>
      <c r="N4" s="34" t="s">
        <v>25</v>
      </c>
      <c r="O4" s="34" t="s">
        <v>26</v>
      </c>
      <c r="P4" s="34" t="s">
        <v>27</v>
      </c>
      <c r="Q4" s="34" t="s">
        <v>28</v>
      </c>
      <c r="R4" s="34" t="s">
        <v>29</v>
      </c>
      <c r="T4" s="90"/>
      <c r="U4" s="91"/>
      <c r="V4" s="91"/>
      <c r="W4" s="91"/>
      <c r="X4" s="91"/>
      <c r="Y4" s="35" t="s">
        <v>25</v>
      </c>
      <c r="Z4" s="35" t="s">
        <v>26</v>
      </c>
      <c r="AA4" s="35" t="s">
        <v>27</v>
      </c>
      <c r="AB4" s="35" t="s">
        <v>28</v>
      </c>
      <c r="AC4" s="35" t="s">
        <v>29</v>
      </c>
      <c r="AE4" s="52"/>
      <c r="AF4" s="52" t="s">
        <v>0</v>
      </c>
      <c r="AG4" s="52" t="s">
        <v>1</v>
      </c>
      <c r="AH4" s="52"/>
      <c r="AI4" s="52" t="s">
        <v>0</v>
      </c>
      <c r="AJ4" s="52" t="s">
        <v>1</v>
      </c>
      <c r="AK4" s="52" t="s">
        <v>2</v>
      </c>
      <c r="AL4" s="52" t="s">
        <v>0</v>
      </c>
      <c r="AM4" s="52" t="s">
        <v>1</v>
      </c>
      <c r="AN4" s="53" t="s">
        <v>2</v>
      </c>
      <c r="AO4" s="53" t="s">
        <v>0</v>
      </c>
      <c r="AP4" s="53" t="s">
        <v>1</v>
      </c>
      <c r="AQ4" s="52" t="s">
        <v>2</v>
      </c>
      <c r="AR4" s="52" t="s">
        <v>0</v>
      </c>
      <c r="AS4" s="52" t="s">
        <v>1</v>
      </c>
    </row>
    <row r="5" spans="1:45">
      <c r="A5" s="24">
        <v>1</v>
      </c>
      <c r="B5" s="19" t="s">
        <v>30</v>
      </c>
      <c r="C5" s="19" t="s">
        <v>32</v>
      </c>
      <c r="D5" s="11">
        <v>291</v>
      </c>
      <c r="E5" s="9">
        <v>312</v>
      </c>
      <c r="F5" s="9">
        <v>338</v>
      </c>
      <c r="G5" s="9">
        <v>360</v>
      </c>
      <c r="H5" s="9">
        <v>262</v>
      </c>
      <c r="J5" s="21">
        <v>1</v>
      </c>
      <c r="K5" s="34" t="s">
        <v>30</v>
      </c>
      <c r="L5" s="34" t="s">
        <v>35</v>
      </c>
      <c r="M5" s="34" t="s">
        <v>38</v>
      </c>
      <c r="N5" s="9">
        <v>63.43494882292201</v>
      </c>
      <c r="O5" s="9">
        <v>65.323136829662943</v>
      </c>
      <c r="P5" s="9">
        <v>73.658341803834773</v>
      </c>
      <c r="Q5" s="9">
        <v>68.975549329837065</v>
      </c>
      <c r="R5" s="9">
        <v>60.596160981916633</v>
      </c>
      <c r="T5" s="23">
        <v>1</v>
      </c>
      <c r="U5" s="35" t="s">
        <v>30</v>
      </c>
      <c r="V5" s="35" t="s">
        <v>35</v>
      </c>
      <c r="W5" s="35" t="s">
        <v>32</v>
      </c>
      <c r="X5" s="35" t="s">
        <v>38</v>
      </c>
      <c r="Y5" s="11">
        <v>32883</v>
      </c>
      <c r="Z5" s="9">
        <v>37128</v>
      </c>
      <c r="AA5" s="9">
        <v>32110</v>
      </c>
      <c r="AB5" s="9">
        <v>40680</v>
      </c>
      <c r="AC5" s="9">
        <v>34846</v>
      </c>
      <c r="AE5" s="52" t="s">
        <v>3</v>
      </c>
      <c r="AF5" s="29">
        <v>600</v>
      </c>
      <c r="AG5" s="29">
        <v>559</v>
      </c>
      <c r="AH5" s="52" t="s">
        <v>3</v>
      </c>
      <c r="AI5" s="29">
        <v>600</v>
      </c>
      <c r="AJ5" s="29">
        <v>516</v>
      </c>
      <c r="AK5" s="52" t="s">
        <v>3</v>
      </c>
      <c r="AL5" s="29">
        <v>600</v>
      </c>
      <c r="AM5" s="29">
        <v>437</v>
      </c>
      <c r="AN5" s="52" t="s">
        <v>3</v>
      </c>
      <c r="AO5" s="29">
        <v>600</v>
      </c>
      <c r="AP5" s="29">
        <v>433</v>
      </c>
      <c r="AQ5" s="52" t="s">
        <v>3</v>
      </c>
      <c r="AR5" s="29">
        <v>600</v>
      </c>
      <c r="AS5" s="29">
        <v>477</v>
      </c>
    </row>
    <row r="6" spans="1:45">
      <c r="A6" s="24">
        <v>2</v>
      </c>
      <c r="B6" s="19" t="s">
        <v>30</v>
      </c>
      <c r="C6" s="19" t="s">
        <v>33</v>
      </c>
      <c r="D6" s="11">
        <v>396</v>
      </c>
      <c r="E6" s="9">
        <v>430</v>
      </c>
      <c r="F6" s="9">
        <v>482</v>
      </c>
      <c r="G6" s="9">
        <v>464</v>
      </c>
      <c r="H6" s="9">
        <v>407</v>
      </c>
      <c r="J6" s="21">
        <v>2</v>
      </c>
      <c r="K6" s="34" t="s">
        <v>30</v>
      </c>
      <c r="L6" s="34" t="s">
        <v>41</v>
      </c>
      <c r="M6" s="34" t="s">
        <v>34</v>
      </c>
      <c r="N6" s="9">
        <v>92.766705144678937</v>
      </c>
      <c r="O6" s="9">
        <v>88.548517133118835</v>
      </c>
      <c r="P6" s="9">
        <v>97.233689046860462</v>
      </c>
      <c r="Q6" s="9">
        <v>104.84108442482901</v>
      </c>
      <c r="R6" s="9">
        <v>92.347882007747231</v>
      </c>
      <c r="T6" s="23">
        <v>2</v>
      </c>
      <c r="U6" s="35" t="s">
        <v>30</v>
      </c>
      <c r="V6" s="35" t="s">
        <v>41</v>
      </c>
      <c r="W6" s="35" t="s">
        <v>34</v>
      </c>
      <c r="X6" s="35" t="s">
        <v>42</v>
      </c>
      <c r="Y6" s="11">
        <v>163350</v>
      </c>
      <c r="Z6" s="9">
        <v>196854</v>
      </c>
      <c r="AA6" s="9">
        <v>211232</v>
      </c>
      <c r="AB6" s="9">
        <v>181792</v>
      </c>
      <c r="AC6" s="9">
        <v>207506</v>
      </c>
      <c r="AE6" s="52" t="s">
        <v>4</v>
      </c>
      <c r="AF6" s="29">
        <v>487</v>
      </c>
      <c r="AG6" s="29">
        <v>785</v>
      </c>
      <c r="AH6" s="52" t="s">
        <v>4</v>
      </c>
      <c r="AI6" s="29">
        <v>481</v>
      </c>
      <c r="AJ6" s="29">
        <v>775</v>
      </c>
      <c r="AK6" s="52" t="s">
        <v>4</v>
      </c>
      <c r="AL6" s="29">
        <v>505</v>
      </c>
      <c r="AM6" s="29">
        <v>761</v>
      </c>
      <c r="AN6" s="52" t="s">
        <v>4</v>
      </c>
      <c r="AO6" s="29">
        <v>487</v>
      </c>
      <c r="AP6" s="29">
        <v>727</v>
      </c>
      <c r="AQ6" s="52" t="s">
        <v>4</v>
      </c>
      <c r="AR6" s="29">
        <v>467</v>
      </c>
      <c r="AS6" s="29">
        <v>713</v>
      </c>
    </row>
    <row r="7" spans="1:45">
      <c r="A7" s="24">
        <v>3</v>
      </c>
      <c r="B7" s="19" t="s">
        <v>30</v>
      </c>
      <c r="C7" s="19" t="s">
        <v>34</v>
      </c>
      <c r="D7" s="11">
        <v>605</v>
      </c>
      <c r="E7" s="9">
        <v>654</v>
      </c>
      <c r="F7" s="9">
        <v>736</v>
      </c>
      <c r="G7" s="9">
        <v>736</v>
      </c>
      <c r="H7" s="9">
        <v>694</v>
      </c>
      <c r="J7" s="21">
        <v>3</v>
      </c>
      <c r="K7" s="34" t="s">
        <v>30</v>
      </c>
      <c r="L7" s="34" t="s">
        <v>44</v>
      </c>
      <c r="M7" s="34" t="s">
        <v>32</v>
      </c>
      <c r="N7" s="9">
        <v>46.978778483279051</v>
      </c>
      <c r="O7" s="9">
        <v>46.767799586287204</v>
      </c>
      <c r="P7" s="9">
        <v>44.736141814277907</v>
      </c>
      <c r="Q7" s="9">
        <v>55.051622200093625</v>
      </c>
      <c r="R7" s="9">
        <v>35.256106899696462</v>
      </c>
      <c r="T7" s="23">
        <v>3</v>
      </c>
      <c r="U7" s="35" t="s">
        <v>41</v>
      </c>
      <c r="V7" s="35" t="s">
        <v>39</v>
      </c>
      <c r="W7" s="35" t="s">
        <v>34</v>
      </c>
      <c r="X7" s="35" t="s">
        <v>42</v>
      </c>
      <c r="Y7" s="11">
        <v>59714.5</v>
      </c>
      <c r="Z7" s="9">
        <v>61632.5</v>
      </c>
      <c r="AA7" s="9">
        <v>64139</v>
      </c>
      <c r="AB7" s="9">
        <v>55643</v>
      </c>
      <c r="AC7" s="9">
        <v>65981</v>
      </c>
      <c r="AE7" s="52" t="s">
        <v>5</v>
      </c>
      <c r="AF7" s="29">
        <v>600</v>
      </c>
      <c r="AG7" s="29">
        <v>850</v>
      </c>
      <c r="AH7" s="52" t="s">
        <v>5</v>
      </c>
      <c r="AI7" s="29">
        <v>600</v>
      </c>
      <c r="AJ7" s="29">
        <v>828</v>
      </c>
      <c r="AK7" s="52" t="s">
        <v>5</v>
      </c>
      <c r="AL7" s="29">
        <v>600</v>
      </c>
      <c r="AM7" s="29">
        <v>775</v>
      </c>
      <c r="AN7" s="52" t="s">
        <v>5</v>
      </c>
      <c r="AO7" s="29">
        <v>600</v>
      </c>
      <c r="AP7" s="29">
        <v>793</v>
      </c>
      <c r="AQ7" s="52" t="s">
        <v>5</v>
      </c>
      <c r="AR7" s="29">
        <v>600</v>
      </c>
      <c r="AS7" s="29">
        <v>739</v>
      </c>
    </row>
    <row r="8" spans="1:45" ht="15.75" customHeight="1">
      <c r="A8" s="24">
        <v>4</v>
      </c>
      <c r="B8" s="19" t="s">
        <v>35</v>
      </c>
      <c r="C8" s="19" t="s">
        <v>38</v>
      </c>
      <c r="D8" s="11">
        <v>226</v>
      </c>
      <c r="E8" s="9">
        <v>238</v>
      </c>
      <c r="F8" s="9">
        <v>190</v>
      </c>
      <c r="G8" s="9">
        <v>226</v>
      </c>
      <c r="H8" s="9">
        <v>266</v>
      </c>
      <c r="J8" s="21">
        <v>4</v>
      </c>
      <c r="K8" s="34" t="s">
        <v>35</v>
      </c>
      <c r="L8" s="34" t="s">
        <v>32</v>
      </c>
      <c r="M8" s="34" t="s">
        <v>38</v>
      </c>
      <c r="N8" s="9">
        <v>120.18314535718974</v>
      </c>
      <c r="O8" s="9">
        <v>131.98570674622835</v>
      </c>
      <c r="P8" s="9">
        <v>163.23350303814121</v>
      </c>
      <c r="Q8" s="9">
        <v>119.42409401866796</v>
      </c>
      <c r="R8" s="9">
        <v>157.87763507681649</v>
      </c>
      <c r="T8" s="23">
        <v>4</v>
      </c>
      <c r="U8" s="35" t="s">
        <v>46</v>
      </c>
      <c r="V8" s="35" t="s">
        <v>43</v>
      </c>
      <c r="W8" s="35" t="s">
        <v>33</v>
      </c>
      <c r="X8" s="35" t="s">
        <v>47</v>
      </c>
      <c r="Y8" s="11">
        <v>349032</v>
      </c>
      <c r="Z8" s="9">
        <v>364566</v>
      </c>
      <c r="AA8" s="9">
        <v>396853</v>
      </c>
      <c r="AB8" s="9">
        <v>339116</v>
      </c>
      <c r="AC8" s="9">
        <v>359849</v>
      </c>
      <c r="AE8" s="52" t="s">
        <v>6</v>
      </c>
      <c r="AF8" s="29">
        <f>AF7+(AF7-AF6)</f>
        <v>713</v>
      </c>
      <c r="AG8" s="29">
        <f>AG6</f>
        <v>785</v>
      </c>
      <c r="AH8" s="52" t="s">
        <v>6</v>
      </c>
      <c r="AI8" s="29">
        <f>AI7+(AI7-AI6)</f>
        <v>719</v>
      </c>
      <c r="AJ8" s="29">
        <f>AJ6</f>
        <v>775</v>
      </c>
      <c r="AK8" s="52" t="s">
        <v>6</v>
      </c>
      <c r="AL8" s="29">
        <f t="shared" ref="AL8" si="0">AL7+(AL7-AL6)</f>
        <v>695</v>
      </c>
      <c r="AM8" s="29">
        <f t="shared" ref="AM8" si="1">AM6</f>
        <v>761</v>
      </c>
      <c r="AN8" s="52" t="s">
        <v>6</v>
      </c>
      <c r="AO8" s="29">
        <f t="shared" ref="AO8" si="2">AO7+(AO7-AO6)</f>
        <v>713</v>
      </c>
      <c r="AP8" s="29">
        <f t="shared" ref="AP8" si="3">AP6</f>
        <v>727</v>
      </c>
      <c r="AQ8" s="52" t="s">
        <v>6</v>
      </c>
      <c r="AR8" s="29">
        <f t="shared" ref="AR8" si="4">AR7+(AR7-AR6)</f>
        <v>733</v>
      </c>
      <c r="AS8" s="29">
        <f t="shared" ref="AS8" si="5">AS6</f>
        <v>713</v>
      </c>
    </row>
    <row r="9" spans="1:45" ht="15.75" customHeight="1">
      <c r="A9" s="24">
        <v>5</v>
      </c>
      <c r="B9" s="19" t="s">
        <v>32</v>
      </c>
      <c r="C9" s="19" t="s">
        <v>33</v>
      </c>
      <c r="D9" s="11">
        <v>105</v>
      </c>
      <c r="E9" s="9">
        <v>118</v>
      </c>
      <c r="F9" s="9">
        <v>144</v>
      </c>
      <c r="G9" s="9">
        <v>104</v>
      </c>
      <c r="H9" s="9">
        <v>145</v>
      </c>
      <c r="J9" s="21">
        <v>5</v>
      </c>
      <c r="K9" s="34" t="s">
        <v>39</v>
      </c>
      <c r="L9" s="34" t="s">
        <v>34</v>
      </c>
      <c r="M9" s="34" t="s">
        <v>40</v>
      </c>
      <c r="N9" s="9">
        <v>167.14250450234039</v>
      </c>
      <c r="O9" s="9">
        <v>172.28639802882023</v>
      </c>
      <c r="P9" s="9">
        <v>154.60083102080532</v>
      </c>
      <c r="Q9" s="9">
        <v>144.51065674988612</v>
      </c>
      <c r="R9" s="9">
        <v>169.11933593798889</v>
      </c>
      <c r="T9" s="23">
        <v>5</v>
      </c>
      <c r="U9" s="35" t="s">
        <v>48</v>
      </c>
      <c r="V9" s="35" t="s">
        <v>43</v>
      </c>
      <c r="W9" s="35" t="s">
        <v>34</v>
      </c>
      <c r="X9" s="35" t="s">
        <v>44</v>
      </c>
      <c r="Y9" s="11">
        <v>291346</v>
      </c>
      <c r="Z9" s="9">
        <v>312460</v>
      </c>
      <c r="AA9" s="9">
        <v>336030</v>
      </c>
      <c r="AB9" s="9">
        <v>297938</v>
      </c>
      <c r="AC9" s="9">
        <v>364798</v>
      </c>
      <c r="AE9" s="52" t="s">
        <v>77</v>
      </c>
      <c r="AF9" s="29">
        <v>600</v>
      </c>
      <c r="AG9" s="29">
        <v>955</v>
      </c>
      <c r="AH9" s="52" t="s">
        <v>77</v>
      </c>
      <c r="AI9" s="29">
        <v>600</v>
      </c>
      <c r="AJ9" s="29">
        <v>946</v>
      </c>
      <c r="AK9" s="52" t="s">
        <v>77</v>
      </c>
      <c r="AL9" s="29">
        <v>600</v>
      </c>
      <c r="AM9" s="29">
        <v>919</v>
      </c>
      <c r="AN9" s="52" t="s">
        <v>77</v>
      </c>
      <c r="AO9" s="29">
        <v>600</v>
      </c>
      <c r="AP9" s="29">
        <v>897</v>
      </c>
      <c r="AQ9" s="52" t="s">
        <v>77</v>
      </c>
      <c r="AR9" s="29">
        <v>600</v>
      </c>
      <c r="AS9" s="29">
        <v>884</v>
      </c>
    </row>
    <row r="10" spans="1:45">
      <c r="A10" s="24">
        <v>6</v>
      </c>
      <c r="B10" s="19" t="s">
        <v>32</v>
      </c>
      <c r="C10" s="19" t="s">
        <v>34</v>
      </c>
      <c r="D10" s="11">
        <v>314</v>
      </c>
      <c r="E10" s="9">
        <v>342</v>
      </c>
      <c r="F10" s="9">
        <v>398</v>
      </c>
      <c r="G10" s="9">
        <v>376</v>
      </c>
      <c r="H10" s="9">
        <v>432</v>
      </c>
      <c r="J10" s="21">
        <v>6</v>
      </c>
      <c r="K10" s="34" t="s">
        <v>40</v>
      </c>
      <c r="L10" s="34" t="s">
        <v>34</v>
      </c>
      <c r="M10" s="34" t="s">
        <v>62</v>
      </c>
      <c r="N10" s="9">
        <v>8.0089202216296655</v>
      </c>
      <c r="O10" s="9">
        <v>4.8445613852300156</v>
      </c>
      <c r="P10" s="9">
        <v>13.391051705106547</v>
      </c>
      <c r="Q10" s="9">
        <v>18.831185462070263</v>
      </c>
      <c r="R10" s="9">
        <v>6.3293331236623924</v>
      </c>
      <c r="T10" s="23">
        <v>6</v>
      </c>
      <c r="U10" s="35" t="s">
        <v>52</v>
      </c>
      <c r="V10" s="35" t="s">
        <v>51</v>
      </c>
      <c r="W10" s="35" t="s">
        <v>54</v>
      </c>
      <c r="X10" s="35" t="s">
        <v>50</v>
      </c>
      <c r="Y10" s="11">
        <v>2466</v>
      </c>
      <c r="Z10" s="9">
        <v>3150.5</v>
      </c>
      <c r="AA10" s="9">
        <v>4278.5</v>
      </c>
      <c r="AB10" s="9">
        <v>2993</v>
      </c>
      <c r="AC10" s="9">
        <v>4384</v>
      </c>
      <c r="AE10" s="52" t="s">
        <v>8</v>
      </c>
      <c r="AF10" s="29">
        <v>529</v>
      </c>
      <c r="AG10" s="29">
        <v>1156</v>
      </c>
      <c r="AH10" s="52" t="s">
        <v>8</v>
      </c>
      <c r="AI10" s="29">
        <v>511</v>
      </c>
      <c r="AJ10" s="29">
        <v>1164</v>
      </c>
      <c r="AK10" s="52" t="s">
        <v>8</v>
      </c>
      <c r="AL10" s="29">
        <v>529</v>
      </c>
      <c r="AM10" s="29">
        <v>1157</v>
      </c>
      <c r="AN10" s="52" t="s">
        <v>8</v>
      </c>
      <c r="AO10" s="29">
        <v>525</v>
      </c>
      <c r="AP10" s="29">
        <v>1145</v>
      </c>
      <c r="AQ10" s="52" t="s">
        <v>8</v>
      </c>
      <c r="AR10" s="29">
        <v>516</v>
      </c>
      <c r="AS10" s="29">
        <v>1163</v>
      </c>
    </row>
    <row r="11" spans="1:45">
      <c r="A11" s="24">
        <v>7</v>
      </c>
      <c r="B11" s="19" t="s">
        <v>39</v>
      </c>
      <c r="C11" s="19" t="s">
        <v>40</v>
      </c>
      <c r="D11" s="11">
        <v>142</v>
      </c>
      <c r="E11" s="9">
        <v>178</v>
      </c>
      <c r="F11" s="9">
        <v>142</v>
      </c>
      <c r="G11" s="9">
        <v>150</v>
      </c>
      <c r="H11" s="9">
        <v>168</v>
      </c>
      <c r="J11" s="21">
        <v>7</v>
      </c>
      <c r="K11" s="34" t="s">
        <v>41</v>
      </c>
      <c r="L11" s="34" t="s">
        <v>34</v>
      </c>
      <c r="M11" s="34" t="s">
        <v>62</v>
      </c>
      <c r="N11" s="9">
        <v>145.18858268586658</v>
      </c>
      <c r="O11" s="9">
        <v>149.9680509756725</v>
      </c>
      <c r="P11" s="9">
        <v>145.02181517302887</v>
      </c>
      <c r="Q11" s="9">
        <v>141.258133916529</v>
      </c>
      <c r="R11" s="9">
        <v>147.5095970261693</v>
      </c>
      <c r="T11" s="23">
        <v>7</v>
      </c>
      <c r="U11" s="35" t="s">
        <v>76</v>
      </c>
      <c r="V11" s="35" t="s">
        <v>73</v>
      </c>
      <c r="W11" s="35" t="s">
        <v>75</v>
      </c>
      <c r="X11" s="35" t="s">
        <v>74</v>
      </c>
      <c r="Y11" s="11">
        <v>3427.5</v>
      </c>
      <c r="Z11" s="9">
        <v>3471</v>
      </c>
      <c r="AA11" s="9">
        <v>6806</v>
      </c>
      <c r="AB11" s="9">
        <v>5906</v>
      </c>
      <c r="AC11" s="9">
        <v>2979</v>
      </c>
      <c r="AE11" s="52" t="s">
        <v>9</v>
      </c>
      <c r="AF11" s="29">
        <v>600</v>
      </c>
      <c r="AG11" s="29">
        <v>1164</v>
      </c>
      <c r="AH11" s="52" t="s">
        <v>9</v>
      </c>
      <c r="AI11" s="29">
        <v>600</v>
      </c>
      <c r="AJ11" s="29">
        <v>1170</v>
      </c>
      <c r="AK11" s="52" t="s">
        <v>9</v>
      </c>
      <c r="AL11" s="29">
        <v>600</v>
      </c>
      <c r="AM11" s="29">
        <v>1173</v>
      </c>
      <c r="AN11" s="52" t="s">
        <v>9</v>
      </c>
      <c r="AO11" s="29">
        <v>600</v>
      </c>
      <c r="AP11" s="29">
        <v>1169</v>
      </c>
      <c r="AQ11" s="52" t="s">
        <v>9</v>
      </c>
      <c r="AR11" s="29">
        <v>600</v>
      </c>
      <c r="AS11" s="29">
        <v>1171</v>
      </c>
    </row>
    <row r="12" spans="1:45">
      <c r="A12" s="24">
        <v>8</v>
      </c>
      <c r="B12" s="19" t="s">
        <v>41</v>
      </c>
      <c r="C12" s="19" t="s">
        <v>42</v>
      </c>
      <c r="D12" s="11">
        <v>540</v>
      </c>
      <c r="E12" s="9">
        <v>602</v>
      </c>
      <c r="F12" s="9">
        <v>574</v>
      </c>
      <c r="G12" s="9">
        <v>494</v>
      </c>
      <c r="H12" s="9">
        <v>598</v>
      </c>
      <c r="J12" s="21">
        <v>8</v>
      </c>
      <c r="K12" s="34" t="s">
        <v>42</v>
      </c>
      <c r="L12" s="34" t="s">
        <v>34</v>
      </c>
      <c r="M12" s="34" t="s">
        <v>62</v>
      </c>
      <c r="N12" s="9">
        <v>37.971762259733474</v>
      </c>
      <c r="O12" s="9">
        <v>32.007469823607153</v>
      </c>
      <c r="P12" s="9">
        <v>36.361119257989245</v>
      </c>
      <c r="Q12" s="9">
        <v>40.914893757497637</v>
      </c>
      <c r="R12" s="9">
        <v>34.268405159144713</v>
      </c>
      <c r="T12" s="23">
        <v>8</v>
      </c>
      <c r="U12" s="35"/>
      <c r="V12" s="35"/>
      <c r="W12" s="35"/>
      <c r="X12" s="35"/>
      <c r="Y12" s="11"/>
      <c r="Z12" s="9"/>
      <c r="AA12" s="9"/>
      <c r="AB12" s="9"/>
      <c r="AC12" s="9"/>
      <c r="AE12" s="52" t="s">
        <v>10</v>
      </c>
      <c r="AF12" s="29">
        <f>AF11+(AF11-AF10)</f>
        <v>671</v>
      </c>
      <c r="AG12" s="29">
        <f>AG10</f>
        <v>1156</v>
      </c>
      <c r="AH12" s="52" t="s">
        <v>10</v>
      </c>
      <c r="AI12" s="29">
        <f>AI11+(AI11-AI10)</f>
        <v>689</v>
      </c>
      <c r="AJ12" s="29">
        <f>AJ10</f>
        <v>1164</v>
      </c>
      <c r="AK12" s="52" t="s">
        <v>10</v>
      </c>
      <c r="AL12" s="29">
        <f t="shared" ref="AL12" si="6">AL11+(AL11-AL10)</f>
        <v>671</v>
      </c>
      <c r="AM12" s="29">
        <f t="shared" ref="AM12" si="7">AM10</f>
        <v>1157</v>
      </c>
      <c r="AN12" s="52" t="s">
        <v>10</v>
      </c>
      <c r="AO12" s="29">
        <f t="shared" ref="AO12" si="8">AO11+(AO11-AO10)</f>
        <v>675</v>
      </c>
      <c r="AP12" s="29">
        <f t="shared" ref="AP12" si="9">AP10</f>
        <v>1145</v>
      </c>
      <c r="AQ12" s="52" t="s">
        <v>10</v>
      </c>
      <c r="AR12" s="29">
        <f t="shared" ref="AR12" si="10">AR11+(AR11-AR10)</f>
        <v>684</v>
      </c>
      <c r="AS12" s="29">
        <f t="shared" ref="AS12" si="11">AS10</f>
        <v>1163</v>
      </c>
    </row>
    <row r="13" spans="1:45">
      <c r="A13" s="24">
        <v>9</v>
      </c>
      <c r="B13" s="19" t="s">
        <v>43</v>
      </c>
      <c r="C13" s="19" t="s">
        <v>44</v>
      </c>
      <c r="D13" s="11">
        <v>646</v>
      </c>
      <c r="E13" s="9">
        <v>680</v>
      </c>
      <c r="F13" s="9">
        <v>690</v>
      </c>
      <c r="G13" s="9">
        <v>622</v>
      </c>
      <c r="H13" s="9">
        <v>734</v>
      </c>
      <c r="J13" s="21">
        <v>9</v>
      </c>
      <c r="K13" s="34" t="s">
        <v>43</v>
      </c>
      <c r="L13" s="34" t="s">
        <v>41</v>
      </c>
      <c r="M13" s="34" t="s">
        <v>34</v>
      </c>
      <c r="N13" s="9">
        <v>141.74713920135531</v>
      </c>
      <c r="O13" s="9">
        <v>130.85327338817442</v>
      </c>
      <c r="P13" s="9">
        <v>142.15410523201587</v>
      </c>
      <c r="Q13" s="9">
        <v>145.25054123922294</v>
      </c>
      <c r="R13" s="9">
        <v>139.84983250609633</v>
      </c>
      <c r="T13" s="23">
        <v>9</v>
      </c>
      <c r="U13" s="35"/>
      <c r="V13" s="35"/>
      <c r="W13" s="35"/>
      <c r="X13" s="35"/>
      <c r="Y13" s="11"/>
      <c r="Z13" s="9"/>
      <c r="AA13" s="9"/>
      <c r="AB13" s="9"/>
      <c r="AC13" s="9"/>
      <c r="AE13" s="52" t="s">
        <v>11</v>
      </c>
      <c r="AF13" s="29">
        <v>330</v>
      </c>
      <c r="AG13" s="29">
        <v>965</v>
      </c>
      <c r="AH13" s="52" t="s">
        <v>11</v>
      </c>
      <c r="AI13" s="29">
        <v>299</v>
      </c>
      <c r="AJ13" s="29">
        <v>989</v>
      </c>
      <c r="AK13" s="52" t="s">
        <v>11</v>
      </c>
      <c r="AL13" s="29">
        <v>313</v>
      </c>
      <c r="AM13" s="29">
        <v>967</v>
      </c>
      <c r="AN13" s="52" t="s">
        <v>11</v>
      </c>
      <c r="AO13" s="29">
        <v>353</v>
      </c>
      <c r="AP13" s="29">
        <v>963</v>
      </c>
      <c r="AQ13" s="52" t="s">
        <v>11</v>
      </c>
      <c r="AR13" s="29">
        <v>301</v>
      </c>
      <c r="AS13" s="29">
        <v>974</v>
      </c>
    </row>
    <row r="14" spans="1:45">
      <c r="A14" s="24">
        <v>10</v>
      </c>
      <c r="B14" s="19" t="s">
        <v>45</v>
      </c>
      <c r="C14" s="19" t="s">
        <v>43</v>
      </c>
      <c r="D14" s="11">
        <v>47.010637094172637</v>
      </c>
      <c r="E14" s="9">
        <v>77.1621668954417</v>
      </c>
      <c r="F14" s="9">
        <v>87.13208364316786</v>
      </c>
      <c r="G14" s="9">
        <v>21.540659228538015</v>
      </c>
      <c r="H14" s="9">
        <v>64.629714528226103</v>
      </c>
      <c r="J14" s="21">
        <v>10</v>
      </c>
      <c r="K14" s="34" t="s">
        <v>44</v>
      </c>
      <c r="L14" s="34" t="s">
        <v>32</v>
      </c>
      <c r="M14" s="34" t="s">
        <v>62</v>
      </c>
      <c r="N14" s="9">
        <v>43.214597936050517</v>
      </c>
      <c r="O14" s="9">
        <v>41.913767573704988</v>
      </c>
      <c r="P14" s="9">
        <v>35.589936398957107</v>
      </c>
      <c r="Q14" s="9">
        <v>44.987357304783636</v>
      </c>
      <c r="R14" s="9">
        <v>36.46680729919683</v>
      </c>
      <c r="T14" s="23">
        <v>10</v>
      </c>
      <c r="U14" s="35"/>
      <c r="V14" s="35"/>
      <c r="W14" s="35"/>
      <c r="X14" s="35"/>
      <c r="Y14" s="11"/>
      <c r="Z14" s="9"/>
      <c r="AA14" s="9"/>
      <c r="AB14" s="9"/>
      <c r="AC14" s="9"/>
      <c r="AE14" s="52" t="s">
        <v>12</v>
      </c>
      <c r="AF14" s="29">
        <f>600+(600-AF13)</f>
        <v>870</v>
      </c>
      <c r="AG14" s="29">
        <f>AG13</f>
        <v>965</v>
      </c>
      <c r="AH14" s="52" t="s">
        <v>12</v>
      </c>
      <c r="AI14" s="29">
        <f>600+(600-AI13)</f>
        <v>901</v>
      </c>
      <c r="AJ14" s="29">
        <f>AJ13</f>
        <v>989</v>
      </c>
      <c r="AK14" s="52" t="s">
        <v>12</v>
      </c>
      <c r="AL14" s="29">
        <f t="shared" ref="AL14" si="12">600+(600-AL13)</f>
        <v>887</v>
      </c>
      <c r="AM14" s="29">
        <f t="shared" ref="AM14" si="13">AM13</f>
        <v>967</v>
      </c>
      <c r="AN14" s="52" t="s">
        <v>12</v>
      </c>
      <c r="AO14" s="29">
        <f t="shared" ref="AO14" si="14">600+(600-AO13)</f>
        <v>847</v>
      </c>
      <c r="AP14" s="29">
        <f t="shared" ref="AP14" si="15">AP13</f>
        <v>963</v>
      </c>
      <c r="AQ14" s="52" t="s">
        <v>12</v>
      </c>
      <c r="AR14" s="29">
        <f>600+(600-AR13)</f>
        <v>899</v>
      </c>
      <c r="AS14" s="29">
        <f t="shared" ref="AS14" si="16">AS13</f>
        <v>974</v>
      </c>
    </row>
    <row r="15" spans="1:45">
      <c r="A15" s="24">
        <v>11</v>
      </c>
      <c r="B15" s="19" t="s">
        <v>46</v>
      </c>
      <c r="C15" s="19" t="s">
        <v>47</v>
      </c>
      <c r="D15" s="11">
        <v>724</v>
      </c>
      <c r="E15" s="9">
        <v>744.00268816718665</v>
      </c>
      <c r="F15" s="9">
        <v>826</v>
      </c>
      <c r="G15" s="9">
        <v>710</v>
      </c>
      <c r="H15" s="9">
        <v>704</v>
      </c>
      <c r="J15" s="21">
        <v>11</v>
      </c>
      <c r="K15" s="34" t="s">
        <v>44</v>
      </c>
      <c r="L15" s="34" t="s">
        <v>33</v>
      </c>
      <c r="M15" s="34" t="s">
        <v>62</v>
      </c>
      <c r="N15" s="9">
        <v>50.737125020280764</v>
      </c>
      <c r="O15" s="9">
        <v>50.131408381306038</v>
      </c>
      <c r="P15" s="9">
        <v>47.446376327291951</v>
      </c>
      <c r="Q15" s="9">
        <v>54.100792245011498</v>
      </c>
      <c r="R15" s="9">
        <v>47.917680360539912</v>
      </c>
      <c r="T15" s="23">
        <v>11</v>
      </c>
      <c r="U15" s="35"/>
      <c r="V15" s="35"/>
      <c r="W15" s="35"/>
      <c r="X15" s="35"/>
      <c r="Y15" s="11"/>
      <c r="Z15" s="9"/>
      <c r="AA15" s="9"/>
      <c r="AB15" s="9"/>
      <c r="AC15" s="9"/>
      <c r="AE15" s="52" t="s">
        <v>13</v>
      </c>
      <c r="AF15" s="29">
        <v>277</v>
      </c>
      <c r="AG15" s="29">
        <v>772</v>
      </c>
      <c r="AH15" s="52" t="s">
        <v>13</v>
      </c>
      <c r="AI15" s="29">
        <v>260</v>
      </c>
      <c r="AJ15" s="29">
        <v>764</v>
      </c>
      <c r="AK15" s="52" t="s">
        <v>13</v>
      </c>
      <c r="AL15" s="29">
        <v>255</v>
      </c>
      <c r="AM15" s="29">
        <v>771</v>
      </c>
      <c r="AN15" s="52" t="s">
        <v>13</v>
      </c>
      <c r="AO15" s="29">
        <v>289</v>
      </c>
      <c r="AP15" s="29">
        <v>731</v>
      </c>
      <c r="AQ15" s="52" t="s">
        <v>13</v>
      </c>
      <c r="AR15" s="29">
        <v>233</v>
      </c>
      <c r="AS15" s="29">
        <v>744</v>
      </c>
    </row>
    <row r="16" spans="1:45" ht="15.75" customHeight="1">
      <c r="A16" s="24">
        <v>12</v>
      </c>
      <c r="B16" s="19" t="s">
        <v>48</v>
      </c>
      <c r="C16" s="19" t="s">
        <v>30</v>
      </c>
      <c r="D16" s="11">
        <v>297</v>
      </c>
      <c r="E16" s="9">
        <v>265</v>
      </c>
      <c r="F16" s="9">
        <v>238</v>
      </c>
      <c r="G16" s="9">
        <v>222</v>
      </c>
      <c r="H16" s="9">
        <v>300</v>
      </c>
      <c r="J16" s="21">
        <v>12</v>
      </c>
      <c r="K16" s="34" t="s">
        <v>47</v>
      </c>
      <c r="L16" s="34" t="s">
        <v>30</v>
      </c>
      <c r="M16" s="34" t="s">
        <v>62</v>
      </c>
      <c r="N16" s="9">
        <v>89.651456183356188</v>
      </c>
      <c r="O16" s="9">
        <v>89.876087991703443</v>
      </c>
      <c r="P16" s="9">
        <v>83.007874973992188</v>
      </c>
      <c r="Q16" s="9">
        <v>88.181013699826067</v>
      </c>
      <c r="R16" s="9">
        <v>91.937484730108409</v>
      </c>
      <c r="T16" s="23">
        <v>12</v>
      </c>
      <c r="U16" s="35"/>
      <c r="V16" s="35"/>
      <c r="W16" s="35"/>
      <c r="X16" s="35"/>
      <c r="Y16" s="11"/>
      <c r="Z16" s="9"/>
      <c r="AA16" s="9"/>
      <c r="AB16" s="9"/>
      <c r="AC16" s="9"/>
      <c r="AE16" s="52" t="s">
        <v>14</v>
      </c>
      <c r="AF16" s="29">
        <f>600+(600-AF15)</f>
        <v>923</v>
      </c>
      <c r="AG16" s="29">
        <f>AG15</f>
        <v>772</v>
      </c>
      <c r="AH16" s="52" t="s">
        <v>14</v>
      </c>
      <c r="AI16" s="29">
        <f>600+(600-AI15)</f>
        <v>940</v>
      </c>
      <c r="AJ16" s="29">
        <f>AJ15</f>
        <v>764</v>
      </c>
      <c r="AK16" s="52" t="s">
        <v>14</v>
      </c>
      <c r="AL16" s="29">
        <f t="shared" ref="AL16" si="17">600+(600-AL15)</f>
        <v>945</v>
      </c>
      <c r="AM16" s="29">
        <f t="shared" ref="AM16" si="18">AM15</f>
        <v>771</v>
      </c>
      <c r="AN16" s="52" t="s">
        <v>14</v>
      </c>
      <c r="AO16" s="29">
        <f t="shared" ref="AO16" si="19">600+(600-AO15)</f>
        <v>911</v>
      </c>
      <c r="AP16" s="29">
        <f t="shared" ref="AP16" si="20">AP15</f>
        <v>731</v>
      </c>
      <c r="AQ16" s="52" t="s">
        <v>14</v>
      </c>
      <c r="AR16" s="29">
        <f t="shared" ref="AR16" si="21">600+(600-AR15)</f>
        <v>967</v>
      </c>
      <c r="AS16" s="29">
        <f t="shared" ref="AS16" si="22">AS15</f>
        <v>744</v>
      </c>
    </row>
    <row r="17" spans="1:45" ht="15.75" customHeight="1">
      <c r="A17" s="24">
        <v>13</v>
      </c>
      <c r="B17" s="19" t="s">
        <v>48</v>
      </c>
      <c r="C17" s="19" t="s">
        <v>32</v>
      </c>
      <c r="D17" s="11">
        <v>588</v>
      </c>
      <c r="E17" s="9">
        <v>577</v>
      </c>
      <c r="F17" s="9">
        <v>576</v>
      </c>
      <c r="G17" s="9">
        <v>582</v>
      </c>
      <c r="H17" s="9">
        <v>562</v>
      </c>
      <c r="J17" s="21">
        <v>13</v>
      </c>
      <c r="K17" s="34" t="s">
        <v>47</v>
      </c>
      <c r="L17" s="34" t="s">
        <v>48</v>
      </c>
      <c r="M17" s="34" t="s">
        <v>62</v>
      </c>
      <c r="N17" s="9">
        <v>63.550896055918578</v>
      </c>
      <c r="O17" s="9">
        <v>64.8075081329401</v>
      </c>
      <c r="P17" s="9">
        <v>60.79403704151995</v>
      </c>
      <c r="Q17" s="9">
        <v>64.887631353650534</v>
      </c>
      <c r="R17" s="9">
        <v>61.75060974057719</v>
      </c>
      <c r="T17" s="23">
        <v>13</v>
      </c>
      <c r="U17" s="35"/>
      <c r="V17" s="35"/>
      <c r="W17" s="35"/>
      <c r="X17" s="35"/>
      <c r="Y17" s="11"/>
      <c r="Z17" s="9"/>
      <c r="AA17" s="9"/>
      <c r="AB17" s="9"/>
      <c r="AC17" s="9"/>
      <c r="AE17" s="52" t="s">
        <v>15</v>
      </c>
      <c r="AF17" s="29">
        <v>234</v>
      </c>
      <c r="AG17" s="29">
        <v>753</v>
      </c>
      <c r="AH17" s="52" t="s">
        <v>15</v>
      </c>
      <c r="AI17" s="29">
        <v>183</v>
      </c>
      <c r="AJ17" s="29">
        <v>759</v>
      </c>
      <c r="AK17" s="52" t="s">
        <v>15</v>
      </c>
      <c r="AL17" s="29">
        <v>169</v>
      </c>
      <c r="AM17" s="29">
        <v>757</v>
      </c>
      <c r="AN17" s="52" t="s">
        <v>15</v>
      </c>
      <c r="AO17" s="29">
        <v>297</v>
      </c>
      <c r="AP17" s="29">
        <v>711</v>
      </c>
      <c r="AQ17" s="52" t="s">
        <v>15</v>
      </c>
      <c r="AR17" s="29">
        <v>169</v>
      </c>
      <c r="AS17" s="29">
        <v>735</v>
      </c>
    </row>
    <row r="18" spans="1:45">
      <c r="A18" s="24">
        <v>14</v>
      </c>
      <c r="B18" s="19" t="s">
        <v>48</v>
      </c>
      <c r="C18" s="19" t="s">
        <v>33</v>
      </c>
      <c r="D18" s="11">
        <v>693</v>
      </c>
      <c r="E18" s="9">
        <v>695</v>
      </c>
      <c r="F18" s="9">
        <v>720</v>
      </c>
      <c r="G18" s="9">
        <v>686</v>
      </c>
      <c r="H18" s="9">
        <v>707</v>
      </c>
      <c r="J18" s="21">
        <v>14</v>
      </c>
      <c r="K18" s="44" t="s">
        <v>48</v>
      </c>
      <c r="L18" s="44" t="s">
        <v>78</v>
      </c>
      <c r="M18" s="44" t="s">
        <v>79</v>
      </c>
      <c r="N18" s="11">
        <v>44.394182434078452</v>
      </c>
      <c r="O18" s="9">
        <v>48.575012333225118</v>
      </c>
      <c r="P18" s="9">
        <v>37.344156749436394</v>
      </c>
      <c r="Q18" s="9">
        <v>45.51715450551572</v>
      </c>
      <c r="R18" s="9">
        <v>29.377947595201235</v>
      </c>
      <c r="T18" s="23">
        <v>14</v>
      </c>
      <c r="U18" s="35"/>
      <c r="V18" s="35"/>
      <c r="W18" s="35"/>
      <c r="X18" s="35"/>
      <c r="Y18" s="11"/>
      <c r="Z18" s="9"/>
      <c r="AA18" s="9"/>
      <c r="AB18" s="9"/>
      <c r="AC18" s="9"/>
      <c r="AE18" s="52" t="s">
        <v>16</v>
      </c>
      <c r="AF18" s="29">
        <f>600+(600-AF17)</f>
        <v>966</v>
      </c>
      <c r="AG18" s="29">
        <f>AG17</f>
        <v>753</v>
      </c>
      <c r="AH18" s="52" t="s">
        <v>16</v>
      </c>
      <c r="AI18" s="29">
        <f>600+(600-AI17)</f>
        <v>1017</v>
      </c>
      <c r="AJ18" s="29">
        <f>AJ17</f>
        <v>759</v>
      </c>
      <c r="AK18" s="52" t="s">
        <v>16</v>
      </c>
      <c r="AL18" s="29">
        <f t="shared" ref="AL18" si="23">600+(600-AL17)</f>
        <v>1031</v>
      </c>
      <c r="AM18" s="29">
        <f t="shared" ref="AM18" si="24">AM17</f>
        <v>757</v>
      </c>
      <c r="AN18" s="52" t="s">
        <v>16</v>
      </c>
      <c r="AO18" s="29">
        <f t="shared" ref="AO18" si="25">600+(600-AO17)</f>
        <v>903</v>
      </c>
      <c r="AP18" s="29">
        <f t="shared" ref="AP18" si="26">AP17</f>
        <v>711</v>
      </c>
      <c r="AQ18" s="52" t="s">
        <v>16</v>
      </c>
      <c r="AR18" s="29">
        <f t="shared" ref="AR18" si="27">600+(600-AR17)</f>
        <v>1031</v>
      </c>
      <c r="AS18" s="29">
        <f t="shared" ref="AS18" si="28">AS17</f>
        <v>735</v>
      </c>
    </row>
    <row r="19" spans="1:45">
      <c r="A19" s="24">
        <v>15</v>
      </c>
      <c r="B19" s="19" t="s">
        <v>48</v>
      </c>
      <c r="C19" s="19" t="s">
        <v>34</v>
      </c>
      <c r="D19" s="11">
        <v>902</v>
      </c>
      <c r="E19" s="9">
        <v>919</v>
      </c>
      <c r="F19" s="9">
        <v>974</v>
      </c>
      <c r="G19" s="9">
        <v>958</v>
      </c>
      <c r="H19" s="9">
        <v>994</v>
      </c>
      <c r="J19" s="21">
        <v>15</v>
      </c>
      <c r="K19" s="44" t="s">
        <v>80</v>
      </c>
      <c r="L19" s="44" t="s">
        <v>78</v>
      </c>
      <c r="M19" s="44" t="s">
        <v>79</v>
      </c>
      <c r="N19" s="11">
        <v>16.772144192952961</v>
      </c>
      <c r="O19" s="9">
        <v>33.629822259756722</v>
      </c>
      <c r="P19" s="9">
        <v>27.590761222285984</v>
      </c>
      <c r="Q19" s="9">
        <v>34.226036385619388</v>
      </c>
      <c r="R19" s="9">
        <v>11.040940180323789</v>
      </c>
      <c r="T19" s="23">
        <v>15</v>
      </c>
      <c r="U19" s="35"/>
      <c r="V19" s="35"/>
      <c r="W19" s="35"/>
      <c r="X19" s="35"/>
      <c r="Y19" s="11"/>
      <c r="Z19" s="9"/>
      <c r="AA19" s="9"/>
      <c r="AB19" s="9"/>
      <c r="AC19" s="9"/>
      <c r="AE19" s="52" t="s">
        <v>17</v>
      </c>
      <c r="AF19" s="29">
        <v>238</v>
      </c>
      <c r="AG19" s="29">
        <v>225</v>
      </c>
      <c r="AH19" s="52" t="s">
        <v>17</v>
      </c>
      <c r="AI19" s="29">
        <v>209</v>
      </c>
      <c r="AJ19" s="29">
        <v>207</v>
      </c>
      <c r="AK19" s="52" t="s">
        <v>17</v>
      </c>
      <c r="AL19" s="29">
        <v>187</v>
      </c>
      <c r="AM19" s="29">
        <v>189</v>
      </c>
      <c r="AN19" s="52" t="s">
        <v>17</v>
      </c>
      <c r="AO19" s="29">
        <v>245</v>
      </c>
      <c r="AP19" s="29">
        <v>175</v>
      </c>
      <c r="AQ19" s="52" t="s">
        <v>17</v>
      </c>
      <c r="AR19" s="29">
        <v>248</v>
      </c>
      <c r="AS19" s="29">
        <v>166</v>
      </c>
    </row>
    <row r="20" spans="1:45">
      <c r="A20" s="24">
        <v>16</v>
      </c>
      <c r="B20" s="19" t="s">
        <v>50</v>
      </c>
      <c r="C20" s="19" t="s">
        <v>51</v>
      </c>
      <c r="D20" s="11">
        <v>36.013886210738214</v>
      </c>
      <c r="E20" s="9">
        <v>43.737855457258078</v>
      </c>
      <c r="F20" s="9">
        <v>54.230987451824994</v>
      </c>
      <c r="G20" s="9">
        <v>40.049968789001575</v>
      </c>
      <c r="H20" s="9">
        <v>53.338541412378348</v>
      </c>
      <c r="I20" s="3"/>
      <c r="J20" s="21">
        <v>16</v>
      </c>
      <c r="K20" s="44" t="s">
        <v>48</v>
      </c>
      <c r="L20" s="44" t="s">
        <v>81</v>
      </c>
      <c r="M20" s="44" t="s">
        <v>79</v>
      </c>
      <c r="N20" s="11">
        <v>92.982075900955849</v>
      </c>
      <c r="O20" s="9">
        <v>128.62235151024584</v>
      </c>
      <c r="P20" s="9">
        <v>122.00142440345267</v>
      </c>
      <c r="Q20" s="9">
        <v>104.64354091270735</v>
      </c>
      <c r="R20" s="9">
        <v>96.619512901209347</v>
      </c>
      <c r="T20" s="23">
        <v>16</v>
      </c>
      <c r="U20" s="35"/>
      <c r="V20" s="35"/>
      <c r="W20" s="35"/>
      <c r="X20" s="35"/>
      <c r="Y20" s="11"/>
      <c r="Z20" s="9"/>
      <c r="AA20" s="9"/>
      <c r="AB20" s="9"/>
      <c r="AC20" s="9"/>
      <c r="AE20" s="52" t="s">
        <v>18</v>
      </c>
      <c r="AF20" s="29">
        <v>600</v>
      </c>
      <c r="AG20" s="29">
        <v>262</v>
      </c>
      <c r="AH20" s="52" t="s">
        <v>18</v>
      </c>
      <c r="AI20" s="29">
        <v>600</v>
      </c>
      <c r="AJ20" s="29">
        <v>251</v>
      </c>
      <c r="AK20" s="52" t="s">
        <v>18</v>
      </c>
      <c r="AL20" s="29">
        <v>600</v>
      </c>
      <c r="AM20" s="29">
        <v>199</v>
      </c>
      <c r="AN20" s="52" t="s">
        <v>18</v>
      </c>
      <c r="AO20" s="29">
        <v>600</v>
      </c>
      <c r="AP20" s="29">
        <v>211</v>
      </c>
      <c r="AQ20" s="52" t="s">
        <v>18</v>
      </c>
      <c r="AR20" s="29">
        <v>600</v>
      </c>
      <c r="AS20" s="29">
        <v>177</v>
      </c>
    </row>
    <row r="21" spans="1:45">
      <c r="A21" s="24">
        <v>17</v>
      </c>
      <c r="B21" s="19" t="s">
        <v>65</v>
      </c>
      <c r="C21" s="19" t="s">
        <v>66</v>
      </c>
      <c r="D21" s="11">
        <v>209</v>
      </c>
      <c r="E21" s="9">
        <v>224</v>
      </c>
      <c r="F21" s="9">
        <v>254</v>
      </c>
      <c r="G21" s="9">
        <v>272</v>
      </c>
      <c r="H21" s="9">
        <v>287</v>
      </c>
      <c r="I21" s="3"/>
      <c r="J21" s="21">
        <v>17</v>
      </c>
      <c r="K21" s="44" t="s">
        <v>80</v>
      </c>
      <c r="L21" s="44" t="s">
        <v>81</v>
      </c>
      <c r="M21" s="44" t="s">
        <v>79</v>
      </c>
      <c r="N21" s="11">
        <v>17.282260349640651</v>
      </c>
      <c r="O21" s="9">
        <v>40.479184065728703</v>
      </c>
      <c r="P21" s="9">
        <v>31.138972436978854</v>
      </c>
      <c r="Q21" s="9">
        <v>29.651381390762023</v>
      </c>
      <c r="R21" s="9">
        <v>13.529714427216659</v>
      </c>
      <c r="T21" s="23">
        <v>17</v>
      </c>
      <c r="U21" s="35"/>
      <c r="V21" s="35"/>
      <c r="W21" s="35"/>
      <c r="X21" s="35"/>
      <c r="Y21" s="11"/>
      <c r="Z21" s="9"/>
      <c r="AA21" s="9"/>
      <c r="AB21" s="9"/>
      <c r="AC21" s="9"/>
      <c r="AE21" s="52" t="s">
        <v>19</v>
      </c>
      <c r="AF21" s="29">
        <f>600+(600-AF19)</f>
        <v>962</v>
      </c>
      <c r="AG21" s="29">
        <f>AG19</f>
        <v>225</v>
      </c>
      <c r="AH21" s="52" t="s">
        <v>19</v>
      </c>
      <c r="AI21" s="29">
        <v>953</v>
      </c>
      <c r="AJ21" s="29">
        <v>209</v>
      </c>
      <c r="AK21" s="52" t="s">
        <v>87</v>
      </c>
      <c r="AL21" s="29">
        <f t="shared" ref="AL21" si="29">600+(600-AL19)</f>
        <v>1013</v>
      </c>
      <c r="AM21" s="29">
        <f t="shared" ref="AM21" si="30">AM19</f>
        <v>189</v>
      </c>
      <c r="AN21" s="52" t="s">
        <v>19</v>
      </c>
      <c r="AO21" s="29">
        <f t="shared" ref="AO21" si="31">600+(600-AO19)</f>
        <v>955</v>
      </c>
      <c r="AP21" s="29">
        <f t="shared" ref="AP21" si="32">AP19</f>
        <v>175</v>
      </c>
      <c r="AQ21" s="52" t="s">
        <v>19</v>
      </c>
      <c r="AR21" s="29">
        <f t="shared" ref="AR21" si="33">600+(600-AR19)</f>
        <v>952</v>
      </c>
      <c r="AS21" s="29">
        <f t="shared" ref="AS21" si="34">AS19</f>
        <v>166</v>
      </c>
    </row>
    <row r="22" spans="1:45">
      <c r="A22" s="24">
        <v>18</v>
      </c>
      <c r="B22" s="19" t="s">
        <v>76</v>
      </c>
      <c r="C22" s="19" t="s">
        <v>75</v>
      </c>
      <c r="D22" s="11">
        <v>33.955853692699293</v>
      </c>
      <c r="E22" s="9">
        <v>50.358713248056688</v>
      </c>
      <c r="F22" s="9">
        <v>60.530983801686226</v>
      </c>
      <c r="G22" s="9">
        <v>60.033324079214538</v>
      </c>
      <c r="H22" s="9">
        <v>27.658633371878661</v>
      </c>
      <c r="I22" s="3"/>
      <c r="J22" s="21">
        <v>18</v>
      </c>
      <c r="K22" s="34"/>
      <c r="L22" s="34"/>
      <c r="M22" s="34"/>
      <c r="N22" s="11"/>
      <c r="O22" s="9"/>
      <c r="P22" s="9"/>
      <c r="Q22" s="9"/>
      <c r="R22" s="9"/>
      <c r="T22" s="23">
        <v>18</v>
      </c>
      <c r="U22" s="35"/>
      <c r="V22" s="35"/>
      <c r="W22" s="35"/>
      <c r="X22" s="35"/>
      <c r="Y22" s="11"/>
      <c r="Z22" s="9"/>
      <c r="AA22" s="9"/>
      <c r="AB22" s="9"/>
      <c r="AC22" s="9"/>
      <c r="AE22" s="52" t="s">
        <v>20</v>
      </c>
      <c r="AF22" s="29">
        <v>375</v>
      </c>
      <c r="AG22" s="29">
        <v>639</v>
      </c>
      <c r="AH22" s="52" t="s">
        <v>20</v>
      </c>
      <c r="AI22" s="29">
        <v>366</v>
      </c>
      <c r="AJ22" s="29">
        <v>622</v>
      </c>
      <c r="AK22" s="52" t="s">
        <v>20</v>
      </c>
      <c r="AL22" s="29">
        <v>365</v>
      </c>
      <c r="AM22" s="29">
        <v>558</v>
      </c>
      <c r="AN22" s="53" t="s">
        <v>20</v>
      </c>
      <c r="AO22" s="30">
        <v>368</v>
      </c>
      <c r="AP22" s="30">
        <v>552</v>
      </c>
      <c r="AQ22" s="52" t="s">
        <v>20</v>
      </c>
      <c r="AR22" s="29">
        <v>334</v>
      </c>
      <c r="AS22" s="29">
        <v>552</v>
      </c>
    </row>
    <row r="23" spans="1:45">
      <c r="A23" s="24">
        <v>19</v>
      </c>
      <c r="B23" s="19" t="s">
        <v>73</v>
      </c>
      <c r="C23" s="19" t="s">
        <v>74</v>
      </c>
      <c r="D23" s="11">
        <v>207.02173798903343</v>
      </c>
      <c r="E23" s="9">
        <v>142.1442928857856</v>
      </c>
      <c r="F23" s="9">
        <v>225.33752461585266</v>
      </c>
      <c r="G23" s="9">
        <v>197.04060495238031</v>
      </c>
      <c r="H23" s="9">
        <v>224.50167037240502</v>
      </c>
      <c r="I23" s="3"/>
      <c r="J23" s="21">
        <v>19</v>
      </c>
      <c r="K23" s="34"/>
      <c r="L23" s="34"/>
      <c r="M23" s="34"/>
      <c r="N23" s="11"/>
      <c r="O23" s="9"/>
      <c r="P23" s="9"/>
      <c r="Q23" s="9"/>
      <c r="R23" s="9"/>
      <c r="T23" s="23">
        <v>19</v>
      </c>
      <c r="U23" s="35"/>
      <c r="V23" s="35"/>
      <c r="W23" s="35"/>
      <c r="X23" s="35"/>
      <c r="Y23" s="11"/>
      <c r="Z23" s="9"/>
      <c r="AA23" s="9"/>
      <c r="AB23" s="9"/>
      <c r="AC23" s="9"/>
      <c r="AE23" s="52" t="s">
        <v>21</v>
      </c>
      <c r="AF23" s="29">
        <v>458</v>
      </c>
      <c r="AG23" s="29">
        <v>643</v>
      </c>
      <c r="AH23" s="53" t="s">
        <v>21</v>
      </c>
      <c r="AI23" s="30">
        <v>437</v>
      </c>
      <c r="AJ23" s="30">
        <v>622</v>
      </c>
      <c r="AK23" s="52" t="s">
        <v>21</v>
      </c>
      <c r="AL23" s="29">
        <v>449</v>
      </c>
      <c r="AM23" s="29">
        <v>568</v>
      </c>
      <c r="AN23" s="53" t="s">
        <v>21</v>
      </c>
      <c r="AO23" s="30">
        <v>442</v>
      </c>
      <c r="AP23" s="30">
        <v>552</v>
      </c>
      <c r="AQ23" s="52" t="s">
        <v>21</v>
      </c>
      <c r="AR23" s="29">
        <v>419</v>
      </c>
      <c r="AS23" s="29">
        <v>561</v>
      </c>
    </row>
    <row r="24" spans="1:45">
      <c r="A24" s="24">
        <v>20</v>
      </c>
      <c r="B24" s="19"/>
      <c r="C24" s="19"/>
      <c r="D24" s="9"/>
      <c r="E24" s="9"/>
      <c r="F24" s="9"/>
      <c r="G24" s="9"/>
      <c r="H24" s="9"/>
      <c r="I24" s="3"/>
      <c r="J24" s="21">
        <v>20</v>
      </c>
      <c r="K24" s="34"/>
      <c r="L24" s="34"/>
      <c r="M24" s="34"/>
      <c r="N24" s="11"/>
      <c r="O24" s="9"/>
      <c r="P24" s="9"/>
      <c r="Q24" s="9"/>
      <c r="R24" s="9"/>
      <c r="T24" s="23">
        <v>20</v>
      </c>
      <c r="U24" s="35"/>
      <c r="V24" s="35"/>
      <c r="W24" s="35"/>
      <c r="X24" s="35"/>
      <c r="Y24" s="11"/>
      <c r="Z24" s="9"/>
      <c r="AA24" s="9"/>
      <c r="AB24" s="9"/>
      <c r="AC24" s="9"/>
      <c r="AE24" s="52" t="s">
        <v>22</v>
      </c>
      <c r="AF24" s="29">
        <v>512</v>
      </c>
      <c r="AG24" s="29">
        <v>639</v>
      </c>
      <c r="AH24" s="53" t="s">
        <v>22</v>
      </c>
      <c r="AI24" s="30">
        <v>509</v>
      </c>
      <c r="AJ24" s="30">
        <v>603</v>
      </c>
      <c r="AK24" s="52" t="s">
        <v>22</v>
      </c>
      <c r="AL24" s="29">
        <v>523</v>
      </c>
      <c r="AM24" s="29">
        <v>553</v>
      </c>
      <c r="AN24" s="53" t="s">
        <v>22</v>
      </c>
      <c r="AO24" s="30">
        <v>518</v>
      </c>
      <c r="AP24" s="30">
        <v>545</v>
      </c>
      <c r="AQ24" s="52" t="s">
        <v>22</v>
      </c>
      <c r="AR24" s="29">
        <v>500</v>
      </c>
      <c r="AS24" s="29">
        <v>547</v>
      </c>
    </row>
    <row r="25" spans="1:45" ht="15.75" customHeight="1">
      <c r="A25" s="24">
        <v>21</v>
      </c>
      <c r="B25" s="19"/>
      <c r="C25" s="19"/>
      <c r="D25" s="9"/>
      <c r="E25" s="9"/>
      <c r="F25" s="9"/>
      <c r="G25" s="9"/>
      <c r="H25" s="9"/>
      <c r="I25" s="3"/>
      <c r="J25" s="21">
        <v>21</v>
      </c>
      <c r="K25" s="34"/>
      <c r="L25" s="34"/>
      <c r="M25" s="34"/>
      <c r="N25" s="11"/>
      <c r="O25" s="9"/>
      <c r="P25" s="9"/>
      <c r="Q25" s="9"/>
      <c r="R25" s="9"/>
      <c r="T25" s="23">
        <v>21</v>
      </c>
      <c r="U25" s="35"/>
      <c r="V25" s="35"/>
      <c r="W25" s="35"/>
      <c r="X25" s="35"/>
      <c r="Y25" s="11"/>
      <c r="Z25" s="9"/>
      <c r="AA25" s="9"/>
      <c r="AB25" s="9"/>
      <c r="AC25" s="9"/>
      <c r="AE25" s="52" t="s">
        <v>23</v>
      </c>
      <c r="AF25" s="29">
        <v>457</v>
      </c>
      <c r="AG25" s="29">
        <v>607</v>
      </c>
      <c r="AH25" s="53" t="s">
        <v>23</v>
      </c>
      <c r="AI25" s="30">
        <v>429</v>
      </c>
      <c r="AJ25" s="30">
        <v>579</v>
      </c>
      <c r="AK25" s="52" t="s">
        <v>23</v>
      </c>
      <c r="AL25" s="29">
        <v>444</v>
      </c>
      <c r="AM25" s="29">
        <v>514</v>
      </c>
      <c r="AN25" s="53" t="s">
        <v>23</v>
      </c>
      <c r="AO25" s="30">
        <v>444</v>
      </c>
      <c r="AP25" s="30">
        <v>512</v>
      </c>
      <c r="AQ25" s="52" t="s">
        <v>23</v>
      </c>
      <c r="AR25" s="29">
        <v>425</v>
      </c>
      <c r="AS25" s="29">
        <v>508</v>
      </c>
    </row>
    <row r="26" spans="1:45" ht="16.5" customHeight="1">
      <c r="A26" s="24">
        <v>22</v>
      </c>
      <c r="B26" s="19"/>
      <c r="C26" s="19"/>
      <c r="D26" s="9"/>
      <c r="E26" s="9"/>
      <c r="F26" s="9"/>
      <c r="G26" s="9"/>
      <c r="H26" s="9"/>
      <c r="I26" s="3"/>
      <c r="J26" s="21">
        <v>22</v>
      </c>
      <c r="K26" s="34"/>
      <c r="L26" s="34"/>
      <c r="M26" s="34"/>
      <c r="N26" s="11"/>
      <c r="O26" s="9"/>
      <c r="P26" s="9"/>
      <c r="Q26" s="9"/>
      <c r="R26" s="9"/>
      <c r="T26" s="23">
        <v>22</v>
      </c>
      <c r="U26" s="35"/>
      <c r="V26" s="35"/>
      <c r="W26" s="35"/>
      <c r="X26" s="35"/>
      <c r="Y26" s="11"/>
      <c r="Z26" s="9"/>
      <c r="AA26" s="9"/>
      <c r="AB26" s="9"/>
      <c r="AC26" s="9"/>
      <c r="AE26" s="52" t="s">
        <v>24</v>
      </c>
      <c r="AF26" s="31">
        <v>1180</v>
      </c>
      <c r="AG26" s="31">
        <v>1180</v>
      </c>
      <c r="AH26" s="53" t="s">
        <v>24</v>
      </c>
      <c r="AI26" s="30">
        <v>1180</v>
      </c>
      <c r="AJ26" s="30">
        <v>1180</v>
      </c>
      <c r="AK26" s="52" t="s">
        <v>24</v>
      </c>
      <c r="AL26" s="31">
        <v>1180</v>
      </c>
      <c r="AM26" s="31">
        <v>1180</v>
      </c>
      <c r="AN26" s="53" t="s">
        <v>24</v>
      </c>
      <c r="AO26" s="30">
        <v>1180</v>
      </c>
      <c r="AP26" s="30">
        <v>1180</v>
      </c>
      <c r="AQ26" s="32" t="s">
        <v>24</v>
      </c>
      <c r="AR26" s="31">
        <v>1180</v>
      </c>
      <c r="AS26" s="31">
        <v>1180</v>
      </c>
    </row>
    <row r="27" spans="1:45">
      <c r="A27" s="24">
        <v>23</v>
      </c>
      <c r="B27" s="19"/>
      <c r="C27" s="19"/>
      <c r="D27" s="9"/>
      <c r="E27" s="9"/>
      <c r="F27" s="9"/>
      <c r="G27" s="9"/>
      <c r="H27" s="9"/>
      <c r="J27" s="21">
        <v>23</v>
      </c>
      <c r="K27" s="34"/>
      <c r="L27" s="34"/>
      <c r="M27" s="34"/>
      <c r="N27" s="11"/>
      <c r="O27" s="9"/>
      <c r="P27" s="9"/>
      <c r="Q27" s="9"/>
      <c r="R27" s="9"/>
      <c r="T27" s="23">
        <v>23</v>
      </c>
      <c r="U27" s="35"/>
      <c r="V27" s="35"/>
      <c r="W27" s="35"/>
      <c r="X27" s="35"/>
      <c r="Y27" s="11"/>
      <c r="Z27" s="9"/>
      <c r="AA27" s="9"/>
      <c r="AB27" s="9"/>
      <c r="AC27" s="9"/>
      <c r="AE27" s="46" t="s">
        <v>67</v>
      </c>
      <c r="AF27" s="8">
        <v>600</v>
      </c>
      <c r="AG27" s="37">
        <v>0</v>
      </c>
      <c r="AH27" s="46" t="s">
        <v>67</v>
      </c>
      <c r="AI27" s="9">
        <v>600</v>
      </c>
      <c r="AJ27" s="38">
        <v>0</v>
      </c>
      <c r="AK27" s="46" t="s">
        <v>67</v>
      </c>
      <c r="AL27" s="8">
        <v>600</v>
      </c>
      <c r="AM27" s="37">
        <v>0</v>
      </c>
      <c r="AN27" s="46" t="s">
        <v>67</v>
      </c>
      <c r="AO27" s="9">
        <v>600</v>
      </c>
      <c r="AP27" s="38">
        <v>0</v>
      </c>
      <c r="AQ27" s="46" t="s">
        <v>67</v>
      </c>
      <c r="AR27" s="8">
        <v>600</v>
      </c>
      <c r="AS27" s="37">
        <v>0</v>
      </c>
    </row>
    <row r="28" spans="1:45" s="7" customFormat="1">
      <c r="A28" s="24">
        <v>24</v>
      </c>
      <c r="B28" s="19"/>
      <c r="C28" s="19"/>
      <c r="D28" s="17"/>
      <c r="E28" s="12"/>
      <c r="F28" s="12"/>
      <c r="G28" s="12"/>
      <c r="H28" s="12"/>
      <c r="J28" s="21">
        <v>24</v>
      </c>
      <c r="K28" s="34"/>
      <c r="L28" s="34"/>
      <c r="M28" s="34"/>
      <c r="N28" s="17"/>
      <c r="O28" s="12"/>
      <c r="P28" s="12"/>
      <c r="Q28" s="12"/>
      <c r="R28" s="12"/>
      <c r="T28" s="23">
        <v>24</v>
      </c>
      <c r="U28" s="35"/>
      <c r="V28" s="35"/>
      <c r="W28" s="35"/>
      <c r="X28" s="35"/>
      <c r="Y28" s="17"/>
      <c r="Z28" s="12"/>
      <c r="AA28" s="12"/>
      <c r="AB28" s="12"/>
      <c r="AC28" s="12"/>
      <c r="AE28" s="46" t="s">
        <v>68</v>
      </c>
      <c r="AF28" s="8">
        <v>447</v>
      </c>
      <c r="AG28" s="37">
        <v>523</v>
      </c>
      <c r="AH28" s="46" t="s">
        <v>68</v>
      </c>
      <c r="AI28" s="9">
        <v>419</v>
      </c>
      <c r="AJ28" s="38">
        <v>485</v>
      </c>
      <c r="AK28" s="46" t="s">
        <v>68</v>
      </c>
      <c r="AL28" s="8">
        <v>430</v>
      </c>
      <c r="AM28" s="37">
        <v>389</v>
      </c>
      <c r="AN28" s="46" t="s">
        <v>68</v>
      </c>
      <c r="AO28" s="9">
        <v>434</v>
      </c>
      <c r="AP28" s="38">
        <v>391</v>
      </c>
      <c r="AQ28" s="46" t="s">
        <v>68</v>
      </c>
      <c r="AR28" s="8">
        <v>421</v>
      </c>
      <c r="AS28" s="37">
        <v>412</v>
      </c>
    </row>
    <row r="29" spans="1:45">
      <c r="A29" s="24">
        <v>25</v>
      </c>
      <c r="B29" s="19"/>
      <c r="C29" s="19"/>
      <c r="D29" s="18"/>
      <c r="E29" s="13"/>
      <c r="F29" s="9"/>
      <c r="G29" s="9"/>
      <c r="H29" s="9"/>
      <c r="J29" s="21">
        <v>25</v>
      </c>
      <c r="K29" s="34"/>
      <c r="L29" s="34"/>
      <c r="M29" s="34"/>
      <c r="N29" s="11"/>
      <c r="O29" s="9"/>
      <c r="P29" s="9"/>
      <c r="Q29" s="9"/>
      <c r="R29" s="9"/>
      <c r="T29" s="23">
        <v>25</v>
      </c>
      <c r="U29" s="35"/>
      <c r="V29" s="35"/>
      <c r="W29" s="35"/>
      <c r="X29" s="35"/>
      <c r="Y29" s="11"/>
      <c r="Z29" s="9"/>
      <c r="AA29" s="9"/>
      <c r="AB29" s="9"/>
      <c r="AC29" s="9"/>
      <c r="AE29" s="46" t="s">
        <v>69</v>
      </c>
      <c r="AF29" s="8">
        <v>344</v>
      </c>
      <c r="AG29" s="37">
        <v>565</v>
      </c>
      <c r="AH29" s="46" t="s">
        <v>69</v>
      </c>
      <c r="AI29" s="9">
        <v>343</v>
      </c>
      <c r="AJ29" s="38">
        <v>534</v>
      </c>
      <c r="AK29" s="46" t="s">
        <v>69</v>
      </c>
      <c r="AL29" s="8">
        <v>321</v>
      </c>
      <c r="AM29" s="37">
        <v>461</v>
      </c>
      <c r="AN29" s="46" t="s">
        <v>69</v>
      </c>
      <c r="AO29" s="9">
        <v>343</v>
      </c>
      <c r="AP29" s="38">
        <v>446</v>
      </c>
      <c r="AQ29" s="46" t="s">
        <v>69</v>
      </c>
      <c r="AR29" s="8">
        <v>307</v>
      </c>
      <c r="AS29" s="37">
        <v>469</v>
      </c>
    </row>
    <row r="30" spans="1:45">
      <c r="A30" s="24">
        <v>26</v>
      </c>
      <c r="B30" s="19"/>
      <c r="C30" s="19"/>
      <c r="D30" s="11"/>
      <c r="E30" s="9"/>
      <c r="F30" s="9"/>
      <c r="G30" s="9"/>
      <c r="H30" s="9"/>
      <c r="J30" s="21">
        <v>26</v>
      </c>
      <c r="K30" s="34"/>
      <c r="L30" s="34"/>
      <c r="M30" s="34"/>
      <c r="N30" s="11"/>
      <c r="O30" s="9"/>
      <c r="P30" s="9"/>
      <c r="Q30" s="9"/>
      <c r="R30" s="9"/>
      <c r="T30" s="23">
        <v>26</v>
      </c>
      <c r="U30" s="35"/>
      <c r="V30" s="35"/>
      <c r="W30" s="35"/>
      <c r="X30" s="35"/>
      <c r="Y30" s="11"/>
      <c r="Z30" s="9"/>
      <c r="AA30" s="9"/>
      <c r="AB30" s="9"/>
      <c r="AC30" s="9"/>
      <c r="AE30" s="46" t="s">
        <v>70</v>
      </c>
      <c r="AF30" s="8">
        <v>551</v>
      </c>
      <c r="AG30" s="37">
        <v>568</v>
      </c>
      <c r="AH30" s="46" t="s">
        <v>70</v>
      </c>
      <c r="AI30" s="9">
        <v>484</v>
      </c>
      <c r="AJ30" s="38">
        <v>516</v>
      </c>
      <c r="AK30" s="46" t="s">
        <v>70</v>
      </c>
      <c r="AL30" s="8">
        <v>542</v>
      </c>
      <c r="AM30" s="37">
        <v>417</v>
      </c>
      <c r="AN30" s="46" t="s">
        <v>70</v>
      </c>
      <c r="AO30" s="9">
        <v>540</v>
      </c>
      <c r="AP30" s="38">
        <v>450</v>
      </c>
      <c r="AQ30" s="46" t="s">
        <v>70</v>
      </c>
      <c r="AR30" s="8">
        <v>531</v>
      </c>
      <c r="AS30" s="37">
        <v>454</v>
      </c>
    </row>
    <row r="31" spans="1:45">
      <c r="A31" s="24">
        <v>27</v>
      </c>
      <c r="B31" s="19"/>
      <c r="C31" s="19"/>
      <c r="D31" s="11"/>
      <c r="E31" s="9"/>
      <c r="F31" s="9"/>
      <c r="G31" s="9"/>
      <c r="H31" s="9"/>
      <c r="J31" s="21">
        <v>27</v>
      </c>
      <c r="K31" s="34"/>
      <c r="L31" s="34"/>
      <c r="M31" s="34"/>
      <c r="N31" s="11"/>
      <c r="O31" s="9"/>
      <c r="P31" s="9"/>
      <c r="Q31" s="9"/>
      <c r="R31" s="9"/>
      <c r="T31" s="23">
        <v>27</v>
      </c>
      <c r="U31" s="35"/>
      <c r="V31" s="35"/>
      <c r="W31" s="35"/>
      <c r="X31" s="35"/>
      <c r="Y31" s="11"/>
      <c r="Z31" s="9"/>
      <c r="AA31" s="9"/>
      <c r="AB31" s="9"/>
      <c r="AC31" s="9"/>
      <c r="AE31" s="46" t="s">
        <v>71</v>
      </c>
      <c r="AF31" s="8">
        <v>439</v>
      </c>
      <c r="AG31" s="37">
        <v>556</v>
      </c>
      <c r="AH31" s="46" t="s">
        <v>71</v>
      </c>
      <c r="AI31" s="9">
        <v>413</v>
      </c>
      <c r="AJ31" s="38">
        <v>535</v>
      </c>
      <c r="AK31" s="46" t="s">
        <v>71</v>
      </c>
      <c r="AL31" s="8">
        <v>438</v>
      </c>
      <c r="AM31" s="37">
        <v>449</v>
      </c>
      <c r="AN31" s="46" t="s">
        <v>71</v>
      </c>
      <c r="AO31" s="9">
        <v>436</v>
      </c>
      <c r="AP31" s="38">
        <v>451</v>
      </c>
      <c r="AQ31" s="46" t="s">
        <v>71</v>
      </c>
      <c r="AR31" s="8">
        <v>415</v>
      </c>
      <c r="AS31" s="37">
        <v>439</v>
      </c>
    </row>
    <row r="32" spans="1:45">
      <c r="A32" s="24">
        <v>28</v>
      </c>
      <c r="B32" s="19"/>
      <c r="C32" s="19"/>
      <c r="D32" s="11"/>
      <c r="E32" s="9"/>
      <c r="F32" s="9"/>
      <c r="G32" s="9"/>
      <c r="H32" s="9"/>
      <c r="J32" s="21">
        <v>28</v>
      </c>
      <c r="K32" s="34"/>
      <c r="L32" s="34"/>
      <c r="M32" s="34"/>
      <c r="N32" s="11"/>
      <c r="O32" s="9"/>
      <c r="P32" s="9"/>
      <c r="Q32" s="9"/>
      <c r="R32" s="9"/>
      <c r="T32" s="23">
        <v>28</v>
      </c>
      <c r="U32" s="35"/>
      <c r="V32" s="35"/>
      <c r="W32" s="35"/>
      <c r="X32" s="35"/>
      <c r="Y32" s="11"/>
      <c r="Z32" s="9"/>
      <c r="AA32" s="9"/>
      <c r="AB32" s="9"/>
      <c r="AC32" s="9"/>
      <c r="AE32" s="46"/>
      <c r="AF32" s="8"/>
      <c r="AG32" s="37"/>
      <c r="AH32" s="46"/>
      <c r="AI32" s="9"/>
      <c r="AJ32" s="38"/>
      <c r="AK32" s="46"/>
      <c r="AL32" s="8"/>
      <c r="AM32" s="37"/>
      <c r="AN32" s="46"/>
      <c r="AO32" s="9"/>
      <c r="AP32" s="38"/>
      <c r="AQ32" s="46"/>
      <c r="AR32" s="8"/>
      <c r="AS32" s="37"/>
    </row>
    <row r="33" spans="1:45">
      <c r="A33" s="24">
        <v>29</v>
      </c>
      <c r="B33" s="19"/>
      <c r="C33" s="19"/>
      <c r="D33" s="11"/>
      <c r="E33" s="9"/>
      <c r="F33" s="9"/>
      <c r="G33" s="9"/>
      <c r="H33" s="9"/>
      <c r="J33" s="21">
        <v>29</v>
      </c>
      <c r="K33" s="34"/>
      <c r="L33" s="34"/>
      <c r="M33" s="34"/>
      <c r="N33" s="11"/>
      <c r="O33" s="9"/>
      <c r="P33" s="9"/>
      <c r="Q33" s="9"/>
      <c r="R33" s="9"/>
      <c r="T33" s="23">
        <v>29</v>
      </c>
      <c r="U33" s="35"/>
      <c r="V33" s="35"/>
      <c r="W33" s="35"/>
      <c r="X33" s="35"/>
      <c r="Y33" s="11"/>
      <c r="Z33" s="9"/>
      <c r="AA33" s="9"/>
      <c r="AB33" s="9"/>
      <c r="AC33" s="9"/>
      <c r="AE33" s="46"/>
      <c r="AF33" s="8"/>
      <c r="AG33" s="37"/>
      <c r="AH33" s="47"/>
      <c r="AI33" s="9"/>
      <c r="AJ33" s="38"/>
      <c r="AK33" s="46"/>
      <c r="AL33" s="8"/>
      <c r="AM33" s="37"/>
      <c r="AN33" s="47"/>
      <c r="AO33" s="9"/>
      <c r="AP33" s="38"/>
      <c r="AQ33" s="46"/>
      <c r="AR33" s="8"/>
      <c r="AS33" s="37"/>
    </row>
    <row r="34" spans="1:45">
      <c r="A34" s="24">
        <v>30</v>
      </c>
      <c r="B34" s="19"/>
      <c r="C34" s="19"/>
      <c r="D34" s="11"/>
      <c r="E34" s="9"/>
      <c r="F34" s="9"/>
      <c r="G34" s="9"/>
      <c r="H34" s="9"/>
      <c r="J34" s="21">
        <v>30</v>
      </c>
      <c r="K34" s="34"/>
      <c r="L34" s="34"/>
      <c r="M34" s="34"/>
      <c r="N34" s="11"/>
      <c r="O34" s="9"/>
      <c r="P34" s="9"/>
      <c r="Q34" s="9"/>
      <c r="R34" s="9"/>
      <c r="T34" s="23">
        <v>30</v>
      </c>
      <c r="U34" s="35"/>
      <c r="V34" s="35"/>
      <c r="W34" s="35"/>
      <c r="X34" s="35"/>
      <c r="Y34" s="11"/>
      <c r="Z34" s="9"/>
      <c r="AA34" s="9"/>
      <c r="AB34" s="9"/>
      <c r="AC34" s="9"/>
      <c r="AE34" s="36"/>
      <c r="AF34" s="8"/>
      <c r="AG34" s="6"/>
      <c r="AH34" s="5"/>
      <c r="AI34" s="9"/>
      <c r="AJ34" s="16"/>
      <c r="AK34" s="36"/>
      <c r="AL34" s="8"/>
      <c r="AM34" s="6"/>
      <c r="AN34" s="5"/>
      <c r="AO34" s="9"/>
      <c r="AP34" s="16"/>
      <c r="AQ34" s="36"/>
      <c r="AR34" s="8"/>
      <c r="AS34" s="6"/>
    </row>
    <row r="35" spans="1:45">
      <c r="A35" s="25"/>
      <c r="B35" s="15"/>
      <c r="C35" s="15"/>
      <c r="D35" s="14"/>
      <c r="E35" s="14"/>
    </row>
    <row r="36" spans="1:45" ht="15.75" customHeight="1">
      <c r="A36" s="79" t="s">
        <v>64</v>
      </c>
      <c r="B36" s="79"/>
      <c r="C36" s="79"/>
      <c r="D36" s="79"/>
      <c r="E36" s="79"/>
      <c r="F36" s="79"/>
      <c r="G36" s="79"/>
      <c r="H36" s="79"/>
      <c r="I36" s="20"/>
      <c r="J36" s="79" t="s">
        <v>64</v>
      </c>
      <c r="K36" s="80"/>
      <c r="L36" s="80"/>
      <c r="M36" s="80"/>
      <c r="N36" s="80"/>
      <c r="O36" s="80"/>
      <c r="P36" s="80"/>
      <c r="Q36" s="80"/>
      <c r="R36" s="80"/>
      <c r="T36" s="79" t="s">
        <v>64</v>
      </c>
      <c r="U36" s="80"/>
      <c r="V36" s="80"/>
      <c r="W36" s="80"/>
      <c r="X36" s="80"/>
      <c r="Y36" s="80"/>
      <c r="Z36" s="80"/>
      <c r="AA36" s="80"/>
      <c r="AB36" s="80"/>
      <c r="AC36" s="80"/>
      <c r="AE36" s="80" t="s">
        <v>63</v>
      </c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</row>
    <row r="37" spans="1:45" ht="15.75" customHeight="1">
      <c r="A37" s="79"/>
      <c r="B37" s="79"/>
      <c r="C37" s="79"/>
      <c r="D37" s="79"/>
      <c r="E37" s="79"/>
      <c r="F37" s="79"/>
      <c r="G37" s="79"/>
      <c r="H37" s="79"/>
      <c r="I37" s="20"/>
      <c r="J37" s="80"/>
      <c r="K37" s="80"/>
      <c r="L37" s="80"/>
      <c r="M37" s="80"/>
      <c r="N37" s="80"/>
      <c r="O37" s="80"/>
      <c r="P37" s="80"/>
      <c r="Q37" s="80"/>
      <c r="R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</row>
    <row r="38" spans="1:45">
      <c r="A38" s="79"/>
      <c r="B38" s="79"/>
      <c r="C38" s="79"/>
      <c r="D38" s="79"/>
      <c r="E38" s="79"/>
      <c r="F38" s="79"/>
      <c r="G38" s="79"/>
      <c r="H38" s="79"/>
      <c r="J38" s="80"/>
      <c r="K38" s="80"/>
      <c r="L38" s="80"/>
      <c r="M38" s="80"/>
      <c r="N38" s="80"/>
      <c r="O38" s="80"/>
      <c r="P38" s="80"/>
      <c r="Q38" s="80"/>
      <c r="R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</row>
    <row r="39" spans="1:45">
      <c r="A39" s="25"/>
      <c r="B39" s="15"/>
      <c r="C39" s="15"/>
      <c r="D39" s="14"/>
      <c r="E39" s="14"/>
    </row>
    <row r="40" spans="1:45">
      <c r="A40" s="25"/>
      <c r="B40" s="15"/>
      <c r="C40" s="15"/>
      <c r="D40" s="14"/>
      <c r="E40" s="14"/>
    </row>
    <row r="41" spans="1:45">
      <c r="A41" s="25"/>
      <c r="B41" s="15"/>
      <c r="C41" s="15"/>
      <c r="D41" s="14"/>
      <c r="E41" s="14"/>
    </row>
    <row r="42" spans="1:45">
      <c r="A42" s="25"/>
      <c r="B42" s="15"/>
      <c r="C42" s="15"/>
      <c r="D42" s="14"/>
      <c r="E42" s="14"/>
    </row>
    <row r="43" spans="1:45">
      <c r="A43" s="25"/>
      <c r="B43" s="15"/>
      <c r="C43" s="15"/>
      <c r="D43" s="14"/>
      <c r="E43" s="14"/>
    </row>
    <row r="44" spans="1:45">
      <c r="A44" s="25"/>
      <c r="B44" s="15"/>
      <c r="C44" s="15"/>
      <c r="D44" s="14"/>
      <c r="E44" s="14"/>
    </row>
    <row r="45" spans="1:45">
      <c r="A45" s="25"/>
      <c r="B45" s="15"/>
      <c r="C45" s="15"/>
      <c r="D45" s="14"/>
      <c r="E45" s="14"/>
    </row>
    <row r="46" spans="1:45">
      <c r="A46" s="25"/>
      <c r="B46" s="15"/>
      <c r="C46" s="15"/>
      <c r="D46" s="14"/>
      <c r="E46" s="14"/>
    </row>
    <row r="47" spans="1:45">
      <c r="A47" s="25"/>
      <c r="B47" s="15"/>
      <c r="C47" s="15"/>
      <c r="D47" s="14"/>
      <c r="E47" s="14"/>
    </row>
    <row r="48" spans="1:45">
      <c r="A48" s="25"/>
      <c r="B48" s="15"/>
      <c r="C48" s="15"/>
      <c r="D48" s="14"/>
      <c r="E48" s="14"/>
    </row>
    <row r="49" spans="1:5">
      <c r="A49" s="25"/>
      <c r="B49" s="15"/>
      <c r="C49" s="15"/>
      <c r="D49" s="14"/>
      <c r="E49" s="14"/>
    </row>
    <row r="50" spans="1:5">
      <c r="A50" s="25"/>
      <c r="B50" s="15"/>
      <c r="C50" s="15"/>
      <c r="D50" s="14"/>
      <c r="E50" s="14"/>
    </row>
    <row r="51" spans="1:5">
      <c r="A51" s="25"/>
      <c r="B51" s="15"/>
      <c r="C51" s="15"/>
      <c r="D51" s="14"/>
      <c r="E51" s="14"/>
    </row>
    <row r="52" spans="1:5">
      <c r="A52" s="25"/>
      <c r="B52" s="15"/>
      <c r="C52" s="15"/>
      <c r="D52" s="14"/>
      <c r="E52" s="14"/>
    </row>
  </sheetData>
  <mergeCells count="27">
    <mergeCell ref="A36:H38"/>
    <mergeCell ref="J36:R38"/>
    <mergeCell ref="T36:AC38"/>
    <mergeCell ref="AE36:AS38"/>
    <mergeCell ref="AN2:AP2"/>
    <mergeCell ref="AQ2:AS2"/>
    <mergeCell ref="AF3:AG3"/>
    <mergeCell ref="AI3:AJ3"/>
    <mergeCell ref="AL3:AM3"/>
    <mergeCell ref="AO3:AP3"/>
    <mergeCell ref="AR3:AS3"/>
    <mergeCell ref="T2:X4"/>
    <mergeCell ref="Y2:AA3"/>
    <mergeCell ref="AB2:AC3"/>
    <mergeCell ref="AE2:AG2"/>
    <mergeCell ref="AH2:AJ2"/>
    <mergeCell ref="AK2:AM2"/>
    <mergeCell ref="A1:H1"/>
    <mergeCell ref="J1:R1"/>
    <mergeCell ref="T1:AC1"/>
    <mergeCell ref="AE1:AS1"/>
    <mergeCell ref="A2:C4"/>
    <mergeCell ref="D2:F3"/>
    <mergeCell ref="G2:H3"/>
    <mergeCell ref="J2:M4"/>
    <mergeCell ref="N2:P3"/>
    <mergeCell ref="Q2:R3"/>
  </mergeCells>
  <phoneticPr fontId="1" type="noConversion"/>
  <conditionalFormatting sqref="Y1:AC1 Y4:AC35 Y2 Y39:AC1048576">
    <cfRule type="cellIs" dxfId="29" priority="1" operator="lessThan">
      <formula>0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1"/>
  <dimension ref="A1:AV52"/>
  <sheetViews>
    <sheetView topLeftCell="T1" zoomScale="70" zoomScaleNormal="70" workbookViewId="0">
      <selection activeCell="AI3" sqref="AI3:AJ3"/>
    </sheetView>
  </sheetViews>
  <sheetFormatPr defaultColWidth="9" defaultRowHeight="15.5"/>
  <cols>
    <col min="1" max="1" width="3.58203125" style="22" customWidth="1"/>
    <col min="2" max="3" width="3.58203125" style="4" customWidth="1"/>
    <col min="4" max="8" width="10.58203125" style="10" customWidth="1"/>
    <col min="9" max="9" width="2.08203125" style="1" customWidth="1"/>
    <col min="10" max="10" width="3.58203125" style="22" customWidth="1"/>
    <col min="11" max="12" width="3.58203125" style="4" customWidth="1"/>
    <col min="13" max="13" width="3.08203125" style="4" bestFit="1" customWidth="1"/>
    <col min="14" max="18" width="10.58203125" style="10" customWidth="1"/>
    <col min="19" max="19" width="2.08203125" style="1" customWidth="1"/>
    <col min="20" max="20" width="3.58203125" style="22" customWidth="1"/>
    <col min="21" max="23" width="3.58203125" style="4" customWidth="1"/>
    <col min="24" max="24" width="3.08203125" style="4" bestFit="1" customWidth="1"/>
    <col min="25" max="29" width="10.58203125" style="10" customWidth="1"/>
    <col min="30" max="30" width="2.08203125" style="1" customWidth="1"/>
    <col min="31" max="31" width="7.58203125" style="4" customWidth="1"/>
    <col min="32" max="32" width="10.58203125" style="10" customWidth="1"/>
    <col min="33" max="33" width="10.58203125" style="1" customWidth="1"/>
    <col min="34" max="34" width="7.58203125" style="4" customWidth="1"/>
    <col min="35" max="35" width="10.58203125" style="10" customWidth="1"/>
    <col min="36" max="36" width="10.58203125" style="1" customWidth="1"/>
    <col min="37" max="37" width="7.58203125" style="4" customWidth="1"/>
    <col min="38" max="38" width="10.58203125" style="10" customWidth="1"/>
    <col min="39" max="39" width="10.58203125" style="1" customWidth="1"/>
    <col min="40" max="40" width="7.58203125" style="4" customWidth="1"/>
    <col min="41" max="41" width="10.58203125" style="10" customWidth="1"/>
    <col min="42" max="42" width="10.58203125" style="1" customWidth="1"/>
    <col min="43" max="16384" width="9" style="1"/>
  </cols>
  <sheetData>
    <row r="1" spans="1:48" ht="24" customHeight="1">
      <c r="A1" s="57" t="s">
        <v>58</v>
      </c>
      <c r="B1" s="57"/>
      <c r="C1" s="57"/>
      <c r="D1" s="57"/>
      <c r="E1" s="57"/>
      <c r="F1" s="57"/>
      <c r="G1" s="57"/>
      <c r="H1" s="58"/>
      <c r="J1" s="59" t="s">
        <v>60</v>
      </c>
      <c r="K1" s="59"/>
      <c r="L1" s="59"/>
      <c r="M1" s="59"/>
      <c r="N1" s="59"/>
      <c r="O1" s="59"/>
      <c r="P1" s="59"/>
      <c r="Q1" s="59"/>
      <c r="R1" s="59"/>
      <c r="T1" s="60" t="s">
        <v>59</v>
      </c>
      <c r="U1" s="60"/>
      <c r="V1" s="60"/>
      <c r="W1" s="60"/>
      <c r="X1" s="60"/>
      <c r="Y1" s="60"/>
      <c r="Z1" s="60"/>
      <c r="AA1" s="60"/>
      <c r="AB1" s="60"/>
      <c r="AC1" s="60"/>
      <c r="AE1" s="61" t="s">
        <v>179</v>
      </c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</row>
    <row r="2" spans="1:48" s="2" customFormat="1" ht="19.5" customHeight="1">
      <c r="A2" s="63" t="s">
        <v>55</v>
      </c>
      <c r="B2" s="63"/>
      <c r="C2" s="63"/>
      <c r="D2" s="65"/>
      <c r="E2" s="66"/>
      <c r="F2" s="67"/>
      <c r="G2" s="65"/>
      <c r="H2" s="67"/>
      <c r="J2" s="71" t="s">
        <v>56</v>
      </c>
      <c r="K2" s="71"/>
      <c r="L2" s="71"/>
      <c r="M2" s="71"/>
      <c r="N2" s="73"/>
      <c r="O2" s="74"/>
      <c r="P2" s="75"/>
      <c r="Q2" s="73"/>
      <c r="R2" s="75"/>
      <c r="T2" s="90" t="s">
        <v>57</v>
      </c>
      <c r="U2" s="90"/>
      <c r="V2" s="90"/>
      <c r="W2" s="90"/>
      <c r="X2" s="90"/>
      <c r="Y2" s="92"/>
      <c r="Z2" s="93"/>
      <c r="AA2" s="94"/>
      <c r="AB2" s="92"/>
      <c r="AC2" s="94"/>
      <c r="AE2" s="54" t="s">
        <v>93</v>
      </c>
      <c r="AF2" s="55"/>
      <c r="AG2" s="56"/>
      <c r="AH2" s="81" t="s">
        <v>94</v>
      </c>
      <c r="AI2" s="82"/>
      <c r="AJ2" s="83"/>
      <c r="AK2" s="54" t="s">
        <v>95</v>
      </c>
      <c r="AL2" s="55"/>
      <c r="AM2" s="56"/>
      <c r="AN2" s="81" t="s">
        <v>96</v>
      </c>
      <c r="AO2" s="82"/>
      <c r="AP2" s="83"/>
      <c r="AQ2" s="54" t="s">
        <v>97</v>
      </c>
      <c r="AR2" s="55"/>
      <c r="AS2" s="56"/>
      <c r="AT2" s="51"/>
      <c r="AU2"/>
      <c r="AV2"/>
    </row>
    <row r="3" spans="1:48" ht="16.5" customHeight="1">
      <c r="A3" s="63"/>
      <c r="B3" s="63"/>
      <c r="C3" s="63"/>
      <c r="D3" s="68"/>
      <c r="E3" s="69"/>
      <c r="F3" s="70"/>
      <c r="G3" s="68"/>
      <c r="H3" s="70"/>
      <c r="J3" s="71"/>
      <c r="K3" s="71"/>
      <c r="L3" s="71"/>
      <c r="M3" s="71"/>
      <c r="N3" s="76"/>
      <c r="O3" s="77"/>
      <c r="P3" s="78"/>
      <c r="Q3" s="76"/>
      <c r="R3" s="78"/>
      <c r="T3" s="90"/>
      <c r="U3" s="90"/>
      <c r="V3" s="90"/>
      <c r="W3" s="90"/>
      <c r="X3" s="90"/>
      <c r="Y3" s="95"/>
      <c r="Z3" s="96"/>
      <c r="AA3" s="97"/>
      <c r="AB3" s="95"/>
      <c r="AC3" s="97"/>
      <c r="AE3" s="52" t="s">
        <v>178</v>
      </c>
      <c r="AF3" s="85" t="s">
        <v>177</v>
      </c>
      <c r="AG3" s="85"/>
      <c r="AH3" s="52" t="s">
        <v>178</v>
      </c>
      <c r="AI3" s="85" t="s">
        <v>177</v>
      </c>
      <c r="AJ3" s="85"/>
      <c r="AK3" s="52" t="s">
        <v>178</v>
      </c>
      <c r="AL3" s="85" t="s">
        <v>177</v>
      </c>
      <c r="AM3" s="85"/>
      <c r="AN3" s="52" t="s">
        <v>178</v>
      </c>
      <c r="AO3" s="85" t="s">
        <v>177</v>
      </c>
      <c r="AP3" s="85"/>
      <c r="AQ3" s="52" t="s">
        <v>178</v>
      </c>
      <c r="AR3" s="85" t="s">
        <v>177</v>
      </c>
      <c r="AS3" s="85"/>
      <c r="AT3" s="43"/>
      <c r="AU3"/>
      <c r="AV3"/>
    </row>
    <row r="4" spans="1:48" s="4" customFormat="1" ht="15.75" customHeight="1">
      <c r="A4" s="63"/>
      <c r="B4" s="64"/>
      <c r="C4" s="64"/>
      <c r="D4" s="19" t="s">
        <v>25</v>
      </c>
      <c r="E4" s="19" t="s">
        <v>26</v>
      </c>
      <c r="F4" s="19" t="s">
        <v>27</v>
      </c>
      <c r="G4" s="19" t="s">
        <v>28</v>
      </c>
      <c r="H4" s="19" t="s">
        <v>29</v>
      </c>
      <c r="J4" s="71"/>
      <c r="K4" s="72"/>
      <c r="L4" s="72"/>
      <c r="M4" s="72"/>
      <c r="N4" s="34" t="s">
        <v>25</v>
      </c>
      <c r="O4" s="34" t="s">
        <v>26</v>
      </c>
      <c r="P4" s="34" t="s">
        <v>27</v>
      </c>
      <c r="Q4" s="34" t="s">
        <v>28</v>
      </c>
      <c r="R4" s="34" t="s">
        <v>29</v>
      </c>
      <c r="T4" s="90"/>
      <c r="U4" s="91"/>
      <c r="V4" s="91"/>
      <c r="W4" s="91"/>
      <c r="X4" s="91"/>
      <c r="Y4" s="35" t="s">
        <v>25</v>
      </c>
      <c r="Z4" s="35" t="s">
        <v>26</v>
      </c>
      <c r="AA4" s="35" t="s">
        <v>27</v>
      </c>
      <c r="AB4" s="35" t="s">
        <v>28</v>
      </c>
      <c r="AC4" s="35" t="s">
        <v>29</v>
      </c>
      <c r="AE4" s="48"/>
      <c r="AF4" s="48" t="s">
        <v>0</v>
      </c>
      <c r="AG4" s="48" t="s">
        <v>1</v>
      </c>
      <c r="AH4" s="48"/>
      <c r="AI4" s="48" t="s">
        <v>0</v>
      </c>
      <c r="AJ4" s="48" t="s">
        <v>1</v>
      </c>
      <c r="AK4" s="48" t="s">
        <v>2</v>
      </c>
      <c r="AL4" s="48" t="s">
        <v>0</v>
      </c>
      <c r="AM4" s="48" t="s">
        <v>1</v>
      </c>
      <c r="AN4" s="49" t="s">
        <v>2</v>
      </c>
      <c r="AO4" s="49" t="s">
        <v>0</v>
      </c>
      <c r="AP4" s="49" t="s">
        <v>1</v>
      </c>
      <c r="AQ4" s="48" t="s">
        <v>2</v>
      </c>
      <c r="AR4" s="48" t="s">
        <v>0</v>
      </c>
      <c r="AS4" s="48" t="s">
        <v>1</v>
      </c>
      <c r="AU4"/>
      <c r="AV4"/>
    </row>
    <row r="5" spans="1:48">
      <c r="A5" s="24">
        <v>1</v>
      </c>
      <c r="B5" s="19" t="s">
        <v>30</v>
      </c>
      <c r="C5" s="19" t="s">
        <v>32</v>
      </c>
      <c r="D5" s="11">
        <v>340</v>
      </c>
      <c r="E5" s="9">
        <v>313</v>
      </c>
      <c r="F5" s="9">
        <v>334</v>
      </c>
      <c r="G5" s="9">
        <v>374</v>
      </c>
      <c r="H5" s="9">
        <v>346</v>
      </c>
      <c r="J5" s="21">
        <v>1</v>
      </c>
      <c r="K5" s="34" t="s">
        <v>30</v>
      </c>
      <c r="L5" s="34" t="s">
        <v>35</v>
      </c>
      <c r="M5" s="34" t="s">
        <v>38</v>
      </c>
      <c r="N5" s="9">
        <v>68.924232283504281</v>
      </c>
      <c r="O5" s="9">
        <v>71.74810416292145</v>
      </c>
      <c r="P5" s="9">
        <v>72.395366663335992</v>
      </c>
      <c r="Q5" s="9">
        <v>69.047587672153909</v>
      </c>
      <c r="R5" s="9">
        <v>67.650233931123822</v>
      </c>
      <c r="T5" s="23">
        <v>1</v>
      </c>
      <c r="U5" s="35" t="s">
        <v>30</v>
      </c>
      <c r="V5" s="35" t="s">
        <v>35</v>
      </c>
      <c r="W5" s="35" t="s">
        <v>32</v>
      </c>
      <c r="X5" s="35" t="s">
        <v>38</v>
      </c>
      <c r="Y5" s="11">
        <v>39440</v>
      </c>
      <c r="Z5" s="9">
        <v>29109</v>
      </c>
      <c r="AA5" s="9">
        <v>33066</v>
      </c>
      <c r="AB5" s="9">
        <v>45254</v>
      </c>
      <c r="AC5" s="9">
        <v>41693</v>
      </c>
      <c r="AE5" s="48" t="s">
        <v>3</v>
      </c>
      <c r="AF5" s="29">
        <v>600</v>
      </c>
      <c r="AG5" s="29">
        <v>484</v>
      </c>
      <c r="AH5" s="48" t="s">
        <v>3</v>
      </c>
      <c r="AI5" s="29">
        <v>600</v>
      </c>
      <c r="AJ5" s="29">
        <v>496</v>
      </c>
      <c r="AK5" s="48" t="s">
        <v>98</v>
      </c>
      <c r="AL5" s="29">
        <v>600</v>
      </c>
      <c r="AM5" s="29">
        <v>512</v>
      </c>
      <c r="AN5" s="48" t="s">
        <v>3</v>
      </c>
      <c r="AO5" s="29">
        <v>600</v>
      </c>
      <c r="AP5" s="29">
        <v>454</v>
      </c>
      <c r="AQ5" s="48" t="s">
        <v>3</v>
      </c>
      <c r="AR5" s="29">
        <v>600</v>
      </c>
      <c r="AS5" s="29">
        <v>511</v>
      </c>
      <c r="AT5" s="43"/>
      <c r="AU5"/>
      <c r="AV5"/>
    </row>
    <row r="6" spans="1:48">
      <c r="A6" s="24">
        <v>2</v>
      </c>
      <c r="B6" s="19" t="s">
        <v>30</v>
      </c>
      <c r="C6" s="19" t="s">
        <v>33</v>
      </c>
      <c r="D6" s="11">
        <v>491</v>
      </c>
      <c r="E6" s="9">
        <v>305</v>
      </c>
      <c r="F6" s="9">
        <v>456</v>
      </c>
      <c r="G6" s="9">
        <v>471</v>
      </c>
      <c r="H6" s="9">
        <v>413</v>
      </c>
      <c r="J6" s="21">
        <v>2</v>
      </c>
      <c r="K6" s="34" t="s">
        <v>30</v>
      </c>
      <c r="L6" s="34" t="s">
        <v>41</v>
      </c>
      <c r="M6" s="34" t="s">
        <v>34</v>
      </c>
      <c r="N6" s="9">
        <v>86.309527231956409</v>
      </c>
      <c r="O6" s="9">
        <v>91.371550029037252</v>
      </c>
      <c r="P6" s="9">
        <v>94.67540196749016</v>
      </c>
      <c r="Q6" s="9">
        <v>94.688517708067266</v>
      </c>
      <c r="R6" s="9">
        <v>93.339961182187821</v>
      </c>
      <c r="T6" s="23">
        <v>2</v>
      </c>
      <c r="U6" s="35" t="s">
        <v>30</v>
      </c>
      <c r="V6" s="35" t="s">
        <v>41</v>
      </c>
      <c r="W6" s="35" t="s">
        <v>34</v>
      </c>
      <c r="X6" s="35" t="s">
        <v>42</v>
      </c>
      <c r="Y6" s="11">
        <v>241860</v>
      </c>
      <c r="Z6" s="9">
        <v>200688</v>
      </c>
      <c r="AA6" s="9">
        <v>194552</v>
      </c>
      <c r="AB6" s="9">
        <v>211344</v>
      </c>
      <c r="AC6" s="9">
        <v>189618</v>
      </c>
      <c r="AE6" s="48" t="s">
        <v>4</v>
      </c>
      <c r="AF6" s="29">
        <v>484</v>
      </c>
      <c r="AG6" s="29">
        <v>785</v>
      </c>
      <c r="AH6" s="48" t="s">
        <v>4</v>
      </c>
      <c r="AI6" s="29">
        <v>507</v>
      </c>
      <c r="AJ6" s="29">
        <v>778</v>
      </c>
      <c r="AK6" s="48" t="s">
        <v>4</v>
      </c>
      <c r="AL6" s="29">
        <v>501</v>
      </c>
      <c r="AM6" s="29">
        <v>824</v>
      </c>
      <c r="AN6" s="48" t="s">
        <v>4</v>
      </c>
      <c r="AO6" s="29">
        <v>479</v>
      </c>
      <c r="AP6" s="29">
        <v>770</v>
      </c>
      <c r="AQ6" s="48" t="s">
        <v>4</v>
      </c>
      <c r="AR6" s="29">
        <v>481</v>
      </c>
      <c r="AS6" s="29">
        <v>811</v>
      </c>
      <c r="AT6" s="43"/>
      <c r="AU6"/>
      <c r="AV6"/>
    </row>
    <row r="7" spans="1:48">
      <c r="A7" s="24">
        <v>3</v>
      </c>
      <c r="B7" s="19" t="s">
        <v>30</v>
      </c>
      <c r="C7" s="19" t="s">
        <v>34</v>
      </c>
      <c r="D7" s="11">
        <v>695</v>
      </c>
      <c r="E7" s="9">
        <v>678</v>
      </c>
      <c r="F7" s="9">
        <v>664</v>
      </c>
      <c r="G7" s="9">
        <v>714</v>
      </c>
      <c r="H7" s="9">
        <v>663</v>
      </c>
      <c r="J7" s="21">
        <v>3</v>
      </c>
      <c r="K7" s="34" t="s">
        <v>30</v>
      </c>
      <c r="L7" s="34" t="s">
        <v>44</v>
      </c>
      <c r="M7" s="34" t="s">
        <v>32</v>
      </c>
      <c r="N7" s="9">
        <v>43.540442813697986</v>
      </c>
      <c r="O7" s="9">
        <v>46.162979566988774</v>
      </c>
      <c r="P7" s="9">
        <v>51.888258276994691</v>
      </c>
      <c r="Q7" s="9">
        <v>51.51578995938759</v>
      </c>
      <c r="R7" s="9">
        <v>52.197493343993138</v>
      </c>
      <c r="T7" s="23">
        <v>3</v>
      </c>
      <c r="U7" s="35" t="s">
        <v>41</v>
      </c>
      <c r="V7" s="35" t="s">
        <v>39</v>
      </c>
      <c r="W7" s="35" t="s">
        <v>34</v>
      </c>
      <c r="X7" s="35" t="s">
        <v>42</v>
      </c>
      <c r="Y7" s="11">
        <v>83322</v>
      </c>
      <c r="Z7" s="9">
        <v>61310.5</v>
      </c>
      <c r="AA7" s="9">
        <v>73030</v>
      </c>
      <c r="AB7" s="9">
        <v>64314</v>
      </c>
      <c r="AC7" s="9">
        <v>60173</v>
      </c>
      <c r="AE7" s="48" t="s">
        <v>5</v>
      </c>
      <c r="AF7" s="29">
        <v>600</v>
      </c>
      <c r="AG7" s="29">
        <v>824</v>
      </c>
      <c r="AH7" s="48" t="s">
        <v>5</v>
      </c>
      <c r="AI7" s="29">
        <v>600</v>
      </c>
      <c r="AJ7" s="29">
        <v>809</v>
      </c>
      <c r="AK7" s="48" t="s">
        <v>5</v>
      </c>
      <c r="AL7" s="29">
        <v>600</v>
      </c>
      <c r="AM7" s="29">
        <v>846</v>
      </c>
      <c r="AN7" s="48" t="s">
        <v>5</v>
      </c>
      <c r="AO7" s="29">
        <v>600</v>
      </c>
      <c r="AP7" s="29">
        <v>828</v>
      </c>
      <c r="AQ7" s="48" t="s">
        <v>5</v>
      </c>
      <c r="AR7" s="29">
        <v>600</v>
      </c>
      <c r="AS7" s="29">
        <v>857</v>
      </c>
      <c r="AT7" s="43"/>
      <c r="AU7"/>
      <c r="AV7"/>
    </row>
    <row r="8" spans="1:48" ht="15.75" customHeight="1">
      <c r="A8" s="24">
        <v>4</v>
      </c>
      <c r="B8" s="19" t="s">
        <v>35</v>
      </c>
      <c r="C8" s="19" t="s">
        <v>38</v>
      </c>
      <c r="D8" s="11">
        <v>232</v>
      </c>
      <c r="E8" s="9">
        <v>186</v>
      </c>
      <c r="F8" s="9">
        <v>198</v>
      </c>
      <c r="G8" s="9">
        <v>242</v>
      </c>
      <c r="H8" s="9">
        <v>241.01867147588379</v>
      </c>
      <c r="J8" s="21">
        <v>4</v>
      </c>
      <c r="K8" s="34" t="s">
        <v>35</v>
      </c>
      <c r="L8" s="34" t="s">
        <v>32</v>
      </c>
      <c r="M8" s="34" t="s">
        <v>38</v>
      </c>
      <c r="N8" s="9">
        <v>142.83400079346728</v>
      </c>
      <c r="O8" s="9">
        <v>143.13010235415598</v>
      </c>
      <c r="P8" s="9">
        <v>154.94238458169698</v>
      </c>
      <c r="Q8" s="9">
        <v>128.77958015358837</v>
      </c>
      <c r="R8" s="9">
        <v>136.98342444484555</v>
      </c>
      <c r="T8" s="23">
        <v>4</v>
      </c>
      <c r="U8" s="35" t="s">
        <v>46</v>
      </c>
      <c r="V8" s="35" t="s">
        <v>43</v>
      </c>
      <c r="W8" s="35" t="s">
        <v>33</v>
      </c>
      <c r="X8" s="35" t="s">
        <v>47</v>
      </c>
      <c r="Y8" s="11">
        <v>450310</v>
      </c>
      <c r="Z8" s="9">
        <v>304138.5</v>
      </c>
      <c r="AA8" s="9">
        <v>391746</v>
      </c>
      <c r="AB8" s="9">
        <v>363418</v>
      </c>
      <c r="AC8" s="9">
        <v>385161</v>
      </c>
      <c r="AE8" s="48" t="s">
        <v>6</v>
      </c>
      <c r="AF8" s="29">
        <f>AF7+(AF7-AF6)</f>
        <v>716</v>
      </c>
      <c r="AG8" s="29">
        <f>AG6</f>
        <v>785</v>
      </c>
      <c r="AH8" s="48" t="s">
        <v>6</v>
      </c>
      <c r="AI8" s="29">
        <f>AI7+(AI7-AI6)</f>
        <v>693</v>
      </c>
      <c r="AJ8" s="29">
        <f>AJ6</f>
        <v>778</v>
      </c>
      <c r="AK8" s="48" t="s">
        <v>6</v>
      </c>
      <c r="AL8" s="29">
        <f t="shared" ref="AL8" si="0">AL7+(AL7-AL6)</f>
        <v>699</v>
      </c>
      <c r="AM8" s="29">
        <f t="shared" ref="AM8" si="1">AM6</f>
        <v>824</v>
      </c>
      <c r="AN8" s="48" t="s">
        <v>6</v>
      </c>
      <c r="AO8" s="29">
        <f t="shared" ref="AO8" si="2">AO7+(AO7-AO6)</f>
        <v>721</v>
      </c>
      <c r="AP8" s="29">
        <f t="shared" ref="AP8" si="3">AP6</f>
        <v>770</v>
      </c>
      <c r="AQ8" s="48" t="s">
        <v>6</v>
      </c>
      <c r="AR8" s="29">
        <v>722</v>
      </c>
      <c r="AS8" s="29">
        <v>808</v>
      </c>
      <c r="AT8" s="43"/>
      <c r="AU8"/>
      <c r="AV8"/>
    </row>
    <row r="9" spans="1:48" ht="15.75" customHeight="1">
      <c r="A9" s="24">
        <v>5</v>
      </c>
      <c r="B9" s="19" t="s">
        <v>32</v>
      </c>
      <c r="C9" s="19" t="s">
        <v>33</v>
      </c>
      <c r="D9" s="11">
        <v>151</v>
      </c>
      <c r="E9" s="9">
        <v>8</v>
      </c>
      <c r="F9" s="9">
        <v>122</v>
      </c>
      <c r="G9" s="9">
        <v>97</v>
      </c>
      <c r="H9" s="9">
        <v>67</v>
      </c>
      <c r="J9" s="21">
        <v>5</v>
      </c>
      <c r="K9" s="34" t="s">
        <v>39</v>
      </c>
      <c r="L9" s="34" t="s">
        <v>34</v>
      </c>
      <c r="M9" s="34" t="s">
        <v>40</v>
      </c>
      <c r="N9" s="9">
        <v>145.36212313697052</v>
      </c>
      <c r="O9" s="9">
        <v>142.56282204264036</v>
      </c>
      <c r="P9" s="9">
        <v>133.89739816705392</v>
      </c>
      <c r="Q9" s="9">
        <v>136.68802192315505</v>
      </c>
      <c r="R9" s="9">
        <v>133.80635616367829</v>
      </c>
      <c r="T9" s="23">
        <v>5</v>
      </c>
      <c r="U9" s="35" t="s">
        <v>48</v>
      </c>
      <c r="V9" s="35" t="s">
        <v>43</v>
      </c>
      <c r="W9" s="35" t="s">
        <v>34</v>
      </c>
      <c r="X9" s="35" t="s">
        <v>44</v>
      </c>
      <c r="Y9" s="11">
        <v>416944</v>
      </c>
      <c r="Z9" s="9">
        <v>346306</v>
      </c>
      <c r="AA9" s="9">
        <v>340368</v>
      </c>
      <c r="AB9" s="9">
        <v>394173</v>
      </c>
      <c r="AC9" s="9">
        <v>346788</v>
      </c>
      <c r="AE9" s="48" t="s">
        <v>77</v>
      </c>
      <c r="AF9" s="29">
        <v>600</v>
      </c>
      <c r="AG9" s="29">
        <v>975</v>
      </c>
      <c r="AH9" s="48" t="s">
        <v>77</v>
      </c>
      <c r="AI9" s="29">
        <v>600</v>
      </c>
      <c r="AJ9" s="29">
        <v>801</v>
      </c>
      <c r="AK9" s="48" t="s">
        <v>77</v>
      </c>
      <c r="AL9" s="29">
        <v>600</v>
      </c>
      <c r="AM9" s="29">
        <v>968</v>
      </c>
      <c r="AN9" s="48" t="s">
        <v>77</v>
      </c>
      <c r="AO9" s="29">
        <v>600</v>
      </c>
      <c r="AP9" s="29">
        <v>925</v>
      </c>
      <c r="AQ9" s="48" t="s">
        <v>77</v>
      </c>
      <c r="AR9" s="29">
        <v>600</v>
      </c>
      <c r="AS9" s="29">
        <v>924</v>
      </c>
      <c r="AT9" s="43"/>
      <c r="AU9"/>
      <c r="AV9"/>
    </row>
    <row r="10" spans="1:48">
      <c r="A10" s="24">
        <v>6</v>
      </c>
      <c r="B10" s="19" t="s">
        <v>32</v>
      </c>
      <c r="C10" s="19" t="s">
        <v>34</v>
      </c>
      <c r="D10" s="11">
        <v>355</v>
      </c>
      <c r="E10" s="9">
        <v>365</v>
      </c>
      <c r="F10" s="9">
        <v>330</v>
      </c>
      <c r="G10" s="9">
        <v>340</v>
      </c>
      <c r="H10" s="9">
        <v>317</v>
      </c>
      <c r="J10" s="21">
        <v>6</v>
      </c>
      <c r="K10" s="34" t="s">
        <v>40</v>
      </c>
      <c r="L10" s="34" t="s">
        <v>34</v>
      </c>
      <c r="M10" s="34" t="s">
        <v>62</v>
      </c>
      <c r="N10" s="9">
        <v>17.417724160376334</v>
      </c>
      <c r="O10" s="9">
        <v>19.311282797296563</v>
      </c>
      <c r="P10" s="9">
        <v>23.446437958980646</v>
      </c>
      <c r="Q10" s="9">
        <v>22.841249857044982</v>
      </c>
      <c r="R10" s="9">
        <v>23.689515736777572</v>
      </c>
      <c r="T10" s="23">
        <v>6</v>
      </c>
      <c r="U10" s="35" t="s">
        <v>52</v>
      </c>
      <c r="V10" s="35" t="s">
        <v>51</v>
      </c>
      <c r="W10" s="35" t="s">
        <v>54</v>
      </c>
      <c r="X10" s="35" t="s">
        <v>50</v>
      </c>
      <c r="Y10" s="11">
        <v>5944</v>
      </c>
      <c r="Z10" s="9">
        <v>4890</v>
      </c>
      <c r="AA10" s="9">
        <v>5065</v>
      </c>
      <c r="AB10" s="9">
        <v>4629.5</v>
      </c>
      <c r="AC10" s="9">
        <v>4831</v>
      </c>
      <c r="AE10" s="48" t="s">
        <v>8</v>
      </c>
      <c r="AF10" s="29">
        <v>507</v>
      </c>
      <c r="AG10" s="29">
        <v>1150</v>
      </c>
      <c r="AH10" s="48" t="s">
        <v>8</v>
      </c>
      <c r="AI10" s="29">
        <v>479</v>
      </c>
      <c r="AJ10" s="29">
        <v>1133</v>
      </c>
      <c r="AK10" s="48" t="s">
        <v>8</v>
      </c>
      <c r="AL10" s="29">
        <v>553</v>
      </c>
      <c r="AM10" s="29">
        <v>1156</v>
      </c>
      <c r="AN10" s="48" t="s">
        <v>8</v>
      </c>
      <c r="AO10" s="29">
        <v>532</v>
      </c>
      <c r="AP10" s="29">
        <v>1141</v>
      </c>
      <c r="AQ10" s="48" t="s">
        <v>8</v>
      </c>
      <c r="AR10" s="29">
        <v>532</v>
      </c>
      <c r="AS10" s="29">
        <v>1145</v>
      </c>
      <c r="AT10" s="43"/>
      <c r="AU10"/>
      <c r="AV10"/>
    </row>
    <row r="11" spans="1:48">
      <c r="A11" s="24">
        <v>7</v>
      </c>
      <c r="B11" s="19" t="s">
        <v>39</v>
      </c>
      <c r="C11" s="19" t="s">
        <v>40</v>
      </c>
      <c r="D11" s="11">
        <v>186</v>
      </c>
      <c r="E11" s="9">
        <v>242</v>
      </c>
      <c r="F11" s="9">
        <v>94</v>
      </c>
      <c r="G11" s="9">
        <v>136</v>
      </c>
      <c r="H11" s="9">
        <v>136</v>
      </c>
      <c r="J11" s="21">
        <v>7</v>
      </c>
      <c r="K11" s="34" t="s">
        <v>41</v>
      </c>
      <c r="L11" s="34" t="s">
        <v>34</v>
      </c>
      <c r="M11" s="34" t="s">
        <v>62</v>
      </c>
      <c r="N11" s="9">
        <v>147.33028665009175</v>
      </c>
      <c r="O11" s="9">
        <v>148.03391250305523</v>
      </c>
      <c r="P11" s="9">
        <v>141.07379866955881</v>
      </c>
      <c r="Q11" s="9">
        <v>146.21923099229471</v>
      </c>
      <c r="R11" s="9">
        <v>145.49325255161605</v>
      </c>
      <c r="T11" s="23">
        <v>7</v>
      </c>
      <c r="U11" s="35" t="s">
        <v>76</v>
      </c>
      <c r="V11" s="35" t="s">
        <v>73</v>
      </c>
      <c r="W11" s="35" t="s">
        <v>75</v>
      </c>
      <c r="X11" s="35" t="s">
        <v>74</v>
      </c>
      <c r="Y11" s="11">
        <v>3123.5</v>
      </c>
      <c r="Z11" s="9">
        <v>3122.5</v>
      </c>
      <c r="AA11" s="9">
        <v>4199.5</v>
      </c>
      <c r="AB11" s="9">
        <v>3759</v>
      </c>
      <c r="AC11" s="9">
        <v>3466</v>
      </c>
      <c r="AE11" s="48" t="s">
        <v>9</v>
      </c>
      <c r="AF11" s="29">
        <v>600</v>
      </c>
      <c r="AG11" s="29">
        <v>1179</v>
      </c>
      <c r="AH11" s="48" t="s">
        <v>9</v>
      </c>
      <c r="AI11" s="29">
        <v>600</v>
      </c>
      <c r="AJ11" s="29">
        <v>1174</v>
      </c>
      <c r="AK11" s="48" t="s">
        <v>9</v>
      </c>
      <c r="AL11" s="29">
        <v>600</v>
      </c>
      <c r="AM11" s="29">
        <v>1176</v>
      </c>
      <c r="AN11" s="48" t="s">
        <v>9</v>
      </c>
      <c r="AO11" s="29">
        <v>600</v>
      </c>
      <c r="AP11" s="29">
        <v>1168</v>
      </c>
      <c r="AQ11" s="48" t="s">
        <v>9</v>
      </c>
      <c r="AR11" s="29">
        <v>600</v>
      </c>
      <c r="AS11" s="29">
        <v>1174</v>
      </c>
      <c r="AT11" s="43"/>
      <c r="AU11"/>
      <c r="AV11"/>
    </row>
    <row r="12" spans="1:48">
      <c r="A12" s="24">
        <v>8</v>
      </c>
      <c r="B12" s="19" t="s">
        <v>41</v>
      </c>
      <c r="C12" s="19" t="s">
        <v>42</v>
      </c>
      <c r="D12" s="11">
        <v>696</v>
      </c>
      <c r="E12" s="9">
        <v>592</v>
      </c>
      <c r="F12" s="9">
        <v>586</v>
      </c>
      <c r="G12" s="9">
        <v>592</v>
      </c>
      <c r="H12" s="9">
        <v>572</v>
      </c>
      <c r="J12" s="21">
        <v>8</v>
      </c>
      <c r="K12" s="34" t="s">
        <v>42</v>
      </c>
      <c r="L12" s="34" t="s">
        <v>34</v>
      </c>
      <c r="M12" s="34" t="s">
        <v>62</v>
      </c>
      <c r="N12" s="9">
        <v>32.867284807631407</v>
      </c>
      <c r="O12" s="9">
        <v>33.151475134178206</v>
      </c>
      <c r="P12" s="9">
        <v>39.716475415456202</v>
      </c>
      <c r="Q12" s="9">
        <v>36.15129064495008</v>
      </c>
      <c r="R12" s="9">
        <v>35.692135085617309</v>
      </c>
      <c r="T12" s="23">
        <v>8</v>
      </c>
      <c r="U12" s="35"/>
      <c r="V12" s="35"/>
      <c r="W12" s="35"/>
      <c r="X12" s="35"/>
      <c r="Y12" s="11"/>
      <c r="Z12" s="9"/>
      <c r="AA12" s="9"/>
      <c r="AB12" s="9"/>
      <c r="AC12" s="9"/>
      <c r="AE12" s="48" t="s">
        <v>10</v>
      </c>
      <c r="AF12" s="29">
        <f>AF11+(AF11-AF10)</f>
        <v>693</v>
      </c>
      <c r="AG12" s="29">
        <f>AG10</f>
        <v>1150</v>
      </c>
      <c r="AH12" s="48" t="s">
        <v>10</v>
      </c>
      <c r="AI12" s="29">
        <f>AI11+(AI11-AI10)</f>
        <v>721</v>
      </c>
      <c r="AJ12" s="29">
        <f>AJ10</f>
        <v>1133</v>
      </c>
      <c r="AK12" s="48" t="s">
        <v>10</v>
      </c>
      <c r="AL12" s="29">
        <f t="shared" ref="AL12" si="4">AL11+(AL11-AL10)</f>
        <v>647</v>
      </c>
      <c r="AM12" s="29">
        <f t="shared" ref="AM12" si="5">AM10</f>
        <v>1156</v>
      </c>
      <c r="AN12" s="48" t="s">
        <v>10</v>
      </c>
      <c r="AO12" s="29">
        <f t="shared" ref="AO12" si="6">AO11+(AO11-AO10)</f>
        <v>668</v>
      </c>
      <c r="AP12" s="29">
        <f t="shared" ref="AP12" si="7">AP10</f>
        <v>1141</v>
      </c>
      <c r="AQ12" s="48" t="s">
        <v>10</v>
      </c>
      <c r="AR12" s="29">
        <f t="shared" ref="AR12" si="8">AR11+(AR11-AR10)</f>
        <v>668</v>
      </c>
      <c r="AS12" s="29">
        <f t="shared" ref="AS12" si="9">AS10</f>
        <v>1145</v>
      </c>
      <c r="AT12" s="43"/>
      <c r="AU12"/>
      <c r="AV12"/>
    </row>
    <row r="13" spans="1:48">
      <c r="A13" s="24">
        <v>9</v>
      </c>
      <c r="B13" s="19" t="s">
        <v>43</v>
      </c>
      <c r="C13" s="19" t="s">
        <v>44</v>
      </c>
      <c r="D13" s="11">
        <v>824</v>
      </c>
      <c r="E13" s="9">
        <v>694</v>
      </c>
      <c r="F13" s="9">
        <v>672</v>
      </c>
      <c r="G13" s="9">
        <v>702</v>
      </c>
      <c r="H13" s="9">
        <v>684</v>
      </c>
      <c r="J13" s="21">
        <v>9</v>
      </c>
      <c r="K13" s="34" t="s">
        <v>43</v>
      </c>
      <c r="L13" s="34" t="s">
        <v>41</v>
      </c>
      <c r="M13" s="34" t="s">
        <v>34</v>
      </c>
      <c r="N13" s="9">
        <v>138.98869277437262</v>
      </c>
      <c r="O13" s="9">
        <v>134.50733456598005</v>
      </c>
      <c r="P13" s="9">
        <v>141.33859021551314</v>
      </c>
      <c r="Q13" s="9">
        <v>140.87220890961498</v>
      </c>
      <c r="R13" s="9">
        <v>139.38053700297141</v>
      </c>
      <c r="T13" s="23">
        <v>9</v>
      </c>
      <c r="U13" s="35"/>
      <c r="V13" s="35"/>
      <c r="W13" s="35"/>
      <c r="X13" s="35"/>
      <c r="Y13" s="11"/>
      <c r="Z13" s="9"/>
      <c r="AA13" s="9"/>
      <c r="AB13" s="9"/>
      <c r="AC13" s="9"/>
      <c r="AE13" s="48" t="s">
        <v>11</v>
      </c>
      <c r="AF13" s="29">
        <v>252</v>
      </c>
      <c r="AG13" s="29">
        <v>955</v>
      </c>
      <c r="AH13" s="48" t="s">
        <v>11</v>
      </c>
      <c r="AI13" s="29">
        <v>304</v>
      </c>
      <c r="AJ13" s="29">
        <v>985</v>
      </c>
      <c r="AK13" s="48" t="s">
        <v>11</v>
      </c>
      <c r="AL13" s="29">
        <v>307</v>
      </c>
      <c r="AM13" s="29">
        <v>936</v>
      </c>
      <c r="AN13" s="48" t="s">
        <v>11</v>
      </c>
      <c r="AO13" s="29">
        <v>304</v>
      </c>
      <c r="AP13" s="29">
        <v>961</v>
      </c>
      <c r="AQ13" s="48" t="s">
        <v>11</v>
      </c>
      <c r="AR13" s="29">
        <v>314</v>
      </c>
      <c r="AS13" s="29">
        <v>973</v>
      </c>
      <c r="AT13" s="43"/>
      <c r="AU13"/>
      <c r="AV13"/>
    </row>
    <row r="14" spans="1:48">
      <c r="A14" s="24">
        <v>10</v>
      </c>
      <c r="B14" s="19" t="s">
        <v>45</v>
      </c>
      <c r="C14" s="19" t="s">
        <v>43</v>
      </c>
      <c r="D14" s="11">
        <v>49.819674828324601</v>
      </c>
      <c r="E14" s="9">
        <v>51.156622249714651</v>
      </c>
      <c r="F14" s="9">
        <v>42.485291572496003</v>
      </c>
      <c r="G14" s="9">
        <v>51.419840528729765</v>
      </c>
      <c r="H14" s="9">
        <v>77.665951355790398</v>
      </c>
      <c r="J14" s="21">
        <v>10</v>
      </c>
      <c r="K14" s="34" t="s">
        <v>44</v>
      </c>
      <c r="L14" s="34" t="s">
        <v>32</v>
      </c>
      <c r="M14" s="34" t="s">
        <v>62</v>
      </c>
      <c r="N14" s="9">
        <v>43.731011535630003</v>
      </c>
      <c r="O14" s="9">
        <v>43.214910317801767</v>
      </c>
      <c r="P14" s="9">
        <v>48.370956918581307</v>
      </c>
      <c r="Q14" s="9">
        <v>40.953811223115466</v>
      </c>
      <c r="R14" s="9">
        <v>46.027462165956905</v>
      </c>
      <c r="T14" s="23">
        <v>10</v>
      </c>
      <c r="U14" s="35"/>
      <c r="V14" s="35"/>
      <c r="W14" s="35"/>
      <c r="X14" s="35"/>
      <c r="Y14" s="11"/>
      <c r="Z14" s="9"/>
      <c r="AA14" s="9"/>
      <c r="AB14" s="9"/>
      <c r="AC14" s="9"/>
      <c r="AE14" s="48" t="s">
        <v>12</v>
      </c>
      <c r="AF14" s="29">
        <f>600+(600-AF13)</f>
        <v>948</v>
      </c>
      <c r="AG14" s="29">
        <f>AG13</f>
        <v>955</v>
      </c>
      <c r="AH14" s="48" t="s">
        <v>12</v>
      </c>
      <c r="AI14" s="29">
        <f>600+(600-AI13)</f>
        <v>896</v>
      </c>
      <c r="AJ14" s="29">
        <f>AJ13</f>
        <v>985</v>
      </c>
      <c r="AK14" s="48" t="s">
        <v>12</v>
      </c>
      <c r="AL14" s="29">
        <f t="shared" ref="AL14" si="10">600+(600-AL13)</f>
        <v>893</v>
      </c>
      <c r="AM14" s="29">
        <f t="shared" ref="AM14" si="11">AM13</f>
        <v>936</v>
      </c>
      <c r="AN14" s="48" t="s">
        <v>12</v>
      </c>
      <c r="AO14" s="29">
        <f t="shared" ref="AO14" si="12">600+(600-AO13)</f>
        <v>896</v>
      </c>
      <c r="AP14" s="29">
        <f t="shared" ref="AP14" si="13">AP13</f>
        <v>961</v>
      </c>
      <c r="AQ14" s="48" t="s">
        <v>12</v>
      </c>
      <c r="AR14" s="29">
        <f t="shared" ref="AR14" si="14">600+(600-AR13)</f>
        <v>886</v>
      </c>
      <c r="AS14" s="29">
        <f t="shared" ref="AS14" si="15">AS13</f>
        <v>973</v>
      </c>
      <c r="AT14" s="43"/>
      <c r="AU14"/>
      <c r="AV14"/>
    </row>
    <row r="15" spans="1:48">
      <c r="A15" s="24">
        <v>11</v>
      </c>
      <c r="B15" s="19" t="s">
        <v>46</v>
      </c>
      <c r="C15" s="19" t="s">
        <v>47</v>
      </c>
      <c r="D15" s="11">
        <v>754</v>
      </c>
      <c r="E15" s="9">
        <v>638</v>
      </c>
      <c r="F15" s="9">
        <v>612</v>
      </c>
      <c r="G15" s="9">
        <v>734</v>
      </c>
      <c r="H15" s="9">
        <v>780</v>
      </c>
      <c r="J15" s="21">
        <v>11</v>
      </c>
      <c r="K15" s="34" t="s">
        <v>44</v>
      </c>
      <c r="L15" s="34" t="s">
        <v>33</v>
      </c>
      <c r="M15" s="34" t="s">
        <v>62</v>
      </c>
      <c r="N15" s="9">
        <v>49.687705275415063</v>
      </c>
      <c r="O15" s="9">
        <v>42.490930450285518</v>
      </c>
      <c r="P15" s="9">
        <v>54.932685043518433</v>
      </c>
      <c r="Q15" s="9">
        <v>47.83159488501456</v>
      </c>
      <c r="R15" s="9">
        <v>50.380722332031901</v>
      </c>
      <c r="T15" s="23">
        <v>11</v>
      </c>
      <c r="U15" s="35"/>
      <c r="V15" s="35"/>
      <c r="W15" s="35"/>
      <c r="X15" s="35"/>
      <c r="Y15" s="11"/>
      <c r="Z15" s="9"/>
      <c r="AA15" s="9"/>
      <c r="AB15" s="9"/>
      <c r="AC15" s="9"/>
      <c r="AE15" s="48" t="s">
        <v>13</v>
      </c>
      <c r="AF15" s="29">
        <v>188</v>
      </c>
      <c r="AG15" s="29">
        <v>735</v>
      </c>
      <c r="AH15" s="48" t="s">
        <v>13</v>
      </c>
      <c r="AI15" s="29">
        <v>253</v>
      </c>
      <c r="AJ15" s="29">
        <v>744</v>
      </c>
      <c r="AK15" s="48" t="s">
        <v>13</v>
      </c>
      <c r="AL15" s="29">
        <v>264</v>
      </c>
      <c r="AM15" s="29">
        <v>734</v>
      </c>
      <c r="AN15" s="48" t="s">
        <v>13</v>
      </c>
      <c r="AO15" s="29">
        <v>249</v>
      </c>
      <c r="AP15" s="29">
        <v>768</v>
      </c>
      <c r="AQ15" s="48" t="s">
        <v>13</v>
      </c>
      <c r="AR15" s="29">
        <v>258</v>
      </c>
      <c r="AS15" s="29">
        <v>753</v>
      </c>
      <c r="AT15" s="43"/>
      <c r="AU15"/>
      <c r="AV15"/>
    </row>
    <row r="16" spans="1:48" ht="15.75" customHeight="1">
      <c r="A16" s="24">
        <v>12</v>
      </c>
      <c r="B16" s="19" t="s">
        <v>48</v>
      </c>
      <c r="C16" s="19" t="s">
        <v>30</v>
      </c>
      <c r="D16" s="11">
        <v>317</v>
      </c>
      <c r="E16" s="9">
        <v>320</v>
      </c>
      <c r="F16" s="9">
        <v>349</v>
      </c>
      <c r="G16" s="9">
        <v>409</v>
      </c>
      <c r="H16" s="9">
        <v>351</v>
      </c>
      <c r="J16" s="21">
        <v>12</v>
      </c>
      <c r="K16" s="34" t="s">
        <v>47</v>
      </c>
      <c r="L16" s="34" t="s">
        <v>30</v>
      </c>
      <c r="M16" s="34" t="s">
        <v>62</v>
      </c>
      <c r="N16" s="9">
        <v>93.793452703951075</v>
      </c>
      <c r="O16" s="9">
        <v>95.76126279354061</v>
      </c>
      <c r="P16" s="9">
        <v>104.57944508586043</v>
      </c>
      <c r="Q16" s="9">
        <v>85.854090966251363</v>
      </c>
      <c r="R16" s="9">
        <v>89.568065768259459</v>
      </c>
      <c r="T16" s="23">
        <v>12</v>
      </c>
      <c r="U16" s="35"/>
      <c r="V16" s="35"/>
      <c r="W16" s="35"/>
      <c r="X16" s="35"/>
      <c r="Y16" s="11"/>
      <c r="Z16" s="9"/>
      <c r="AA16" s="9"/>
      <c r="AB16" s="9"/>
      <c r="AC16" s="9"/>
      <c r="AE16" s="48" t="s">
        <v>14</v>
      </c>
      <c r="AF16" s="29">
        <f>600+(600-AF15)</f>
        <v>1012</v>
      </c>
      <c r="AG16" s="29">
        <f>AG15</f>
        <v>735</v>
      </c>
      <c r="AH16" s="48" t="s">
        <v>14</v>
      </c>
      <c r="AI16" s="29">
        <f>600+(600-AI15)</f>
        <v>947</v>
      </c>
      <c r="AJ16" s="29">
        <f>AJ15</f>
        <v>744</v>
      </c>
      <c r="AK16" s="48" t="s">
        <v>14</v>
      </c>
      <c r="AL16" s="29">
        <f t="shared" ref="AL16" si="16">600+(600-AL15)</f>
        <v>936</v>
      </c>
      <c r="AM16" s="29">
        <f t="shared" ref="AM16" si="17">AM15</f>
        <v>734</v>
      </c>
      <c r="AN16" s="48" t="s">
        <v>14</v>
      </c>
      <c r="AO16" s="29">
        <f t="shared" ref="AO16" si="18">600+(600-AO15)</f>
        <v>951</v>
      </c>
      <c r="AP16" s="29">
        <f t="shared" ref="AP16" si="19">AP15</f>
        <v>768</v>
      </c>
      <c r="AQ16" s="48" t="s">
        <v>14</v>
      </c>
      <c r="AR16" s="29">
        <f t="shared" ref="AR16" si="20">600+(600-AR15)</f>
        <v>942</v>
      </c>
      <c r="AS16" s="29">
        <f t="shared" ref="AS16" si="21">AS15</f>
        <v>753</v>
      </c>
      <c r="AT16" s="43"/>
      <c r="AU16"/>
      <c r="AV16"/>
    </row>
    <row r="17" spans="1:48" ht="15.75" customHeight="1">
      <c r="A17" s="24">
        <v>13</v>
      </c>
      <c r="B17" s="19" t="s">
        <v>48</v>
      </c>
      <c r="C17" s="19" t="s">
        <v>32</v>
      </c>
      <c r="D17" s="11">
        <v>657</v>
      </c>
      <c r="E17" s="9">
        <v>633</v>
      </c>
      <c r="F17" s="9">
        <v>683</v>
      </c>
      <c r="G17" s="9">
        <v>783</v>
      </c>
      <c r="H17" s="9">
        <v>697</v>
      </c>
      <c r="J17" s="21">
        <v>13</v>
      </c>
      <c r="K17" s="34" t="s">
        <v>47</v>
      </c>
      <c r="L17" s="34" t="s">
        <v>48</v>
      </c>
      <c r="M17" s="34" t="s">
        <v>62</v>
      </c>
      <c r="N17" s="9">
        <v>66.563285084366669</v>
      </c>
      <c r="O17" s="9">
        <v>61.960369821203784</v>
      </c>
      <c r="P17" s="9">
        <v>77.891954380002701</v>
      </c>
      <c r="Q17" s="9">
        <v>39.771471228899316</v>
      </c>
      <c r="R17" s="9">
        <v>57.733705954761461</v>
      </c>
      <c r="T17" s="23">
        <v>13</v>
      </c>
      <c r="U17" s="35"/>
      <c r="V17" s="35"/>
      <c r="W17" s="35"/>
      <c r="X17" s="35"/>
      <c r="Y17" s="11"/>
      <c r="Z17" s="9"/>
      <c r="AA17" s="9"/>
      <c r="AB17" s="9"/>
      <c r="AC17" s="9"/>
      <c r="AE17" s="48" t="s">
        <v>15</v>
      </c>
      <c r="AF17" s="29">
        <v>139</v>
      </c>
      <c r="AG17" s="29">
        <v>726</v>
      </c>
      <c r="AH17" s="48" t="s">
        <v>15</v>
      </c>
      <c r="AI17" s="29">
        <v>202</v>
      </c>
      <c r="AJ17" s="29">
        <v>740</v>
      </c>
      <c r="AK17" s="48" t="s">
        <v>15</v>
      </c>
      <c r="AL17" s="29">
        <v>226</v>
      </c>
      <c r="AM17" s="50">
        <v>715</v>
      </c>
      <c r="AN17" s="48" t="s">
        <v>15</v>
      </c>
      <c r="AO17" s="29">
        <v>199</v>
      </c>
      <c r="AP17" s="29">
        <v>756</v>
      </c>
      <c r="AQ17" s="48" t="s">
        <v>15</v>
      </c>
      <c r="AR17" s="29">
        <v>182</v>
      </c>
      <c r="AS17" s="29">
        <v>737</v>
      </c>
      <c r="AT17" s="43"/>
      <c r="AU17"/>
      <c r="AV17"/>
    </row>
    <row r="18" spans="1:48">
      <c r="A18" s="24">
        <v>14</v>
      </c>
      <c r="B18" s="19" t="s">
        <v>48</v>
      </c>
      <c r="C18" s="19" t="s">
        <v>33</v>
      </c>
      <c r="D18" s="11">
        <v>808</v>
      </c>
      <c r="E18" s="9">
        <v>625</v>
      </c>
      <c r="F18" s="9">
        <v>805</v>
      </c>
      <c r="G18" s="9">
        <v>880</v>
      </c>
      <c r="H18" s="9">
        <v>764</v>
      </c>
      <c r="J18" s="21">
        <v>14</v>
      </c>
      <c r="K18" s="44" t="s">
        <v>48</v>
      </c>
      <c r="L18" s="44" t="s">
        <v>78</v>
      </c>
      <c r="M18" s="44" t="s">
        <v>79</v>
      </c>
      <c r="N18" s="11">
        <v>53.948934431535477</v>
      </c>
      <c r="O18" s="9">
        <v>45.041990303594964</v>
      </c>
      <c r="P18" s="9">
        <v>46.261620866162559</v>
      </c>
      <c r="Q18" s="9">
        <v>44.40450625427686</v>
      </c>
      <c r="R18" s="9">
        <v>36.640211928735596</v>
      </c>
      <c r="T18" s="23">
        <v>14</v>
      </c>
      <c r="U18" s="35"/>
      <c r="V18" s="35"/>
      <c r="W18" s="35"/>
      <c r="X18" s="35"/>
      <c r="Y18" s="11"/>
      <c r="Z18" s="9"/>
      <c r="AA18" s="9"/>
      <c r="AB18" s="9"/>
      <c r="AC18" s="9"/>
      <c r="AE18" s="48" t="s">
        <v>16</v>
      </c>
      <c r="AF18" s="29">
        <f>600+(600-AF17)</f>
        <v>1061</v>
      </c>
      <c r="AG18" s="29">
        <f>AG17</f>
        <v>726</v>
      </c>
      <c r="AH18" s="48" t="s">
        <v>16</v>
      </c>
      <c r="AI18" s="29">
        <f>600+(600-AI17)</f>
        <v>998</v>
      </c>
      <c r="AJ18" s="29">
        <f>AJ17</f>
        <v>740</v>
      </c>
      <c r="AK18" s="48" t="s">
        <v>16</v>
      </c>
      <c r="AL18" s="29">
        <f t="shared" ref="AL18" si="22">600+(600-AL17)</f>
        <v>974</v>
      </c>
      <c r="AM18" s="29">
        <f t="shared" ref="AM18" si="23">AM17</f>
        <v>715</v>
      </c>
      <c r="AN18" s="48" t="s">
        <v>16</v>
      </c>
      <c r="AO18" s="29">
        <f t="shared" ref="AO18" si="24">600+(600-AO17)</f>
        <v>1001</v>
      </c>
      <c r="AP18" s="29">
        <f t="shared" ref="AP18" si="25">AP17</f>
        <v>756</v>
      </c>
      <c r="AQ18" s="48" t="s">
        <v>16</v>
      </c>
      <c r="AR18" s="29">
        <f t="shared" ref="AR18" si="26">600+(600-AR17)</f>
        <v>1018</v>
      </c>
      <c r="AS18" s="29">
        <f t="shared" ref="AS18" si="27">AS17</f>
        <v>737</v>
      </c>
      <c r="AT18" s="43"/>
      <c r="AU18"/>
      <c r="AV18"/>
    </row>
    <row r="19" spans="1:48">
      <c r="A19" s="24">
        <v>15</v>
      </c>
      <c r="B19" s="19" t="s">
        <v>48</v>
      </c>
      <c r="C19" s="19" t="s">
        <v>34</v>
      </c>
      <c r="D19" s="11">
        <v>1012</v>
      </c>
      <c r="E19" s="9">
        <v>998</v>
      </c>
      <c r="F19" s="9">
        <v>1013</v>
      </c>
      <c r="G19" s="9">
        <v>1123</v>
      </c>
      <c r="H19" s="9">
        <v>1014</v>
      </c>
      <c r="J19" s="21">
        <v>15</v>
      </c>
      <c r="K19" s="44" t="s">
        <v>80</v>
      </c>
      <c r="L19" s="44" t="s">
        <v>78</v>
      </c>
      <c r="M19" s="44" t="s">
        <v>79</v>
      </c>
      <c r="N19" s="11">
        <v>28.263037191977144</v>
      </c>
      <c r="O19" s="9">
        <v>19.241337512028981</v>
      </c>
      <c r="P19" s="9">
        <v>17.13784046935136</v>
      </c>
      <c r="Q19" s="9">
        <v>16.699244233993628</v>
      </c>
      <c r="R19" s="9">
        <v>19.069193537348134</v>
      </c>
      <c r="T19" s="23">
        <v>15</v>
      </c>
      <c r="U19" s="35"/>
      <c r="V19" s="35"/>
      <c r="W19" s="35"/>
      <c r="X19" s="35"/>
      <c r="Y19" s="11"/>
      <c r="Z19" s="9"/>
      <c r="AA19" s="9"/>
      <c r="AB19" s="9"/>
      <c r="AC19" s="9"/>
      <c r="AE19" s="48" t="s">
        <v>17</v>
      </c>
      <c r="AF19" s="29">
        <v>223</v>
      </c>
      <c r="AG19" s="29">
        <v>125</v>
      </c>
      <c r="AH19" s="48" t="s">
        <v>17</v>
      </c>
      <c r="AI19" s="29">
        <v>281</v>
      </c>
      <c r="AJ19" s="29">
        <v>165</v>
      </c>
      <c r="AK19" s="48" t="s">
        <v>17</v>
      </c>
      <c r="AL19" s="29">
        <v>294</v>
      </c>
      <c r="AM19" s="29">
        <v>66</v>
      </c>
      <c r="AN19" s="48" t="s">
        <v>17</v>
      </c>
      <c r="AO19" s="29">
        <v>233</v>
      </c>
      <c r="AP19" s="29">
        <v>202</v>
      </c>
      <c r="AQ19" s="48" t="s">
        <v>17</v>
      </c>
      <c r="AR19" s="29">
        <v>210</v>
      </c>
      <c r="AS19" s="29">
        <v>178</v>
      </c>
      <c r="AT19" s="43"/>
      <c r="AU19"/>
      <c r="AV19"/>
    </row>
    <row r="20" spans="1:48">
      <c r="A20" s="24">
        <v>16</v>
      </c>
      <c r="B20" s="19" t="s">
        <v>50</v>
      </c>
      <c r="C20" s="19" t="s">
        <v>51</v>
      </c>
      <c r="D20" s="11">
        <v>68.007352543677214</v>
      </c>
      <c r="E20" s="9">
        <v>60</v>
      </c>
      <c r="F20" s="9">
        <v>65.007691852580024</v>
      </c>
      <c r="G20" s="9">
        <v>63.031738037277698</v>
      </c>
      <c r="H20" s="9">
        <v>60.033324079214538</v>
      </c>
      <c r="I20" s="3"/>
      <c r="J20" s="21">
        <v>16</v>
      </c>
      <c r="K20" s="44" t="s">
        <v>48</v>
      </c>
      <c r="L20" s="44" t="s">
        <v>81</v>
      </c>
      <c r="M20" s="44" t="s">
        <v>79</v>
      </c>
      <c r="N20" s="11">
        <v>122.25510935590455</v>
      </c>
      <c r="O20" s="9">
        <v>101.63979988712173</v>
      </c>
      <c r="P20" s="9">
        <v>92.007495748497917</v>
      </c>
      <c r="Q20" s="9">
        <v>111.58253978337441</v>
      </c>
      <c r="R20" s="9">
        <v>105.01075718357895</v>
      </c>
      <c r="T20" s="23">
        <v>16</v>
      </c>
      <c r="U20" s="35"/>
      <c r="V20" s="35"/>
      <c r="W20" s="35"/>
      <c r="X20" s="35"/>
      <c r="Y20" s="11"/>
      <c r="Z20" s="9"/>
      <c r="AA20" s="9"/>
      <c r="AB20" s="9"/>
      <c r="AC20" s="9"/>
      <c r="AE20" s="48" t="s">
        <v>18</v>
      </c>
      <c r="AF20" s="29">
        <v>600</v>
      </c>
      <c r="AG20" s="29">
        <v>167</v>
      </c>
      <c r="AH20" s="48" t="s">
        <v>18</v>
      </c>
      <c r="AI20" s="29">
        <v>600</v>
      </c>
      <c r="AJ20" s="29">
        <v>176</v>
      </c>
      <c r="AK20" s="48" t="s">
        <v>18</v>
      </c>
      <c r="AL20" s="29">
        <v>600</v>
      </c>
      <c r="AM20" s="29">
        <v>163</v>
      </c>
      <c r="AN20" s="48" t="s">
        <v>18</v>
      </c>
      <c r="AO20" s="29">
        <v>600</v>
      </c>
      <c r="AP20" s="29">
        <v>45</v>
      </c>
      <c r="AQ20" s="48" t="s">
        <v>18</v>
      </c>
      <c r="AR20" s="29">
        <v>600</v>
      </c>
      <c r="AS20" s="29">
        <v>160</v>
      </c>
      <c r="AT20" s="43"/>
      <c r="AU20"/>
      <c r="AV20"/>
    </row>
    <row r="21" spans="1:48">
      <c r="A21" s="24">
        <v>17</v>
      </c>
      <c r="B21" s="19" t="s">
        <v>65</v>
      </c>
      <c r="C21" s="19" t="s">
        <v>66</v>
      </c>
      <c r="D21" s="11">
        <v>204</v>
      </c>
      <c r="E21" s="9">
        <v>373</v>
      </c>
      <c r="F21" s="9">
        <v>208</v>
      </c>
      <c r="G21" s="9">
        <v>243</v>
      </c>
      <c r="H21" s="9">
        <v>250</v>
      </c>
      <c r="I21" s="3"/>
      <c r="J21" s="21">
        <v>17</v>
      </c>
      <c r="K21" s="44" t="s">
        <v>80</v>
      </c>
      <c r="L21" s="44" t="s">
        <v>81</v>
      </c>
      <c r="M21" s="44" t="s">
        <v>79</v>
      </c>
      <c r="N21" s="11">
        <v>25.839316570658266</v>
      </c>
      <c r="O21" s="9">
        <v>21.985639653726871</v>
      </c>
      <c r="P21" s="9">
        <v>19.699692407811039</v>
      </c>
      <c r="Q21" s="9">
        <v>25.440537974879174</v>
      </c>
      <c r="R21" s="9">
        <v>19.425239275370608</v>
      </c>
      <c r="T21" s="23">
        <v>17</v>
      </c>
      <c r="U21" s="35"/>
      <c r="V21" s="35"/>
      <c r="W21" s="35"/>
      <c r="X21" s="35"/>
      <c r="Y21" s="11"/>
      <c r="Z21" s="9"/>
      <c r="AA21" s="9"/>
      <c r="AB21" s="9"/>
      <c r="AC21" s="9"/>
      <c r="AE21" s="48" t="s">
        <v>19</v>
      </c>
      <c r="AF21" s="29">
        <f>600+(600-AF19)</f>
        <v>977</v>
      </c>
      <c r="AG21" s="29">
        <f>AG19</f>
        <v>125</v>
      </c>
      <c r="AH21" s="48" t="s">
        <v>19</v>
      </c>
      <c r="AI21" s="29">
        <f>600+(600-AI19)</f>
        <v>919</v>
      </c>
      <c r="AJ21" s="29">
        <f>AJ19</f>
        <v>165</v>
      </c>
      <c r="AK21" s="48" t="s">
        <v>19</v>
      </c>
      <c r="AL21" s="29">
        <f>600+(600-AL19)</f>
        <v>906</v>
      </c>
      <c r="AM21" s="29">
        <f t="shared" ref="AM21" si="28">AM19</f>
        <v>66</v>
      </c>
      <c r="AN21" s="48" t="s">
        <v>19</v>
      </c>
      <c r="AO21" s="29">
        <f t="shared" ref="AO21" si="29">600+(600-AO19)</f>
        <v>967</v>
      </c>
      <c r="AP21" s="29">
        <f t="shared" ref="AP21" si="30">AP19</f>
        <v>202</v>
      </c>
      <c r="AQ21" s="48" t="s">
        <v>19</v>
      </c>
      <c r="AR21" s="29">
        <f t="shared" ref="AR21" si="31">600+(600-AR19)</f>
        <v>990</v>
      </c>
      <c r="AS21" s="29">
        <f t="shared" ref="AS21" si="32">AS19</f>
        <v>178</v>
      </c>
      <c r="AT21" s="43"/>
      <c r="AU21"/>
      <c r="AV21"/>
    </row>
    <row r="22" spans="1:48">
      <c r="A22" s="24">
        <v>18</v>
      </c>
      <c r="B22" s="19" t="s">
        <v>76</v>
      </c>
      <c r="C22" s="19" t="s">
        <v>75</v>
      </c>
      <c r="D22" s="11">
        <v>39.05124837953327</v>
      </c>
      <c r="E22" s="9">
        <v>35.227829907617071</v>
      </c>
      <c r="F22" s="9">
        <v>38.639358172723313</v>
      </c>
      <c r="G22" s="9">
        <v>39.11521443121589</v>
      </c>
      <c r="H22" s="9">
        <v>36.221540552549669</v>
      </c>
      <c r="I22" s="3"/>
      <c r="J22" s="21">
        <v>18</v>
      </c>
      <c r="K22" s="34"/>
      <c r="L22" s="34"/>
      <c r="M22" s="34"/>
      <c r="N22" s="11"/>
      <c r="O22" s="9"/>
      <c r="P22" s="9"/>
      <c r="Q22" s="9"/>
      <c r="R22" s="9"/>
      <c r="T22" s="23">
        <v>18</v>
      </c>
      <c r="U22" s="35"/>
      <c r="V22" s="35"/>
      <c r="W22" s="35"/>
      <c r="X22" s="35"/>
      <c r="Y22" s="11"/>
      <c r="Z22" s="9"/>
      <c r="AA22" s="9"/>
      <c r="AB22" s="9"/>
      <c r="AC22" s="9"/>
      <c r="AE22" s="48" t="s">
        <v>20</v>
      </c>
      <c r="AF22" s="29">
        <v>334</v>
      </c>
      <c r="AG22" s="29">
        <v>602</v>
      </c>
      <c r="AH22" s="48" t="s">
        <v>20</v>
      </c>
      <c r="AI22" s="29">
        <v>355</v>
      </c>
      <c r="AJ22" s="29">
        <v>605</v>
      </c>
      <c r="AK22" s="48" t="s">
        <v>20</v>
      </c>
      <c r="AL22" s="29">
        <v>346</v>
      </c>
      <c r="AM22" s="29">
        <v>597</v>
      </c>
      <c r="AN22" s="49" t="s">
        <v>20</v>
      </c>
      <c r="AO22" s="30">
        <v>362</v>
      </c>
      <c r="AP22" s="30">
        <v>585</v>
      </c>
      <c r="AQ22" s="48" t="s">
        <v>20</v>
      </c>
      <c r="AR22" s="29">
        <v>329</v>
      </c>
      <c r="AS22" s="29">
        <v>645</v>
      </c>
      <c r="AT22" s="43"/>
      <c r="AU22"/>
      <c r="AV22"/>
    </row>
    <row r="23" spans="1:48">
      <c r="A23" s="24">
        <v>19</v>
      </c>
      <c r="B23" s="19" t="s">
        <v>73</v>
      </c>
      <c r="C23" s="19" t="s">
        <v>74</v>
      </c>
      <c r="D23" s="11">
        <v>160.65490966665163</v>
      </c>
      <c r="E23" s="9">
        <v>179.06981878585793</v>
      </c>
      <c r="F23" s="9">
        <v>219.27608168699112</v>
      </c>
      <c r="G23" s="9">
        <v>200.44949488586894</v>
      </c>
      <c r="H23" s="9">
        <v>191.68985366993215</v>
      </c>
      <c r="I23" s="3"/>
      <c r="J23" s="21">
        <v>19</v>
      </c>
      <c r="K23" s="34"/>
      <c r="L23" s="34"/>
      <c r="M23" s="34"/>
      <c r="N23" s="11"/>
      <c r="O23" s="9"/>
      <c r="P23" s="9"/>
      <c r="Q23" s="9"/>
      <c r="R23" s="9"/>
      <c r="T23" s="23">
        <v>19</v>
      </c>
      <c r="U23" s="35"/>
      <c r="V23" s="35"/>
      <c r="W23" s="35"/>
      <c r="X23" s="35"/>
      <c r="Y23" s="11"/>
      <c r="Z23" s="9"/>
      <c r="AA23" s="9"/>
      <c r="AB23" s="9"/>
      <c r="AC23" s="9"/>
      <c r="AE23" s="48" t="s">
        <v>21</v>
      </c>
      <c r="AF23" s="29">
        <v>429</v>
      </c>
      <c r="AG23" s="29">
        <v>610</v>
      </c>
      <c r="AH23" s="49" t="s">
        <v>21</v>
      </c>
      <c r="AI23" s="30">
        <v>442</v>
      </c>
      <c r="AJ23" s="30">
        <v>617</v>
      </c>
      <c r="AK23" s="48" t="s">
        <v>21</v>
      </c>
      <c r="AL23" s="29">
        <v>432</v>
      </c>
      <c r="AM23" s="29">
        <v>627</v>
      </c>
      <c r="AN23" s="49" t="s">
        <v>21</v>
      </c>
      <c r="AO23" s="30">
        <v>433</v>
      </c>
      <c r="AP23" s="30">
        <v>604</v>
      </c>
      <c r="AQ23" s="48" t="s">
        <v>21</v>
      </c>
      <c r="AR23" s="29">
        <v>419</v>
      </c>
      <c r="AS23" s="29">
        <v>653</v>
      </c>
      <c r="AT23" s="43"/>
      <c r="AU23"/>
      <c r="AV23"/>
    </row>
    <row r="24" spans="1:48">
      <c r="A24" s="24">
        <v>20</v>
      </c>
      <c r="B24" s="19"/>
      <c r="C24" s="19"/>
      <c r="D24" s="9"/>
      <c r="E24" s="9"/>
      <c r="F24" s="9"/>
      <c r="G24" s="9"/>
      <c r="H24" s="9"/>
      <c r="I24" s="3"/>
      <c r="J24" s="21">
        <v>20</v>
      </c>
      <c r="K24" s="34"/>
      <c r="L24" s="34"/>
      <c r="M24" s="34"/>
      <c r="N24" s="11"/>
      <c r="O24" s="9"/>
      <c r="P24" s="9"/>
      <c r="Q24" s="9"/>
      <c r="R24" s="9"/>
      <c r="T24" s="23">
        <v>20</v>
      </c>
      <c r="U24" s="35"/>
      <c r="V24" s="35"/>
      <c r="W24" s="35"/>
      <c r="X24" s="35"/>
      <c r="Y24" s="11"/>
      <c r="Z24" s="9"/>
      <c r="AA24" s="9"/>
      <c r="AB24" s="9"/>
      <c r="AC24" s="9"/>
      <c r="AE24" s="48" t="s">
        <v>22</v>
      </c>
      <c r="AF24" s="29">
        <v>509</v>
      </c>
      <c r="AG24" s="29">
        <v>590</v>
      </c>
      <c r="AH24" s="49" t="s">
        <v>22</v>
      </c>
      <c r="AI24" s="30">
        <v>518</v>
      </c>
      <c r="AJ24" s="30">
        <v>590</v>
      </c>
      <c r="AK24" s="48" t="s">
        <v>22</v>
      </c>
      <c r="AL24" s="29">
        <v>502</v>
      </c>
      <c r="AM24" s="29">
        <v>607</v>
      </c>
      <c r="AN24" s="49" t="s">
        <v>22</v>
      </c>
      <c r="AO24" s="30">
        <v>509</v>
      </c>
      <c r="AP24" s="30">
        <v>584</v>
      </c>
      <c r="AQ24" s="48" t="s">
        <v>22</v>
      </c>
      <c r="AR24" s="29">
        <v>491</v>
      </c>
      <c r="AS24" s="29">
        <v>616</v>
      </c>
      <c r="AT24" s="43"/>
      <c r="AU24"/>
      <c r="AV24"/>
    </row>
    <row r="25" spans="1:48" ht="15.75" customHeight="1">
      <c r="A25" s="24">
        <v>21</v>
      </c>
      <c r="B25" s="19"/>
      <c r="C25" s="19"/>
      <c r="D25" s="9"/>
      <c r="E25" s="9"/>
      <c r="F25" s="9"/>
      <c r="G25" s="9"/>
      <c r="H25" s="9"/>
      <c r="I25" s="3"/>
      <c r="J25" s="21">
        <v>21</v>
      </c>
      <c r="K25" s="34"/>
      <c r="L25" s="34"/>
      <c r="M25" s="34"/>
      <c r="N25" s="11"/>
      <c r="O25" s="9"/>
      <c r="P25" s="9"/>
      <c r="Q25" s="9"/>
      <c r="R25" s="9"/>
      <c r="T25" s="23">
        <v>21</v>
      </c>
      <c r="U25" s="35"/>
      <c r="V25" s="35"/>
      <c r="W25" s="35"/>
      <c r="X25" s="35"/>
      <c r="Y25" s="11"/>
      <c r="Z25" s="9"/>
      <c r="AA25" s="9"/>
      <c r="AB25" s="9"/>
      <c r="AC25" s="9"/>
      <c r="AE25" s="48" t="s">
        <v>23</v>
      </c>
      <c r="AF25" s="29">
        <v>430</v>
      </c>
      <c r="AG25" s="29">
        <v>542</v>
      </c>
      <c r="AH25" s="49" t="s">
        <v>23</v>
      </c>
      <c r="AI25" s="30">
        <v>442</v>
      </c>
      <c r="AJ25" s="30">
        <v>557</v>
      </c>
      <c r="AK25" s="48" t="s">
        <v>23</v>
      </c>
      <c r="AL25" s="29">
        <v>431</v>
      </c>
      <c r="AM25" s="29">
        <v>562</v>
      </c>
      <c r="AN25" s="49" t="s">
        <v>23</v>
      </c>
      <c r="AO25" s="30">
        <v>435</v>
      </c>
      <c r="AP25" s="30">
        <v>541</v>
      </c>
      <c r="AQ25" s="48" t="s">
        <v>23</v>
      </c>
      <c r="AR25" s="29">
        <v>421</v>
      </c>
      <c r="AS25" s="29">
        <v>593</v>
      </c>
      <c r="AT25" s="43"/>
      <c r="AU25"/>
      <c r="AV25"/>
    </row>
    <row r="26" spans="1:48" ht="16.5" customHeight="1">
      <c r="A26" s="24">
        <v>22</v>
      </c>
      <c r="B26" s="19"/>
      <c r="C26" s="19"/>
      <c r="D26" s="9"/>
      <c r="E26" s="9"/>
      <c r="F26" s="9"/>
      <c r="G26" s="9"/>
      <c r="H26" s="9"/>
      <c r="I26" s="3"/>
      <c r="J26" s="21">
        <v>22</v>
      </c>
      <c r="K26" s="34"/>
      <c r="L26" s="34"/>
      <c r="M26" s="34"/>
      <c r="N26" s="11"/>
      <c r="O26" s="9"/>
      <c r="P26" s="9"/>
      <c r="Q26" s="9"/>
      <c r="R26" s="9"/>
      <c r="T26" s="23">
        <v>22</v>
      </c>
      <c r="U26" s="35"/>
      <c r="V26" s="35"/>
      <c r="W26" s="35"/>
      <c r="X26" s="35"/>
      <c r="Y26" s="11"/>
      <c r="Z26" s="9"/>
      <c r="AA26" s="9"/>
      <c r="AB26" s="9"/>
      <c r="AC26" s="9"/>
      <c r="AE26" s="48" t="s">
        <v>24</v>
      </c>
      <c r="AF26" s="31">
        <v>1180</v>
      </c>
      <c r="AG26" s="31">
        <v>1180</v>
      </c>
      <c r="AH26" s="49" t="s">
        <v>24</v>
      </c>
      <c r="AI26" s="30">
        <v>1180</v>
      </c>
      <c r="AJ26" s="30">
        <v>1180</v>
      </c>
      <c r="AK26" s="48" t="s">
        <v>24</v>
      </c>
      <c r="AL26" s="31">
        <v>1180</v>
      </c>
      <c r="AM26" s="31">
        <v>1180</v>
      </c>
      <c r="AN26" s="49" t="s">
        <v>24</v>
      </c>
      <c r="AO26" s="30">
        <v>1180</v>
      </c>
      <c r="AP26" s="30">
        <v>1180</v>
      </c>
      <c r="AQ26" s="32" t="s">
        <v>24</v>
      </c>
      <c r="AR26" s="31">
        <v>1180</v>
      </c>
      <c r="AS26" s="31">
        <v>1180</v>
      </c>
      <c r="AT26" s="43"/>
      <c r="AU26"/>
      <c r="AV26"/>
    </row>
    <row r="27" spans="1:48">
      <c r="A27" s="24">
        <v>23</v>
      </c>
      <c r="B27" s="19"/>
      <c r="C27" s="19"/>
      <c r="D27" s="9"/>
      <c r="E27" s="9"/>
      <c r="F27" s="9"/>
      <c r="G27" s="9"/>
      <c r="H27" s="9"/>
      <c r="J27" s="21">
        <v>23</v>
      </c>
      <c r="K27" s="34"/>
      <c r="L27" s="34"/>
      <c r="M27" s="34"/>
      <c r="N27" s="11"/>
      <c r="O27" s="9"/>
      <c r="P27" s="9"/>
      <c r="Q27" s="9"/>
      <c r="R27" s="9"/>
      <c r="T27" s="23">
        <v>23</v>
      </c>
      <c r="U27" s="35"/>
      <c r="V27" s="35"/>
      <c r="W27" s="35"/>
      <c r="X27" s="35"/>
      <c r="Y27" s="11"/>
      <c r="Z27" s="9"/>
      <c r="AA27" s="9"/>
      <c r="AB27" s="9"/>
      <c r="AC27" s="9"/>
      <c r="AE27" s="46" t="s">
        <v>67</v>
      </c>
      <c r="AF27" s="8">
        <v>600</v>
      </c>
      <c r="AG27" s="37">
        <v>0</v>
      </c>
      <c r="AH27" s="46" t="s">
        <v>67</v>
      </c>
      <c r="AI27" s="9">
        <v>600</v>
      </c>
      <c r="AJ27" s="38">
        <v>0</v>
      </c>
      <c r="AK27" s="46" t="s">
        <v>67</v>
      </c>
      <c r="AL27" s="8">
        <v>600</v>
      </c>
      <c r="AM27" s="37">
        <v>0</v>
      </c>
      <c r="AN27" s="46" t="s">
        <v>67</v>
      </c>
      <c r="AO27" s="9">
        <v>600</v>
      </c>
      <c r="AP27" s="38">
        <v>0</v>
      </c>
      <c r="AQ27" s="46" t="s">
        <v>67</v>
      </c>
      <c r="AR27" s="8">
        <v>600</v>
      </c>
      <c r="AS27" s="37">
        <v>0</v>
      </c>
      <c r="AT27" s="43"/>
      <c r="AU27"/>
      <c r="AV27"/>
    </row>
    <row r="28" spans="1:48" s="7" customFormat="1">
      <c r="A28" s="24">
        <v>24</v>
      </c>
      <c r="B28" s="19"/>
      <c r="C28" s="19"/>
      <c r="D28" s="17"/>
      <c r="E28" s="12"/>
      <c r="F28" s="12"/>
      <c r="G28" s="12"/>
      <c r="H28" s="12"/>
      <c r="J28" s="21">
        <v>24</v>
      </c>
      <c r="K28" s="34"/>
      <c r="L28" s="34"/>
      <c r="M28" s="34"/>
      <c r="N28" s="17"/>
      <c r="O28" s="12"/>
      <c r="P28" s="12"/>
      <c r="Q28" s="12"/>
      <c r="R28" s="12"/>
      <c r="T28" s="23">
        <v>24</v>
      </c>
      <c r="U28" s="35"/>
      <c r="V28" s="35"/>
      <c r="W28" s="35"/>
      <c r="X28" s="35"/>
      <c r="Y28" s="17"/>
      <c r="Z28" s="12"/>
      <c r="AA28" s="12"/>
      <c r="AB28" s="12"/>
      <c r="AC28" s="12"/>
      <c r="AE28" s="46" t="s">
        <v>68</v>
      </c>
      <c r="AF28" s="29">
        <v>423</v>
      </c>
      <c r="AG28" s="29">
        <v>463</v>
      </c>
      <c r="AH28" s="46" t="s">
        <v>68</v>
      </c>
      <c r="AI28" s="9">
        <v>428</v>
      </c>
      <c r="AJ28" s="38">
        <v>464</v>
      </c>
      <c r="AK28" s="46" t="s">
        <v>68</v>
      </c>
      <c r="AL28" s="8">
        <v>427</v>
      </c>
      <c r="AM28" s="37">
        <v>464</v>
      </c>
      <c r="AN28" s="46" t="s">
        <v>68</v>
      </c>
      <c r="AO28" s="9">
        <v>426</v>
      </c>
      <c r="AP28" s="38">
        <v>443</v>
      </c>
      <c r="AQ28" s="46" t="s">
        <v>68</v>
      </c>
      <c r="AR28" s="8">
        <v>406</v>
      </c>
      <c r="AS28" s="37">
        <v>495</v>
      </c>
      <c r="AT28" s="43"/>
      <c r="AU28"/>
      <c r="AV28"/>
    </row>
    <row r="29" spans="1:48">
      <c r="A29" s="24">
        <v>25</v>
      </c>
      <c r="B29" s="19"/>
      <c r="C29" s="19"/>
      <c r="D29" s="18"/>
      <c r="E29" s="13"/>
      <c r="F29" s="9"/>
      <c r="G29" s="9"/>
      <c r="H29" s="9"/>
      <c r="J29" s="21">
        <v>25</v>
      </c>
      <c r="K29" s="34"/>
      <c r="L29" s="34"/>
      <c r="M29" s="34"/>
      <c r="N29" s="11"/>
      <c r="O29" s="9"/>
      <c r="P29" s="9"/>
      <c r="Q29" s="9"/>
      <c r="R29" s="9"/>
      <c r="T29" s="23">
        <v>25</v>
      </c>
      <c r="U29" s="35"/>
      <c r="V29" s="35"/>
      <c r="W29" s="35"/>
      <c r="X29" s="35"/>
      <c r="Y29" s="11"/>
      <c r="Z29" s="9"/>
      <c r="AA29" s="9"/>
      <c r="AB29" s="9"/>
      <c r="AC29" s="9"/>
      <c r="AE29" s="46" t="s">
        <v>69</v>
      </c>
      <c r="AF29" s="29">
        <v>350</v>
      </c>
      <c r="AG29" s="29">
        <v>501</v>
      </c>
      <c r="AH29" s="46" t="s">
        <v>69</v>
      </c>
      <c r="AI29" s="9">
        <v>334</v>
      </c>
      <c r="AJ29" s="38">
        <v>509</v>
      </c>
      <c r="AK29" s="46" t="s">
        <v>69</v>
      </c>
      <c r="AL29" s="8">
        <v>308</v>
      </c>
      <c r="AM29" s="37">
        <v>509</v>
      </c>
      <c r="AN29" s="46" t="s">
        <v>69</v>
      </c>
      <c r="AO29" s="9">
        <v>315</v>
      </c>
      <c r="AP29" s="38">
        <v>509</v>
      </c>
      <c r="AQ29" s="46" t="s">
        <v>69</v>
      </c>
      <c r="AR29" s="8">
        <v>320</v>
      </c>
      <c r="AS29" s="37">
        <v>561</v>
      </c>
      <c r="AT29" s="43"/>
      <c r="AU29"/>
      <c r="AV29"/>
    </row>
    <row r="30" spans="1:48">
      <c r="A30" s="24">
        <v>26</v>
      </c>
      <c r="B30" s="19"/>
      <c r="C30" s="19"/>
      <c r="D30" s="11"/>
      <c r="E30" s="9"/>
      <c r="F30" s="9"/>
      <c r="G30" s="9"/>
      <c r="H30" s="9"/>
      <c r="J30" s="21">
        <v>26</v>
      </c>
      <c r="K30" s="34"/>
      <c r="L30" s="34"/>
      <c r="M30" s="34"/>
      <c r="N30" s="11"/>
      <c r="O30" s="9"/>
      <c r="P30" s="9"/>
      <c r="Q30" s="9"/>
      <c r="R30" s="9"/>
      <c r="T30" s="23">
        <v>26</v>
      </c>
      <c r="U30" s="35"/>
      <c r="V30" s="35"/>
      <c r="W30" s="35"/>
      <c r="X30" s="35"/>
      <c r="Y30" s="11"/>
      <c r="Z30" s="9"/>
      <c r="AA30" s="9"/>
      <c r="AB30" s="9"/>
      <c r="AC30" s="9"/>
      <c r="AE30" s="46" t="s">
        <v>70</v>
      </c>
      <c r="AF30" s="29">
        <v>509</v>
      </c>
      <c r="AG30" s="29">
        <v>478</v>
      </c>
      <c r="AH30" s="46" t="s">
        <v>70</v>
      </c>
      <c r="AI30" s="9">
        <v>513</v>
      </c>
      <c r="AJ30" s="38">
        <v>504</v>
      </c>
      <c r="AK30" s="46" t="s">
        <v>70</v>
      </c>
      <c r="AL30" s="8">
        <v>527</v>
      </c>
      <c r="AM30" s="37">
        <v>520</v>
      </c>
      <c r="AN30" s="46" t="s">
        <v>70</v>
      </c>
      <c r="AO30" s="9">
        <v>511</v>
      </c>
      <c r="AP30" s="38">
        <v>467</v>
      </c>
      <c r="AQ30" s="46" t="s">
        <v>70</v>
      </c>
      <c r="AR30" s="8">
        <v>509</v>
      </c>
      <c r="AS30" s="37">
        <v>529</v>
      </c>
      <c r="AT30" s="43"/>
      <c r="AU30"/>
      <c r="AV30"/>
    </row>
    <row r="31" spans="1:48">
      <c r="A31" s="24">
        <v>27</v>
      </c>
      <c r="B31" s="19"/>
      <c r="C31" s="19"/>
      <c r="D31" s="11"/>
      <c r="E31" s="9"/>
      <c r="F31" s="9"/>
      <c r="G31" s="9"/>
      <c r="H31" s="9"/>
      <c r="J31" s="21">
        <v>27</v>
      </c>
      <c r="K31" s="34"/>
      <c r="L31" s="34"/>
      <c r="M31" s="34"/>
      <c r="N31" s="11"/>
      <c r="O31" s="9"/>
      <c r="P31" s="9"/>
      <c r="Q31" s="9"/>
      <c r="R31" s="9"/>
      <c r="T31" s="23">
        <v>27</v>
      </c>
      <c r="U31" s="35"/>
      <c r="V31" s="35"/>
      <c r="W31" s="35"/>
      <c r="X31" s="35"/>
      <c r="Y31" s="11"/>
      <c r="Z31" s="9"/>
      <c r="AA31" s="9"/>
      <c r="AB31" s="9"/>
      <c r="AC31" s="9"/>
      <c r="AE31" s="46" t="s">
        <v>71</v>
      </c>
      <c r="AF31" s="29">
        <v>425</v>
      </c>
      <c r="AG31" s="29">
        <v>502</v>
      </c>
      <c r="AH31" s="46" t="s">
        <v>71</v>
      </c>
      <c r="AI31" s="9">
        <v>424</v>
      </c>
      <c r="AJ31" s="38">
        <v>499</v>
      </c>
      <c r="AK31" s="46" t="s">
        <v>71</v>
      </c>
      <c r="AL31" s="8">
        <v>420</v>
      </c>
      <c r="AM31" s="37">
        <v>502</v>
      </c>
      <c r="AN31" s="46" t="s">
        <v>71</v>
      </c>
      <c r="AO31" s="9">
        <v>423</v>
      </c>
      <c r="AP31" s="38">
        <v>482</v>
      </c>
      <c r="AQ31" s="46" t="s">
        <v>71</v>
      </c>
      <c r="AR31" s="8">
        <v>410</v>
      </c>
      <c r="AS31" s="37">
        <v>531</v>
      </c>
      <c r="AT31" s="43"/>
      <c r="AU31"/>
      <c r="AV31"/>
    </row>
    <row r="32" spans="1:48">
      <c r="A32" s="24">
        <v>28</v>
      </c>
      <c r="B32" s="19"/>
      <c r="C32" s="19"/>
      <c r="D32" s="11"/>
      <c r="E32" s="9"/>
      <c r="F32" s="9"/>
      <c r="G32" s="9"/>
      <c r="H32" s="9"/>
      <c r="J32" s="21">
        <v>28</v>
      </c>
      <c r="K32" s="34"/>
      <c r="L32" s="34"/>
      <c r="M32" s="34"/>
      <c r="N32" s="11"/>
      <c r="O32" s="9"/>
      <c r="P32" s="9"/>
      <c r="Q32" s="9"/>
      <c r="R32" s="9"/>
      <c r="T32" s="23">
        <v>28</v>
      </c>
      <c r="U32" s="35"/>
      <c r="V32" s="35"/>
      <c r="W32" s="35"/>
      <c r="X32" s="35"/>
      <c r="Y32" s="11"/>
      <c r="Z32" s="9"/>
      <c r="AA32" s="9"/>
      <c r="AB32" s="9"/>
      <c r="AC32" s="9"/>
      <c r="AE32" s="46"/>
      <c r="AF32" s="8"/>
      <c r="AG32" s="37"/>
      <c r="AH32" s="46"/>
      <c r="AI32" s="9"/>
      <c r="AJ32" s="38"/>
      <c r="AK32" s="46"/>
      <c r="AL32" s="8"/>
      <c r="AM32" s="37"/>
      <c r="AN32" s="46"/>
      <c r="AO32" s="9"/>
      <c r="AP32" s="38"/>
      <c r="AQ32" s="46"/>
      <c r="AR32" s="8"/>
      <c r="AS32" s="37"/>
      <c r="AT32" s="43"/>
      <c r="AU32"/>
      <c r="AV32"/>
    </row>
    <row r="33" spans="1:45">
      <c r="A33" s="24">
        <v>29</v>
      </c>
      <c r="B33" s="19"/>
      <c r="C33" s="19"/>
      <c r="D33" s="11"/>
      <c r="E33" s="9"/>
      <c r="F33" s="9"/>
      <c r="G33" s="9"/>
      <c r="H33" s="9"/>
      <c r="J33" s="21">
        <v>29</v>
      </c>
      <c r="K33" s="34"/>
      <c r="L33" s="34"/>
      <c r="M33" s="34"/>
      <c r="N33" s="11"/>
      <c r="O33" s="9"/>
      <c r="P33" s="9"/>
      <c r="Q33" s="9"/>
      <c r="R33" s="9"/>
      <c r="T33" s="23">
        <v>29</v>
      </c>
      <c r="U33" s="35"/>
      <c r="V33" s="35"/>
      <c r="W33" s="35"/>
      <c r="X33" s="35"/>
      <c r="Y33" s="11"/>
      <c r="Z33" s="9"/>
      <c r="AA33" s="9"/>
      <c r="AB33" s="9"/>
      <c r="AC33" s="9"/>
      <c r="AE33" s="46"/>
      <c r="AF33" s="8"/>
      <c r="AG33" s="37"/>
      <c r="AH33" s="47"/>
      <c r="AI33" s="9"/>
      <c r="AJ33" s="38"/>
      <c r="AK33" s="46"/>
      <c r="AL33" s="8"/>
      <c r="AM33" s="37"/>
      <c r="AN33" s="47"/>
      <c r="AO33" s="9"/>
      <c r="AP33" s="38"/>
      <c r="AQ33" s="46"/>
      <c r="AR33" s="8"/>
      <c r="AS33" s="37"/>
    </row>
    <row r="34" spans="1:45">
      <c r="A34" s="24">
        <v>30</v>
      </c>
      <c r="B34" s="19"/>
      <c r="C34" s="19"/>
      <c r="D34" s="11"/>
      <c r="E34" s="9"/>
      <c r="F34" s="9"/>
      <c r="G34" s="9"/>
      <c r="H34" s="9"/>
      <c r="J34" s="21">
        <v>30</v>
      </c>
      <c r="K34" s="34"/>
      <c r="L34" s="34"/>
      <c r="M34" s="34"/>
      <c r="N34" s="11"/>
      <c r="O34" s="9"/>
      <c r="P34" s="9"/>
      <c r="Q34" s="9"/>
      <c r="R34" s="9"/>
      <c r="T34" s="23">
        <v>30</v>
      </c>
      <c r="U34" s="35"/>
      <c r="V34" s="35"/>
      <c r="W34" s="35"/>
      <c r="X34" s="35"/>
      <c r="Y34" s="11"/>
      <c r="Z34" s="9"/>
      <c r="AA34" s="9"/>
      <c r="AB34" s="9"/>
      <c r="AC34" s="9"/>
      <c r="AE34" s="46"/>
      <c r="AF34" s="8"/>
      <c r="AG34" s="37"/>
      <c r="AH34" s="47"/>
      <c r="AI34" s="9"/>
      <c r="AJ34" s="38"/>
      <c r="AK34" s="46"/>
      <c r="AL34" s="8"/>
      <c r="AM34" s="37"/>
      <c r="AN34" s="47"/>
      <c r="AO34" s="9"/>
      <c r="AP34" s="38"/>
      <c r="AQ34" s="46"/>
      <c r="AR34" s="8"/>
      <c r="AS34" s="37"/>
    </row>
    <row r="35" spans="1:45">
      <c r="A35" s="25"/>
      <c r="B35" s="15"/>
      <c r="C35" s="15"/>
      <c r="D35" s="14"/>
      <c r="E35" s="14"/>
    </row>
    <row r="36" spans="1:45" ht="15.75" customHeight="1">
      <c r="A36" s="79" t="s">
        <v>64</v>
      </c>
      <c r="B36" s="79"/>
      <c r="C36" s="79"/>
      <c r="D36" s="79"/>
      <c r="E36" s="79"/>
      <c r="F36" s="79"/>
      <c r="G36" s="79"/>
      <c r="H36" s="79"/>
      <c r="I36" s="20"/>
      <c r="J36" s="79" t="s">
        <v>64</v>
      </c>
      <c r="K36" s="80"/>
      <c r="L36" s="80"/>
      <c r="M36" s="80"/>
      <c r="N36" s="80"/>
      <c r="O36" s="80"/>
      <c r="P36" s="80"/>
      <c r="Q36" s="80"/>
      <c r="R36" s="80"/>
      <c r="T36" s="79" t="s">
        <v>64</v>
      </c>
      <c r="U36" s="80"/>
      <c r="V36" s="80"/>
      <c r="W36" s="80"/>
      <c r="X36" s="80"/>
      <c r="Y36" s="80"/>
      <c r="Z36" s="80"/>
      <c r="AA36" s="80"/>
      <c r="AB36" s="80"/>
      <c r="AC36" s="80"/>
      <c r="AE36" s="80" t="s">
        <v>63</v>
      </c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</row>
    <row r="37" spans="1:45" ht="15.75" customHeight="1">
      <c r="A37" s="79"/>
      <c r="B37" s="79"/>
      <c r="C37" s="79"/>
      <c r="D37" s="79"/>
      <c r="E37" s="79"/>
      <c r="F37" s="79"/>
      <c r="G37" s="79"/>
      <c r="H37" s="79"/>
      <c r="I37" s="20"/>
      <c r="J37" s="80"/>
      <c r="K37" s="80"/>
      <c r="L37" s="80"/>
      <c r="M37" s="80"/>
      <c r="N37" s="80"/>
      <c r="O37" s="80"/>
      <c r="P37" s="80"/>
      <c r="Q37" s="80"/>
      <c r="R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</row>
    <row r="38" spans="1:45">
      <c r="A38" s="79"/>
      <c r="B38" s="79"/>
      <c r="C38" s="79"/>
      <c r="D38" s="79"/>
      <c r="E38" s="79"/>
      <c r="F38" s="79"/>
      <c r="G38" s="79"/>
      <c r="H38" s="79"/>
      <c r="J38" s="80"/>
      <c r="K38" s="80"/>
      <c r="L38" s="80"/>
      <c r="M38" s="80"/>
      <c r="N38" s="80"/>
      <c r="O38" s="80"/>
      <c r="P38" s="80"/>
      <c r="Q38" s="80"/>
      <c r="R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</row>
    <row r="39" spans="1:45">
      <c r="A39" s="25"/>
      <c r="B39" s="15"/>
      <c r="C39" s="15"/>
      <c r="D39" s="14"/>
      <c r="E39" s="14"/>
    </row>
    <row r="40" spans="1:45">
      <c r="A40" s="25"/>
      <c r="B40" s="15"/>
      <c r="C40" s="15"/>
      <c r="D40" s="14"/>
      <c r="E40" s="14"/>
    </row>
    <row r="41" spans="1:45">
      <c r="A41" s="25"/>
      <c r="B41" s="15"/>
      <c r="C41" s="15"/>
      <c r="D41" s="14"/>
      <c r="E41" s="14"/>
    </row>
    <row r="42" spans="1:45">
      <c r="A42" s="25"/>
      <c r="B42" s="15"/>
      <c r="C42" s="15"/>
      <c r="D42" s="14"/>
      <c r="E42" s="14"/>
    </row>
    <row r="43" spans="1:45">
      <c r="A43" s="25"/>
      <c r="B43" s="15"/>
      <c r="C43" s="15"/>
      <c r="D43" s="14"/>
      <c r="E43" s="14"/>
    </row>
    <row r="44" spans="1:45">
      <c r="A44" s="25"/>
      <c r="B44" s="15"/>
      <c r="C44" s="15"/>
      <c r="D44" s="14"/>
      <c r="E44" s="14"/>
    </row>
    <row r="45" spans="1:45">
      <c r="A45" s="25"/>
      <c r="B45" s="15"/>
      <c r="C45" s="15"/>
      <c r="D45" s="14"/>
      <c r="E45" s="14"/>
    </row>
    <row r="46" spans="1:45">
      <c r="A46" s="25"/>
      <c r="B46" s="15"/>
      <c r="C46" s="15"/>
      <c r="D46" s="14"/>
      <c r="E46" s="14"/>
    </row>
    <row r="47" spans="1:45">
      <c r="A47" s="25"/>
      <c r="B47" s="15"/>
      <c r="C47" s="15"/>
      <c r="D47" s="14"/>
      <c r="E47" s="14"/>
    </row>
    <row r="48" spans="1:45">
      <c r="A48" s="25"/>
      <c r="B48" s="15"/>
      <c r="C48" s="15"/>
      <c r="D48" s="14"/>
      <c r="E48" s="14"/>
    </row>
    <row r="49" spans="1:5">
      <c r="A49" s="25"/>
      <c r="B49" s="15"/>
      <c r="C49" s="15"/>
      <c r="D49" s="14"/>
      <c r="E49" s="14"/>
    </row>
    <row r="50" spans="1:5">
      <c r="A50" s="25"/>
      <c r="B50" s="15"/>
      <c r="C50" s="15"/>
      <c r="D50" s="14"/>
      <c r="E50" s="14"/>
    </row>
    <row r="51" spans="1:5">
      <c r="A51" s="25"/>
      <c r="B51" s="15"/>
      <c r="C51" s="15"/>
      <c r="D51" s="14"/>
      <c r="E51" s="14"/>
    </row>
    <row r="52" spans="1:5">
      <c r="A52" s="25"/>
      <c r="B52" s="15"/>
      <c r="C52" s="15"/>
      <c r="D52" s="14"/>
      <c r="E52" s="14"/>
    </row>
  </sheetData>
  <mergeCells count="27">
    <mergeCell ref="A36:H38"/>
    <mergeCell ref="J36:R38"/>
    <mergeCell ref="T36:AC38"/>
    <mergeCell ref="AE36:AS38"/>
    <mergeCell ref="AN2:AP2"/>
    <mergeCell ref="AQ2:AS2"/>
    <mergeCell ref="AF3:AG3"/>
    <mergeCell ref="AI3:AJ3"/>
    <mergeCell ref="AL3:AM3"/>
    <mergeCell ref="AO3:AP3"/>
    <mergeCell ref="AR3:AS3"/>
    <mergeCell ref="T2:X4"/>
    <mergeCell ref="Y2:AA3"/>
    <mergeCell ref="AB2:AC3"/>
    <mergeCell ref="AE2:AG2"/>
    <mergeCell ref="AH2:AJ2"/>
    <mergeCell ref="AK2:AM2"/>
    <mergeCell ref="A1:H1"/>
    <mergeCell ref="J1:R1"/>
    <mergeCell ref="T1:AC1"/>
    <mergeCell ref="AE1:AS1"/>
    <mergeCell ref="A2:C4"/>
    <mergeCell ref="D2:F3"/>
    <mergeCell ref="G2:H3"/>
    <mergeCell ref="J2:M4"/>
    <mergeCell ref="N2:P3"/>
    <mergeCell ref="Q2:R3"/>
  </mergeCells>
  <phoneticPr fontId="1" type="noConversion"/>
  <conditionalFormatting sqref="Y1:AC1 Y4:AC35 Y2 Y39:AC1048576">
    <cfRule type="cellIs" dxfId="28" priority="1" operator="lessThan">
      <formula>0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AS52"/>
  <sheetViews>
    <sheetView topLeftCell="AA1" zoomScale="85" zoomScaleNormal="85" workbookViewId="0">
      <selection activeCell="AI3" sqref="AI3:AJ3"/>
    </sheetView>
  </sheetViews>
  <sheetFormatPr defaultColWidth="9" defaultRowHeight="15.5"/>
  <cols>
    <col min="1" max="1" width="3.58203125" style="22" customWidth="1"/>
    <col min="2" max="3" width="3.58203125" style="4" customWidth="1"/>
    <col min="4" max="8" width="10.58203125" style="10" customWidth="1"/>
    <col min="9" max="9" width="2.08203125" style="1" customWidth="1"/>
    <col min="10" max="10" width="3.58203125" style="22" customWidth="1"/>
    <col min="11" max="12" width="3.58203125" style="4" customWidth="1"/>
    <col min="13" max="13" width="3.08203125" style="4" bestFit="1" customWidth="1"/>
    <col min="14" max="18" width="10.58203125" style="10" customWidth="1"/>
    <col min="19" max="19" width="2.08203125" style="1" customWidth="1"/>
    <col min="20" max="20" width="3.58203125" style="22" customWidth="1"/>
    <col min="21" max="23" width="3.58203125" style="4" customWidth="1"/>
    <col min="24" max="24" width="3.08203125" style="4" bestFit="1" customWidth="1"/>
    <col min="25" max="29" width="10.58203125" style="10" customWidth="1"/>
    <col min="30" max="30" width="2.08203125" style="1" customWidth="1"/>
    <col min="31" max="31" width="7.58203125" style="4" customWidth="1"/>
    <col min="32" max="32" width="10.58203125" style="10" customWidth="1"/>
    <col min="33" max="33" width="10.58203125" style="1" customWidth="1"/>
    <col min="34" max="34" width="7.58203125" style="4" customWidth="1"/>
    <col min="35" max="35" width="10.58203125" style="10" customWidth="1"/>
    <col min="36" max="36" width="10.58203125" style="1" customWidth="1"/>
    <col min="37" max="37" width="7.58203125" style="4" customWidth="1"/>
    <col min="38" max="38" width="10.58203125" style="10" customWidth="1"/>
    <col min="39" max="39" width="10.58203125" style="1" customWidth="1"/>
    <col min="40" max="40" width="7.58203125" style="4" customWidth="1"/>
    <col min="41" max="41" width="10.58203125" style="10" customWidth="1"/>
    <col min="42" max="42" width="10.58203125" style="1" customWidth="1"/>
    <col min="43" max="16384" width="9" style="1"/>
  </cols>
  <sheetData>
    <row r="1" spans="1:45" ht="24" customHeight="1">
      <c r="A1" s="57" t="s">
        <v>58</v>
      </c>
      <c r="B1" s="57"/>
      <c r="C1" s="57"/>
      <c r="D1" s="57"/>
      <c r="E1" s="57"/>
      <c r="F1" s="57"/>
      <c r="G1" s="57"/>
      <c r="H1" s="58"/>
      <c r="J1" s="59" t="s">
        <v>60</v>
      </c>
      <c r="K1" s="59"/>
      <c r="L1" s="59"/>
      <c r="M1" s="59"/>
      <c r="N1" s="59"/>
      <c r="O1" s="59"/>
      <c r="P1" s="59"/>
      <c r="Q1" s="59"/>
      <c r="R1" s="59"/>
      <c r="T1" s="60" t="s">
        <v>59</v>
      </c>
      <c r="U1" s="60"/>
      <c r="V1" s="60"/>
      <c r="W1" s="60"/>
      <c r="X1" s="60"/>
      <c r="Y1" s="60"/>
      <c r="Z1" s="60"/>
      <c r="AA1" s="60"/>
      <c r="AB1" s="60"/>
      <c r="AC1" s="60"/>
      <c r="AE1" s="61" t="s">
        <v>179</v>
      </c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</row>
    <row r="2" spans="1:45" s="2" customFormat="1" ht="19.5" customHeight="1">
      <c r="A2" s="63" t="s">
        <v>55</v>
      </c>
      <c r="B2" s="63"/>
      <c r="C2" s="63"/>
      <c r="D2" s="65"/>
      <c r="E2" s="66"/>
      <c r="F2" s="67"/>
      <c r="G2" s="65"/>
      <c r="H2" s="67"/>
      <c r="J2" s="71" t="s">
        <v>56</v>
      </c>
      <c r="K2" s="71"/>
      <c r="L2" s="71"/>
      <c r="M2" s="71"/>
      <c r="N2" s="73"/>
      <c r="O2" s="74"/>
      <c r="P2" s="75"/>
      <c r="Q2" s="73"/>
      <c r="R2" s="75"/>
      <c r="T2" s="90" t="s">
        <v>57</v>
      </c>
      <c r="U2" s="90"/>
      <c r="V2" s="90"/>
      <c r="W2" s="90"/>
      <c r="X2" s="90"/>
      <c r="Y2" s="92"/>
      <c r="Z2" s="93"/>
      <c r="AA2" s="94"/>
      <c r="AB2" s="92"/>
      <c r="AC2" s="94"/>
      <c r="AE2" s="54" t="s">
        <v>88</v>
      </c>
      <c r="AF2" s="55"/>
      <c r="AG2" s="56"/>
      <c r="AH2" s="81" t="s">
        <v>89</v>
      </c>
      <c r="AI2" s="82"/>
      <c r="AJ2" s="83"/>
      <c r="AK2" s="54" t="s">
        <v>90</v>
      </c>
      <c r="AL2" s="55"/>
      <c r="AM2" s="56"/>
      <c r="AN2" s="81" t="s">
        <v>91</v>
      </c>
      <c r="AO2" s="82"/>
      <c r="AP2" s="83"/>
      <c r="AQ2" s="54" t="s">
        <v>92</v>
      </c>
      <c r="AR2" s="55"/>
      <c r="AS2" s="56"/>
    </row>
    <row r="3" spans="1:45" ht="16.5" customHeight="1">
      <c r="A3" s="63"/>
      <c r="B3" s="63"/>
      <c r="C3" s="63"/>
      <c r="D3" s="68"/>
      <c r="E3" s="69"/>
      <c r="F3" s="70"/>
      <c r="G3" s="68"/>
      <c r="H3" s="70"/>
      <c r="J3" s="71"/>
      <c r="K3" s="71"/>
      <c r="L3" s="71"/>
      <c r="M3" s="71"/>
      <c r="N3" s="76"/>
      <c r="O3" s="77"/>
      <c r="P3" s="78"/>
      <c r="Q3" s="76"/>
      <c r="R3" s="78"/>
      <c r="T3" s="90"/>
      <c r="U3" s="90"/>
      <c r="V3" s="90"/>
      <c r="W3" s="90"/>
      <c r="X3" s="90"/>
      <c r="Y3" s="95"/>
      <c r="Z3" s="96"/>
      <c r="AA3" s="97"/>
      <c r="AB3" s="95"/>
      <c r="AC3" s="97"/>
      <c r="AE3" s="48" t="s">
        <v>178</v>
      </c>
      <c r="AF3" s="85" t="s">
        <v>177</v>
      </c>
      <c r="AG3" s="85"/>
      <c r="AH3" s="52" t="s">
        <v>178</v>
      </c>
      <c r="AI3" s="85" t="s">
        <v>177</v>
      </c>
      <c r="AJ3" s="85"/>
      <c r="AK3" s="52" t="s">
        <v>178</v>
      </c>
      <c r="AL3" s="85" t="s">
        <v>177</v>
      </c>
      <c r="AM3" s="85"/>
      <c r="AN3" s="52" t="s">
        <v>178</v>
      </c>
      <c r="AO3" s="85" t="s">
        <v>177</v>
      </c>
      <c r="AP3" s="85"/>
      <c r="AQ3" s="52" t="s">
        <v>178</v>
      </c>
      <c r="AR3" s="85" t="s">
        <v>177</v>
      </c>
      <c r="AS3" s="85"/>
    </row>
    <row r="4" spans="1:45" s="4" customFormat="1" ht="15.75" customHeight="1">
      <c r="A4" s="63"/>
      <c r="B4" s="64"/>
      <c r="C4" s="64"/>
      <c r="D4" s="19" t="s">
        <v>25</v>
      </c>
      <c r="E4" s="19" t="s">
        <v>26</v>
      </c>
      <c r="F4" s="19" t="s">
        <v>27</v>
      </c>
      <c r="G4" s="19" t="s">
        <v>28</v>
      </c>
      <c r="H4" s="19" t="s">
        <v>29</v>
      </c>
      <c r="J4" s="71"/>
      <c r="K4" s="72"/>
      <c r="L4" s="72"/>
      <c r="M4" s="72"/>
      <c r="N4" s="27" t="s">
        <v>25</v>
      </c>
      <c r="O4" s="27" t="s">
        <v>26</v>
      </c>
      <c r="P4" s="27" t="s">
        <v>27</v>
      </c>
      <c r="Q4" s="27" t="s">
        <v>28</v>
      </c>
      <c r="R4" s="27" t="s">
        <v>29</v>
      </c>
      <c r="T4" s="90"/>
      <c r="U4" s="91"/>
      <c r="V4" s="91"/>
      <c r="W4" s="91"/>
      <c r="X4" s="91"/>
      <c r="Y4" s="28" t="s">
        <v>25</v>
      </c>
      <c r="Z4" s="28" t="s">
        <v>26</v>
      </c>
      <c r="AA4" s="28" t="s">
        <v>27</v>
      </c>
      <c r="AB4" s="28" t="s">
        <v>28</v>
      </c>
      <c r="AC4" s="28" t="s">
        <v>29</v>
      </c>
      <c r="AE4" s="48"/>
      <c r="AF4" s="48" t="s">
        <v>0</v>
      </c>
      <c r="AG4" s="48" t="s">
        <v>1</v>
      </c>
      <c r="AH4" s="48"/>
      <c r="AI4" s="48" t="s">
        <v>0</v>
      </c>
      <c r="AJ4" s="48" t="s">
        <v>1</v>
      </c>
      <c r="AK4" s="48" t="s">
        <v>2</v>
      </c>
      <c r="AL4" s="48" t="s">
        <v>0</v>
      </c>
      <c r="AM4" s="48" t="s">
        <v>1</v>
      </c>
      <c r="AN4" s="49" t="s">
        <v>2</v>
      </c>
      <c r="AO4" s="49" t="s">
        <v>0</v>
      </c>
      <c r="AP4" s="49" t="s">
        <v>1</v>
      </c>
      <c r="AQ4" s="48" t="s">
        <v>2</v>
      </c>
      <c r="AR4" s="48" t="s">
        <v>0</v>
      </c>
      <c r="AS4" s="48" t="s">
        <v>1</v>
      </c>
    </row>
    <row r="5" spans="1:45">
      <c r="A5" s="24">
        <v>1</v>
      </c>
      <c r="B5" s="19" t="s">
        <v>30</v>
      </c>
      <c r="C5" s="19" t="s">
        <v>32</v>
      </c>
      <c r="D5" s="11">
        <v>405</v>
      </c>
      <c r="E5" s="9">
        <v>383</v>
      </c>
      <c r="F5" s="9">
        <v>351.01282027869013</v>
      </c>
      <c r="G5" s="9">
        <v>379</v>
      </c>
      <c r="H5" s="9">
        <v>324</v>
      </c>
      <c r="J5" s="21">
        <v>1</v>
      </c>
      <c r="K5" s="27" t="s">
        <v>30</v>
      </c>
      <c r="L5" s="27" t="s">
        <v>35</v>
      </c>
      <c r="M5" s="27" t="s">
        <v>38</v>
      </c>
      <c r="N5" s="9">
        <v>70.195503657311335</v>
      </c>
      <c r="O5" s="9">
        <v>69.278413662999483</v>
      </c>
      <c r="P5" s="9">
        <v>69.623564786163612</v>
      </c>
      <c r="Q5" s="9">
        <v>68.101807194361001</v>
      </c>
      <c r="R5" s="9">
        <v>65.346996151808867</v>
      </c>
      <c r="T5" s="23">
        <v>1</v>
      </c>
      <c r="U5" s="28" t="s">
        <v>30</v>
      </c>
      <c r="V5" s="28" t="s">
        <v>35</v>
      </c>
      <c r="W5" s="28" t="s">
        <v>37</v>
      </c>
      <c r="X5" s="28" t="s">
        <v>38</v>
      </c>
      <c r="Y5" s="11">
        <v>52650</v>
      </c>
      <c r="Z5" s="9">
        <v>49407</v>
      </c>
      <c r="AA5" s="9">
        <v>42120</v>
      </c>
      <c r="AB5" s="9">
        <v>46617</v>
      </c>
      <c r="AC5" s="9">
        <v>39852</v>
      </c>
      <c r="AE5" s="48" t="s">
        <v>3</v>
      </c>
      <c r="AF5" s="29">
        <v>600</v>
      </c>
      <c r="AG5" s="29">
        <v>409</v>
      </c>
      <c r="AH5" s="48" t="s">
        <v>3</v>
      </c>
      <c r="AI5" s="29">
        <v>600</v>
      </c>
      <c r="AJ5" s="29">
        <v>422</v>
      </c>
      <c r="AK5" s="48" t="s">
        <v>3</v>
      </c>
      <c r="AL5" s="29">
        <v>600</v>
      </c>
      <c r="AM5" s="29">
        <v>458</v>
      </c>
      <c r="AN5" s="48" t="s">
        <v>3</v>
      </c>
      <c r="AO5" s="29">
        <v>603</v>
      </c>
      <c r="AP5" s="29">
        <v>479</v>
      </c>
      <c r="AQ5" s="48" t="s">
        <v>3</v>
      </c>
      <c r="AR5" s="29">
        <v>603</v>
      </c>
      <c r="AS5" s="29">
        <v>500</v>
      </c>
    </row>
    <row r="6" spans="1:45">
      <c r="A6" s="24">
        <v>2</v>
      </c>
      <c r="B6" s="19" t="s">
        <v>30</v>
      </c>
      <c r="C6" s="19" t="s">
        <v>33</v>
      </c>
      <c r="D6" s="11">
        <v>550</v>
      </c>
      <c r="E6" s="9">
        <v>501</v>
      </c>
      <c r="F6" s="9">
        <v>491.00916488391539</v>
      </c>
      <c r="G6" s="9">
        <v>459.00980381686838</v>
      </c>
      <c r="H6" s="9">
        <v>440.13747852233627</v>
      </c>
      <c r="J6" s="21">
        <v>2</v>
      </c>
      <c r="K6" s="27" t="s">
        <v>31</v>
      </c>
      <c r="L6" s="27" t="s">
        <v>41</v>
      </c>
      <c r="M6" s="27" t="s">
        <v>34</v>
      </c>
      <c r="N6" s="9">
        <v>94.330688843525621</v>
      </c>
      <c r="O6" s="9">
        <v>91.701051343392265</v>
      </c>
      <c r="P6" s="9">
        <v>93.279616323619621</v>
      </c>
      <c r="Q6" s="9">
        <v>90.424799681215774</v>
      </c>
      <c r="R6" s="9">
        <v>91.583447473956056</v>
      </c>
      <c r="T6" s="23">
        <v>2</v>
      </c>
      <c r="U6" s="28" t="s">
        <v>31</v>
      </c>
      <c r="V6" s="28" t="s">
        <v>41</v>
      </c>
      <c r="W6" s="28" t="s">
        <v>34</v>
      </c>
      <c r="X6" s="28" t="s">
        <v>42</v>
      </c>
      <c r="Y6" s="11">
        <v>239010</v>
      </c>
      <c r="Z6" s="9">
        <v>244834</v>
      </c>
      <c r="AA6" s="9">
        <v>220932</v>
      </c>
      <c r="AB6" s="9">
        <v>224320</v>
      </c>
      <c r="AC6" s="9">
        <v>208760</v>
      </c>
      <c r="AE6" s="48" t="s">
        <v>4</v>
      </c>
      <c r="AF6" s="29">
        <v>470</v>
      </c>
      <c r="AG6" s="29">
        <v>770</v>
      </c>
      <c r="AH6" s="48" t="s">
        <v>4</v>
      </c>
      <c r="AI6" s="29">
        <v>471</v>
      </c>
      <c r="AJ6" s="29">
        <v>763</v>
      </c>
      <c r="AK6" s="48" t="s">
        <v>4</v>
      </c>
      <c r="AL6" s="29">
        <v>483</v>
      </c>
      <c r="AM6" s="29">
        <v>773</v>
      </c>
      <c r="AN6" s="48" t="s">
        <v>4</v>
      </c>
      <c r="AO6" s="29">
        <v>480</v>
      </c>
      <c r="AP6" s="29">
        <v>785</v>
      </c>
      <c r="AQ6" s="48" t="s">
        <v>4</v>
      </c>
      <c r="AR6" s="29">
        <v>480</v>
      </c>
      <c r="AS6" s="29">
        <v>768</v>
      </c>
    </row>
    <row r="7" spans="1:45">
      <c r="A7" s="24">
        <v>3</v>
      </c>
      <c r="B7" s="19" t="s">
        <v>31</v>
      </c>
      <c r="C7" s="19" t="s">
        <v>34</v>
      </c>
      <c r="D7" s="11">
        <v>771</v>
      </c>
      <c r="E7" s="9">
        <v>758</v>
      </c>
      <c r="F7" s="9">
        <v>722</v>
      </c>
      <c r="G7" s="9">
        <v>701.00641937146338</v>
      </c>
      <c r="H7" s="9">
        <v>680.00661761485821</v>
      </c>
      <c r="J7" s="21">
        <v>3</v>
      </c>
      <c r="K7" s="27" t="s">
        <v>31</v>
      </c>
      <c r="L7" s="27" t="s">
        <v>44</v>
      </c>
      <c r="M7" s="27" t="s">
        <v>37</v>
      </c>
      <c r="N7" s="9">
        <v>53.132837316781263</v>
      </c>
      <c r="O7" s="9">
        <v>53.915928665061834</v>
      </c>
      <c r="P7" s="9">
        <v>48.725698389060227</v>
      </c>
      <c r="Q7" s="9">
        <v>56.733652873550604</v>
      </c>
      <c r="R7" s="9">
        <v>44.095038646045893</v>
      </c>
      <c r="T7" s="23">
        <v>3</v>
      </c>
      <c r="U7" s="28" t="s">
        <v>41</v>
      </c>
      <c r="V7" s="28" t="s">
        <v>39</v>
      </c>
      <c r="W7" s="28" t="s">
        <v>34</v>
      </c>
      <c r="X7" s="28" t="s">
        <v>42</v>
      </c>
      <c r="Y7" s="11">
        <v>67370</v>
      </c>
      <c r="Z7" s="9">
        <v>72116.5</v>
      </c>
      <c r="AA7" s="9">
        <v>70356</v>
      </c>
      <c r="AB7" s="9">
        <v>75872.5</v>
      </c>
      <c r="AC7" s="9">
        <v>74849</v>
      </c>
      <c r="AE7" s="48" t="s">
        <v>5</v>
      </c>
      <c r="AF7" s="29">
        <v>600</v>
      </c>
      <c r="AG7" s="29">
        <v>814</v>
      </c>
      <c r="AH7" s="48" t="s">
        <v>5</v>
      </c>
      <c r="AI7" s="29">
        <v>600</v>
      </c>
      <c r="AJ7" s="29">
        <v>805</v>
      </c>
      <c r="AK7" s="48" t="s">
        <v>5</v>
      </c>
      <c r="AL7" s="29">
        <v>603</v>
      </c>
      <c r="AM7" s="29">
        <v>809</v>
      </c>
      <c r="AN7" s="48" t="s">
        <v>5</v>
      </c>
      <c r="AO7" s="29">
        <v>603</v>
      </c>
      <c r="AP7" s="29">
        <v>858</v>
      </c>
      <c r="AQ7" s="48" t="s">
        <v>5</v>
      </c>
      <c r="AR7" s="29">
        <v>603</v>
      </c>
      <c r="AS7" s="29">
        <v>824</v>
      </c>
    </row>
    <row r="8" spans="1:45" ht="15.75" customHeight="1">
      <c r="A8" s="24">
        <v>4</v>
      </c>
      <c r="B8" s="19" t="s">
        <v>35</v>
      </c>
      <c r="C8" s="19" t="s">
        <v>38</v>
      </c>
      <c r="D8" s="11">
        <v>260</v>
      </c>
      <c r="E8" s="9">
        <v>258</v>
      </c>
      <c r="F8" s="9">
        <v>240</v>
      </c>
      <c r="G8" s="9">
        <v>246</v>
      </c>
      <c r="H8" s="9">
        <v>246</v>
      </c>
      <c r="J8" s="21">
        <v>4</v>
      </c>
      <c r="K8" s="27" t="s">
        <v>35</v>
      </c>
      <c r="L8" s="27" t="s">
        <v>37</v>
      </c>
      <c r="M8" s="27" t="s">
        <v>38</v>
      </c>
      <c r="N8" s="9">
        <v>142.60203439163772</v>
      </c>
      <c r="O8" s="9">
        <v>143.93142886574026</v>
      </c>
      <c r="P8" s="9">
        <v>146.60151153201278</v>
      </c>
      <c r="Q8" s="9">
        <v>118.62208252521282</v>
      </c>
      <c r="R8" s="9">
        <v>131.04191802967375</v>
      </c>
      <c r="T8" s="23">
        <v>4</v>
      </c>
      <c r="U8" s="28" t="s">
        <v>46</v>
      </c>
      <c r="V8" s="28" t="s">
        <v>43</v>
      </c>
      <c r="W8" s="28" t="s">
        <v>33</v>
      </c>
      <c r="X8" s="28" t="s">
        <v>47</v>
      </c>
      <c r="Y8" s="11">
        <v>434943</v>
      </c>
      <c r="Z8" s="9">
        <v>412084</v>
      </c>
      <c r="AA8" s="9">
        <v>393925.5</v>
      </c>
      <c r="AB8" s="9">
        <v>346015.5</v>
      </c>
      <c r="AC8" s="9">
        <v>420402.5</v>
      </c>
      <c r="AE8" s="48" t="s">
        <v>6</v>
      </c>
      <c r="AF8" s="29">
        <f>AF7+(AF7-AF6)</f>
        <v>730</v>
      </c>
      <c r="AG8" s="29">
        <f>AG6</f>
        <v>770</v>
      </c>
      <c r="AH8" s="48" t="s">
        <v>6</v>
      </c>
      <c r="AI8" s="29">
        <f>AI7+(AI7-AI6)</f>
        <v>729</v>
      </c>
      <c r="AJ8" s="29">
        <f>AJ6</f>
        <v>763</v>
      </c>
      <c r="AK8" s="48" t="s">
        <v>6</v>
      </c>
      <c r="AL8" s="29">
        <f t="shared" ref="AL8" si="0">AL7+(AL7-AL6)</f>
        <v>723</v>
      </c>
      <c r="AM8" s="29">
        <f t="shared" ref="AM8" si="1">AM6</f>
        <v>773</v>
      </c>
      <c r="AN8" s="48" t="s">
        <v>6</v>
      </c>
      <c r="AO8" s="29">
        <f t="shared" ref="AO8" si="2">AO7+(AO7-AO6)</f>
        <v>726</v>
      </c>
      <c r="AP8" s="29">
        <f t="shared" ref="AP8" si="3">AP6</f>
        <v>785</v>
      </c>
      <c r="AQ8" s="48" t="s">
        <v>6</v>
      </c>
      <c r="AR8" s="29">
        <f t="shared" ref="AR8" si="4">AR7+(AR7-AR6)</f>
        <v>726</v>
      </c>
      <c r="AS8" s="29">
        <f t="shared" ref="AS8" si="5">AS6</f>
        <v>768</v>
      </c>
    </row>
    <row r="9" spans="1:45" ht="15.75" customHeight="1">
      <c r="A9" s="24">
        <v>5</v>
      </c>
      <c r="B9" s="19" t="s">
        <v>36</v>
      </c>
      <c r="C9" s="19" t="s">
        <v>33</v>
      </c>
      <c r="D9" s="11">
        <v>145</v>
      </c>
      <c r="E9" s="9">
        <v>118</v>
      </c>
      <c r="F9" s="9">
        <v>140</v>
      </c>
      <c r="G9" s="9">
        <v>80.05623023850174</v>
      </c>
      <c r="H9" s="9">
        <v>116.52038448271615</v>
      </c>
      <c r="J9" s="21">
        <v>5</v>
      </c>
      <c r="K9" s="27" t="s">
        <v>39</v>
      </c>
      <c r="L9" s="27" t="s">
        <v>34</v>
      </c>
      <c r="M9" s="27" t="s">
        <v>61</v>
      </c>
      <c r="N9" s="9">
        <v>149.07756451911618</v>
      </c>
      <c r="O9" s="9">
        <v>153.25733606021618</v>
      </c>
      <c r="P9" s="9">
        <v>146.35718021991838</v>
      </c>
      <c r="Q9" s="9">
        <v>147.10278374592036</v>
      </c>
      <c r="R9" s="9">
        <v>152.4368055286927</v>
      </c>
      <c r="T9" s="23">
        <v>5</v>
      </c>
      <c r="U9" s="28" t="s">
        <v>48</v>
      </c>
      <c r="V9" s="28" t="s">
        <v>43</v>
      </c>
      <c r="W9" s="28" t="s">
        <v>34</v>
      </c>
      <c r="X9" s="28" t="s">
        <v>44</v>
      </c>
      <c r="Y9" s="11">
        <v>425566</v>
      </c>
      <c r="Z9" s="9">
        <v>365165</v>
      </c>
      <c r="AA9" s="9">
        <v>398250</v>
      </c>
      <c r="AB9" s="9">
        <v>374868</v>
      </c>
      <c r="AC9" s="9">
        <v>405418</v>
      </c>
      <c r="AE9" s="48" t="s">
        <v>77</v>
      </c>
      <c r="AF9" s="29">
        <v>600</v>
      </c>
      <c r="AG9" s="29">
        <v>959</v>
      </c>
      <c r="AH9" s="48" t="s">
        <v>77</v>
      </c>
      <c r="AI9" s="29">
        <v>600</v>
      </c>
      <c r="AJ9" s="29">
        <v>923</v>
      </c>
      <c r="AK9" s="48" t="s">
        <v>77</v>
      </c>
      <c r="AL9" s="29">
        <v>603</v>
      </c>
      <c r="AM9" s="29">
        <v>949</v>
      </c>
      <c r="AN9" s="48" t="s">
        <v>77</v>
      </c>
      <c r="AO9" s="29">
        <v>600</v>
      </c>
      <c r="AP9" s="29">
        <v>938</v>
      </c>
      <c r="AQ9" s="48" t="s">
        <v>77</v>
      </c>
      <c r="AR9" s="29">
        <v>592</v>
      </c>
      <c r="AS9" s="29">
        <v>940</v>
      </c>
    </row>
    <row r="10" spans="1:45">
      <c r="A10" s="24">
        <v>6</v>
      </c>
      <c r="B10" s="19" t="s">
        <v>37</v>
      </c>
      <c r="C10" s="19" t="s">
        <v>34</v>
      </c>
      <c r="D10" s="11">
        <v>366</v>
      </c>
      <c r="E10" s="9">
        <v>375</v>
      </c>
      <c r="F10" s="9">
        <v>371.01212918178294</v>
      </c>
      <c r="G10" s="9">
        <v>322.01397485202409</v>
      </c>
      <c r="H10" s="9">
        <v>356.01264022503472</v>
      </c>
      <c r="J10" s="21">
        <v>6</v>
      </c>
      <c r="K10" s="27" t="s">
        <v>40</v>
      </c>
      <c r="L10" s="27" t="s">
        <v>34</v>
      </c>
      <c r="M10" s="27" t="s">
        <v>62</v>
      </c>
      <c r="N10" s="9">
        <v>15.461217740441903</v>
      </c>
      <c r="O10" s="9">
        <v>13.371331969891948</v>
      </c>
      <c r="P10" s="9">
        <v>16.821409890040847</v>
      </c>
      <c r="Q10" s="9">
        <v>16.448608127039826</v>
      </c>
      <c r="R10" s="9">
        <v>13.781597235653644</v>
      </c>
      <c r="T10" s="23">
        <v>6</v>
      </c>
      <c r="U10" s="28" t="s">
        <v>52</v>
      </c>
      <c r="V10" s="28" t="s">
        <v>53</v>
      </c>
      <c r="W10" s="28" t="s">
        <v>54</v>
      </c>
      <c r="X10" s="28" t="s">
        <v>50</v>
      </c>
      <c r="Y10" s="11">
        <v>4341</v>
      </c>
      <c r="Z10" s="9">
        <v>4374</v>
      </c>
      <c r="AA10" s="9">
        <v>3394.5</v>
      </c>
      <c r="AB10" s="9">
        <v>3062.5</v>
      </c>
      <c r="AC10" s="9">
        <v>2757</v>
      </c>
      <c r="AE10" s="48" t="s">
        <v>8</v>
      </c>
      <c r="AF10" s="29">
        <v>506</v>
      </c>
      <c r="AG10" s="29">
        <v>1154</v>
      </c>
      <c r="AH10" s="48" t="s">
        <v>8</v>
      </c>
      <c r="AI10" s="29">
        <v>478</v>
      </c>
      <c r="AJ10" s="29">
        <v>1151</v>
      </c>
      <c r="AK10" s="48" t="s">
        <v>8</v>
      </c>
      <c r="AL10" s="29">
        <v>471</v>
      </c>
      <c r="AM10" s="29">
        <v>1141</v>
      </c>
      <c r="AN10" s="48" t="s">
        <v>8</v>
      </c>
      <c r="AO10" s="29">
        <v>495</v>
      </c>
      <c r="AP10" s="29">
        <v>1149</v>
      </c>
      <c r="AQ10" s="48" t="s">
        <v>8</v>
      </c>
      <c r="AR10" s="29">
        <v>494</v>
      </c>
      <c r="AS10" s="29">
        <v>1154</v>
      </c>
    </row>
    <row r="11" spans="1:45">
      <c r="A11" s="24">
        <v>7</v>
      </c>
      <c r="B11" s="19" t="s">
        <v>39</v>
      </c>
      <c r="C11" s="19" t="s">
        <v>40</v>
      </c>
      <c r="D11" s="11">
        <v>188</v>
      </c>
      <c r="E11" s="9">
        <v>244</v>
      </c>
      <c r="F11" s="9">
        <v>258</v>
      </c>
      <c r="G11" s="9">
        <v>210</v>
      </c>
      <c r="H11" s="9">
        <v>212</v>
      </c>
      <c r="J11" s="21">
        <v>7</v>
      </c>
      <c r="K11" s="27" t="s">
        <v>41</v>
      </c>
      <c r="L11" s="27" t="s">
        <v>34</v>
      </c>
      <c r="M11" s="27" t="s">
        <v>62</v>
      </c>
      <c r="N11" s="9">
        <v>147.17145820858744</v>
      </c>
      <c r="O11" s="9">
        <v>148.23441357613825</v>
      </c>
      <c r="P11" s="9">
        <v>146.05145702666547</v>
      </c>
      <c r="Q11" s="9">
        <v>145.85782308109131</v>
      </c>
      <c r="R11" s="9">
        <v>144.49764635861357</v>
      </c>
      <c r="T11" s="23">
        <v>7</v>
      </c>
      <c r="U11" s="28" t="s">
        <v>76</v>
      </c>
      <c r="V11" s="28" t="s">
        <v>73</v>
      </c>
      <c r="W11" s="28" t="s">
        <v>75</v>
      </c>
      <c r="X11" s="28" t="s">
        <v>74</v>
      </c>
      <c r="Y11" s="11">
        <v>5791</v>
      </c>
      <c r="Z11" s="9">
        <v>4317</v>
      </c>
      <c r="AA11" s="9">
        <v>3664.5</v>
      </c>
      <c r="AB11" s="9">
        <v>4079</v>
      </c>
      <c r="AC11" s="9">
        <v>3714</v>
      </c>
      <c r="AE11" s="48" t="s">
        <v>9</v>
      </c>
      <c r="AF11" s="29">
        <v>600</v>
      </c>
      <c r="AG11" s="29">
        <v>1180</v>
      </c>
      <c r="AH11" s="48" t="s">
        <v>9</v>
      </c>
      <c r="AI11" s="29">
        <v>600</v>
      </c>
      <c r="AJ11" s="29">
        <v>1180</v>
      </c>
      <c r="AK11" s="48" t="s">
        <v>9</v>
      </c>
      <c r="AL11" s="29">
        <v>600</v>
      </c>
      <c r="AM11" s="29">
        <v>1180</v>
      </c>
      <c r="AN11" s="48" t="s">
        <v>9</v>
      </c>
      <c r="AO11" s="29">
        <v>600</v>
      </c>
      <c r="AP11" s="29">
        <v>1180</v>
      </c>
      <c r="AQ11" s="48" t="s">
        <v>9</v>
      </c>
      <c r="AR11" s="29">
        <v>600</v>
      </c>
      <c r="AS11" s="29">
        <v>1180</v>
      </c>
    </row>
    <row r="12" spans="1:45">
      <c r="A12" s="24">
        <v>8</v>
      </c>
      <c r="B12" s="19" t="s">
        <v>41</v>
      </c>
      <c r="C12" s="19" t="s">
        <v>42</v>
      </c>
      <c r="D12" s="11">
        <v>620</v>
      </c>
      <c r="E12" s="9">
        <v>646</v>
      </c>
      <c r="F12" s="9">
        <v>612</v>
      </c>
      <c r="G12" s="9">
        <v>640</v>
      </c>
      <c r="H12" s="9">
        <v>614</v>
      </c>
      <c r="J12" s="21">
        <v>8</v>
      </c>
      <c r="K12" s="27" t="s">
        <v>42</v>
      </c>
      <c r="L12" s="27" t="s">
        <v>34</v>
      </c>
      <c r="M12" s="27" t="s">
        <v>62</v>
      </c>
      <c r="N12" s="9">
        <v>32.828541791412526</v>
      </c>
      <c r="O12" s="9">
        <v>31.76558642386173</v>
      </c>
      <c r="P12" s="9">
        <v>33.948542973334561</v>
      </c>
      <c r="Q12" s="9">
        <v>34.14217691890866</v>
      </c>
      <c r="R12" s="9">
        <v>35.502353641386399</v>
      </c>
      <c r="T12" s="23">
        <v>8</v>
      </c>
      <c r="U12" s="28"/>
      <c r="V12" s="28"/>
      <c r="W12" s="28"/>
      <c r="X12" s="28"/>
      <c r="Y12" s="11"/>
      <c r="Z12" s="9"/>
      <c r="AA12" s="9"/>
      <c r="AB12" s="9"/>
      <c r="AC12" s="9"/>
      <c r="AE12" s="48" t="s">
        <v>10</v>
      </c>
      <c r="AF12" s="29">
        <f>AF11+(AF11-AF10)</f>
        <v>694</v>
      </c>
      <c r="AG12" s="29">
        <f>AG10</f>
        <v>1154</v>
      </c>
      <c r="AH12" s="48" t="s">
        <v>10</v>
      </c>
      <c r="AI12" s="29">
        <f>AI11+(AI11-AI10)</f>
        <v>722</v>
      </c>
      <c r="AJ12" s="29">
        <f>AJ10</f>
        <v>1151</v>
      </c>
      <c r="AK12" s="48" t="s">
        <v>10</v>
      </c>
      <c r="AL12" s="29">
        <f t="shared" ref="AL12" si="6">AL11+(AL11-AL10)</f>
        <v>729</v>
      </c>
      <c r="AM12" s="29">
        <f t="shared" ref="AM12" si="7">AM10</f>
        <v>1141</v>
      </c>
      <c r="AN12" s="48" t="s">
        <v>10</v>
      </c>
      <c r="AO12" s="29">
        <f t="shared" ref="AO12" si="8">AO11+(AO11-AO10)</f>
        <v>705</v>
      </c>
      <c r="AP12" s="29">
        <f t="shared" ref="AP12" si="9">AP10</f>
        <v>1149</v>
      </c>
      <c r="AQ12" s="48" t="s">
        <v>10</v>
      </c>
      <c r="AR12" s="29">
        <f t="shared" ref="AR12" si="10">AR11+(AR11-AR10)</f>
        <v>706</v>
      </c>
      <c r="AS12" s="29">
        <f t="shared" ref="AS12" si="11">AS10</f>
        <v>1154</v>
      </c>
    </row>
    <row r="13" spans="1:45">
      <c r="A13" s="24">
        <v>9</v>
      </c>
      <c r="B13" s="19" t="s">
        <v>43</v>
      </c>
      <c r="C13" s="19" t="s">
        <v>44</v>
      </c>
      <c r="D13" s="11">
        <v>778</v>
      </c>
      <c r="E13" s="9">
        <v>734</v>
      </c>
      <c r="F13" s="9">
        <v>750</v>
      </c>
      <c r="G13" s="9">
        <v>702</v>
      </c>
      <c r="H13" s="9">
        <v>806</v>
      </c>
      <c r="J13" s="21">
        <v>9</v>
      </c>
      <c r="K13" s="27" t="s">
        <v>43</v>
      </c>
      <c r="L13" s="27" t="s">
        <v>41</v>
      </c>
      <c r="M13" s="27" t="s">
        <v>34</v>
      </c>
      <c r="N13" s="9">
        <v>138.58457555999536</v>
      </c>
      <c r="O13" s="9">
        <v>130.10947800789481</v>
      </c>
      <c r="P13" s="9">
        <v>138.70286962322609</v>
      </c>
      <c r="Q13" s="9">
        <v>130.99370713714362</v>
      </c>
      <c r="R13" s="9">
        <v>143.19175382137863</v>
      </c>
      <c r="T13" s="23">
        <v>9</v>
      </c>
      <c r="U13" s="28"/>
      <c r="V13" s="28"/>
      <c r="W13" s="28"/>
      <c r="X13" s="28"/>
      <c r="Y13" s="11"/>
      <c r="Z13" s="9"/>
      <c r="AA13" s="9"/>
      <c r="AB13" s="9"/>
      <c r="AC13" s="9"/>
      <c r="AE13" s="48" t="s">
        <v>11</v>
      </c>
      <c r="AF13" s="29">
        <v>290</v>
      </c>
      <c r="AG13" s="29">
        <v>980</v>
      </c>
      <c r="AH13" s="48" t="s">
        <v>11</v>
      </c>
      <c r="AI13" s="29">
        <v>277</v>
      </c>
      <c r="AJ13" s="29">
        <v>980</v>
      </c>
      <c r="AK13" s="48" t="s">
        <v>11</v>
      </c>
      <c r="AL13" s="29">
        <v>294</v>
      </c>
      <c r="AM13" s="29">
        <v>974</v>
      </c>
      <c r="AN13" s="48" t="s">
        <v>11</v>
      </c>
      <c r="AO13" s="29">
        <v>280</v>
      </c>
      <c r="AP13" s="29">
        <v>963</v>
      </c>
      <c r="AQ13" s="48" t="s">
        <v>11</v>
      </c>
      <c r="AR13" s="29">
        <v>293</v>
      </c>
      <c r="AS13" s="29">
        <v>961</v>
      </c>
    </row>
    <row r="14" spans="1:45">
      <c r="A14" s="24">
        <v>10</v>
      </c>
      <c r="B14" s="19" t="s">
        <v>45</v>
      </c>
      <c r="C14" s="19" t="s">
        <v>43</v>
      </c>
      <c r="D14" s="11">
        <v>61.204574992397426</v>
      </c>
      <c r="E14" s="9">
        <v>62.393909959225986</v>
      </c>
      <c r="F14" s="9">
        <v>76.687678280151374</v>
      </c>
      <c r="G14" s="9">
        <v>57.035076926396798</v>
      </c>
      <c r="H14" s="9">
        <v>94</v>
      </c>
      <c r="J14" s="21">
        <v>10</v>
      </c>
      <c r="K14" s="27" t="s">
        <v>44</v>
      </c>
      <c r="L14" s="27" t="s">
        <v>32</v>
      </c>
      <c r="M14" s="27" t="s">
        <v>62</v>
      </c>
      <c r="N14" s="9">
        <v>48.587042952225659</v>
      </c>
      <c r="O14" s="9">
        <v>51.69357303239341</v>
      </c>
      <c r="P14" s="9">
        <v>47.354848665799587</v>
      </c>
      <c r="Q14" s="9">
        <v>52.897031515532092</v>
      </c>
      <c r="R14" s="9">
        <v>53.967567684425639</v>
      </c>
      <c r="T14" s="23">
        <v>10</v>
      </c>
      <c r="U14" s="28"/>
      <c r="V14" s="28"/>
      <c r="W14" s="28"/>
      <c r="X14" s="28"/>
      <c r="Y14" s="11"/>
      <c r="Z14" s="9"/>
      <c r="AA14" s="9"/>
      <c r="AB14" s="9"/>
      <c r="AC14" s="9"/>
      <c r="AE14" s="48" t="s">
        <v>12</v>
      </c>
      <c r="AF14" s="29">
        <f>600+(600-AF13)</f>
        <v>910</v>
      </c>
      <c r="AG14" s="29">
        <f>AG13</f>
        <v>980</v>
      </c>
      <c r="AH14" s="48" t="s">
        <v>12</v>
      </c>
      <c r="AI14" s="29">
        <f>600+(600-AI13)</f>
        <v>923</v>
      </c>
      <c r="AJ14" s="29">
        <f>AJ13</f>
        <v>980</v>
      </c>
      <c r="AK14" s="48" t="s">
        <v>12</v>
      </c>
      <c r="AL14" s="29">
        <f t="shared" ref="AL14" si="12">600+(600-AL13)</f>
        <v>906</v>
      </c>
      <c r="AM14" s="29">
        <f t="shared" ref="AM14" si="13">AM13</f>
        <v>974</v>
      </c>
      <c r="AN14" s="48" t="s">
        <v>12</v>
      </c>
      <c r="AO14" s="29">
        <f t="shared" ref="AO14" si="14">600+(600-AO13)</f>
        <v>920</v>
      </c>
      <c r="AP14" s="29">
        <f t="shared" ref="AP14" si="15">AP13</f>
        <v>963</v>
      </c>
      <c r="AQ14" s="48" t="s">
        <v>12</v>
      </c>
      <c r="AR14" s="29">
        <f t="shared" ref="AR14" si="16">600+(600-AR13)</f>
        <v>907</v>
      </c>
      <c r="AS14" s="29">
        <f t="shared" ref="AS14" si="17">AS13</f>
        <v>961</v>
      </c>
    </row>
    <row r="15" spans="1:45">
      <c r="A15" s="24">
        <v>11</v>
      </c>
      <c r="B15" s="19" t="s">
        <v>46</v>
      </c>
      <c r="C15" s="19" t="s">
        <v>47</v>
      </c>
      <c r="D15" s="11">
        <v>750</v>
      </c>
      <c r="E15" s="9">
        <v>738</v>
      </c>
      <c r="F15" s="9">
        <v>636</v>
      </c>
      <c r="G15" s="9">
        <v>672</v>
      </c>
      <c r="H15" s="9">
        <v>732</v>
      </c>
      <c r="J15" s="21">
        <v>11</v>
      </c>
      <c r="K15" s="27" t="s">
        <v>44</v>
      </c>
      <c r="L15" s="27" t="s">
        <v>33</v>
      </c>
      <c r="M15" s="27" t="s">
        <v>62</v>
      </c>
      <c r="N15" s="9">
        <v>54.514629952836771</v>
      </c>
      <c r="O15" s="9">
        <v>57.407849306753796</v>
      </c>
      <c r="P15" s="9">
        <v>54.319608574011646</v>
      </c>
      <c r="Q15" s="9">
        <v>56.224826186587435</v>
      </c>
      <c r="R15" s="9">
        <v>56.468721399316884</v>
      </c>
      <c r="T15" s="23">
        <v>11</v>
      </c>
      <c r="U15" s="28"/>
      <c r="V15" s="28"/>
      <c r="W15" s="28"/>
      <c r="X15" s="28"/>
      <c r="Y15" s="11"/>
      <c r="Z15" s="9"/>
      <c r="AA15" s="9"/>
      <c r="AB15" s="9"/>
      <c r="AC15" s="9"/>
      <c r="AE15" s="48" t="s">
        <v>13</v>
      </c>
      <c r="AF15" s="29">
        <v>211</v>
      </c>
      <c r="AG15" s="29">
        <v>700</v>
      </c>
      <c r="AH15" s="48" t="s">
        <v>13</v>
      </c>
      <c r="AI15" s="29">
        <v>233</v>
      </c>
      <c r="AJ15" s="29">
        <v>680</v>
      </c>
      <c r="AK15" s="48" t="s">
        <v>13</v>
      </c>
      <c r="AL15" s="29">
        <v>225</v>
      </c>
      <c r="AM15" s="29">
        <v>712</v>
      </c>
      <c r="AN15" s="48" t="s">
        <v>13</v>
      </c>
      <c r="AO15" s="29">
        <v>249</v>
      </c>
      <c r="AP15" s="29">
        <v>705</v>
      </c>
      <c r="AQ15" s="48" t="s">
        <v>13</v>
      </c>
      <c r="AR15" s="29">
        <v>197</v>
      </c>
      <c r="AS15" s="29">
        <v>660</v>
      </c>
    </row>
    <row r="16" spans="1:45" ht="15.75" customHeight="1">
      <c r="A16" s="24">
        <v>12</v>
      </c>
      <c r="B16" s="19" t="s">
        <v>48</v>
      </c>
      <c r="C16" s="19" t="s">
        <v>31</v>
      </c>
      <c r="D16" s="11">
        <v>323.01393158809731</v>
      </c>
      <c r="E16" s="9">
        <v>237</v>
      </c>
      <c r="F16" s="9">
        <v>340.01323503652031</v>
      </c>
      <c r="G16" s="9">
        <v>367</v>
      </c>
      <c r="H16" s="9">
        <v>326.01380338875225</v>
      </c>
      <c r="J16" s="21">
        <v>12</v>
      </c>
      <c r="K16" s="27" t="s">
        <v>47</v>
      </c>
      <c r="L16" s="27" t="s">
        <v>30</v>
      </c>
      <c r="M16" s="27" t="s">
        <v>62</v>
      </c>
      <c r="N16" s="9">
        <v>91.61348489136499</v>
      </c>
      <c r="O16" s="9">
        <v>94.037407294572745</v>
      </c>
      <c r="P16" s="9">
        <v>99.847860106322671</v>
      </c>
      <c r="Q16" s="9">
        <v>91.982600856834267</v>
      </c>
      <c r="R16" s="9">
        <v>97.101799104821353</v>
      </c>
      <c r="T16" s="23">
        <v>12</v>
      </c>
      <c r="U16" s="28"/>
      <c r="V16" s="28"/>
      <c r="W16" s="28"/>
      <c r="X16" s="28"/>
      <c r="Y16" s="11"/>
      <c r="Z16" s="9"/>
      <c r="AA16" s="9"/>
      <c r="AB16" s="9"/>
      <c r="AC16" s="9"/>
      <c r="AE16" s="48" t="s">
        <v>14</v>
      </c>
      <c r="AF16" s="29">
        <f>600+(600-AF15)</f>
        <v>989</v>
      </c>
      <c r="AG16" s="29">
        <f>AG15</f>
        <v>700</v>
      </c>
      <c r="AH16" s="48" t="s">
        <v>14</v>
      </c>
      <c r="AI16" s="29">
        <f>600+(600-AI15)</f>
        <v>967</v>
      </c>
      <c r="AJ16" s="29">
        <f>AJ15</f>
        <v>680</v>
      </c>
      <c r="AK16" s="48" t="s">
        <v>14</v>
      </c>
      <c r="AL16" s="29">
        <f t="shared" ref="AL16" si="18">600+(600-AL15)</f>
        <v>975</v>
      </c>
      <c r="AM16" s="29">
        <f t="shared" ref="AM16" si="19">AM15</f>
        <v>712</v>
      </c>
      <c r="AN16" s="48" t="s">
        <v>14</v>
      </c>
      <c r="AO16" s="29">
        <f t="shared" ref="AO16" si="20">600+(600-AO15)</f>
        <v>951</v>
      </c>
      <c r="AP16" s="29">
        <f t="shared" ref="AP16" si="21">AP15</f>
        <v>705</v>
      </c>
      <c r="AQ16" s="48" t="s">
        <v>14</v>
      </c>
      <c r="AR16" s="29">
        <f t="shared" ref="AR16" si="22">600+(600-AR15)</f>
        <v>1003</v>
      </c>
      <c r="AS16" s="29">
        <f t="shared" ref="AS16" si="23">AS15</f>
        <v>660</v>
      </c>
    </row>
    <row r="17" spans="1:45" ht="15.75" customHeight="1">
      <c r="A17" s="24">
        <v>13</v>
      </c>
      <c r="B17" s="19" t="s">
        <v>49</v>
      </c>
      <c r="C17" s="19" t="s">
        <v>37</v>
      </c>
      <c r="D17" s="11">
        <v>728.00618129243935</v>
      </c>
      <c r="E17" s="9">
        <v>620</v>
      </c>
      <c r="F17" s="9">
        <v>691</v>
      </c>
      <c r="G17" s="9">
        <v>746</v>
      </c>
      <c r="H17" s="9">
        <v>650.00692304005497</v>
      </c>
      <c r="J17" s="21">
        <v>13</v>
      </c>
      <c r="K17" s="27" t="s">
        <v>47</v>
      </c>
      <c r="L17" s="27" t="s">
        <v>48</v>
      </c>
      <c r="M17" s="27" t="s">
        <v>62</v>
      </c>
      <c r="N17" s="9">
        <v>58.500449877344224</v>
      </c>
      <c r="O17" s="9">
        <v>73.321782798753105</v>
      </c>
      <c r="P17" s="9">
        <v>65.298200032736162</v>
      </c>
      <c r="Q17" s="9">
        <v>49.254583599597794</v>
      </c>
      <c r="R17" s="9">
        <v>70.711154166136197</v>
      </c>
      <c r="T17" s="23">
        <v>13</v>
      </c>
      <c r="U17" s="28"/>
      <c r="V17" s="28"/>
      <c r="W17" s="28"/>
      <c r="X17" s="28"/>
      <c r="Y17" s="11"/>
      <c r="Z17" s="9"/>
      <c r="AA17" s="9"/>
      <c r="AB17" s="9"/>
      <c r="AC17" s="9"/>
      <c r="AE17" s="48" t="s">
        <v>15</v>
      </c>
      <c r="AF17" s="29">
        <v>150</v>
      </c>
      <c r="AG17" s="29">
        <v>705</v>
      </c>
      <c r="AH17" s="48" t="s">
        <v>15</v>
      </c>
      <c r="AI17" s="29">
        <v>171</v>
      </c>
      <c r="AJ17" s="29">
        <v>687</v>
      </c>
      <c r="AK17" s="48" t="s">
        <v>15</v>
      </c>
      <c r="AL17" s="29">
        <v>150</v>
      </c>
      <c r="AM17" s="29">
        <v>728</v>
      </c>
      <c r="AN17" s="48" t="s">
        <v>15</v>
      </c>
      <c r="AO17" s="29">
        <v>192</v>
      </c>
      <c r="AP17" s="29">
        <v>707</v>
      </c>
      <c r="AQ17" s="48" t="s">
        <v>15</v>
      </c>
      <c r="AR17" s="29">
        <v>103</v>
      </c>
      <c r="AS17" s="29">
        <v>660</v>
      </c>
    </row>
    <row r="18" spans="1:45">
      <c r="A18" s="24">
        <v>14</v>
      </c>
      <c r="B18" s="19" t="s">
        <v>49</v>
      </c>
      <c r="C18" s="19" t="s">
        <v>33</v>
      </c>
      <c r="D18" s="11">
        <v>873.00515462395754</v>
      </c>
      <c r="E18" s="9">
        <v>738</v>
      </c>
      <c r="F18" s="9">
        <v>831</v>
      </c>
      <c r="G18" s="9">
        <v>826.00544792392259</v>
      </c>
      <c r="H18" s="9">
        <v>766.04177431782398</v>
      </c>
      <c r="J18" s="21">
        <v>14</v>
      </c>
      <c r="K18" s="44" t="s">
        <v>48</v>
      </c>
      <c r="L18" s="44" t="s">
        <v>78</v>
      </c>
      <c r="M18" s="44" t="s">
        <v>79</v>
      </c>
      <c r="N18" s="11">
        <v>44.87402303150656</v>
      </c>
      <c r="O18" s="9">
        <v>32.042419905906861</v>
      </c>
      <c r="P18" s="9">
        <v>51.773396307729428</v>
      </c>
      <c r="Q18" s="9">
        <v>55.131258193896137</v>
      </c>
      <c r="R18" s="9">
        <v>48.642352832878565</v>
      </c>
      <c r="T18" s="23">
        <v>14</v>
      </c>
      <c r="U18" s="28"/>
      <c r="V18" s="28"/>
      <c r="W18" s="28"/>
      <c r="X18" s="28"/>
      <c r="Y18" s="11"/>
      <c r="Z18" s="9"/>
      <c r="AA18" s="9"/>
      <c r="AB18" s="9"/>
      <c r="AC18" s="9"/>
      <c r="AE18" s="48" t="s">
        <v>16</v>
      </c>
      <c r="AF18" s="29">
        <f>600+(600-AF17)</f>
        <v>1050</v>
      </c>
      <c r="AG18" s="29">
        <f>AG17</f>
        <v>705</v>
      </c>
      <c r="AH18" s="48" t="s">
        <v>16</v>
      </c>
      <c r="AI18" s="29">
        <f>600+(600-AI17)</f>
        <v>1029</v>
      </c>
      <c r="AJ18" s="29">
        <f>AJ17</f>
        <v>687</v>
      </c>
      <c r="AK18" s="48" t="s">
        <v>16</v>
      </c>
      <c r="AL18" s="29">
        <f t="shared" ref="AL18" si="24">600+(600-AL17)</f>
        <v>1050</v>
      </c>
      <c r="AM18" s="29">
        <f t="shared" ref="AM18" si="25">AM17</f>
        <v>728</v>
      </c>
      <c r="AN18" s="48" t="s">
        <v>16</v>
      </c>
      <c r="AO18" s="29">
        <f t="shared" ref="AO18" si="26">600+(600-AO17)</f>
        <v>1008</v>
      </c>
      <c r="AP18" s="29">
        <f t="shared" ref="AP18" si="27">AP17</f>
        <v>707</v>
      </c>
      <c r="AQ18" s="48" t="s">
        <v>16</v>
      </c>
      <c r="AR18" s="29">
        <f t="shared" ref="AR18" si="28">600+(600-AR17)</f>
        <v>1097</v>
      </c>
      <c r="AS18" s="29">
        <f t="shared" ref="AS18" si="29">AS17</f>
        <v>660</v>
      </c>
    </row>
    <row r="19" spans="1:45">
      <c r="A19" s="24">
        <v>15</v>
      </c>
      <c r="B19" s="19" t="s">
        <v>48</v>
      </c>
      <c r="C19" s="19" t="s">
        <v>34</v>
      </c>
      <c r="D19" s="11">
        <v>1094.0041133377881</v>
      </c>
      <c r="E19" s="9">
        <v>995</v>
      </c>
      <c r="F19" s="9">
        <v>1062.0042372796825</v>
      </c>
      <c r="G19" s="9">
        <v>1068.0042134748346</v>
      </c>
      <c r="H19" s="9">
        <v>1006</v>
      </c>
      <c r="J19" s="21">
        <v>15</v>
      </c>
      <c r="K19" s="44" t="s">
        <v>80</v>
      </c>
      <c r="L19" s="44" t="s">
        <v>78</v>
      </c>
      <c r="M19" s="44" t="s">
        <v>79</v>
      </c>
      <c r="N19" s="11">
        <v>29.074350121687957</v>
      </c>
      <c r="O19" s="9">
        <v>18.53458103063387</v>
      </c>
      <c r="P19" s="9">
        <v>19.829935618467278</v>
      </c>
      <c r="Q19" s="9">
        <v>23.97870138541197</v>
      </c>
      <c r="R19" s="9">
        <v>21.355050648714727</v>
      </c>
      <c r="T19" s="23">
        <v>15</v>
      </c>
      <c r="U19" s="28"/>
      <c r="V19" s="28"/>
      <c r="W19" s="28"/>
      <c r="X19" s="28"/>
      <c r="Y19" s="11"/>
      <c r="Z19" s="9"/>
      <c r="AA19" s="9"/>
      <c r="AB19" s="9"/>
      <c r="AC19" s="9"/>
      <c r="AE19" s="48" t="s">
        <v>17</v>
      </c>
      <c r="AF19" s="29">
        <v>225</v>
      </c>
      <c r="AG19" s="29">
        <v>110</v>
      </c>
      <c r="AH19" s="48" t="s">
        <v>17</v>
      </c>
      <c r="AI19" s="29">
        <v>231</v>
      </c>
      <c r="AJ19" s="29">
        <v>96</v>
      </c>
      <c r="AK19" s="48" t="s">
        <v>17</v>
      </c>
      <c r="AL19" s="29">
        <v>282</v>
      </c>
      <c r="AM19" s="29">
        <v>97</v>
      </c>
      <c r="AN19" s="48" t="s">
        <v>17</v>
      </c>
      <c r="AO19" s="29">
        <v>264</v>
      </c>
      <c r="AP19" s="29">
        <v>185</v>
      </c>
      <c r="AQ19" s="48" t="s">
        <v>17</v>
      </c>
      <c r="AR19" s="29">
        <v>234</v>
      </c>
      <c r="AS19" s="29">
        <v>105</v>
      </c>
    </row>
    <row r="20" spans="1:45">
      <c r="A20" s="24">
        <v>16</v>
      </c>
      <c r="B20" s="19" t="s">
        <v>50</v>
      </c>
      <c r="C20" s="19" t="s">
        <v>51</v>
      </c>
      <c r="D20" s="11">
        <v>64.776538962806583</v>
      </c>
      <c r="E20" s="9">
        <v>57.078892771321343</v>
      </c>
      <c r="F20" s="9">
        <v>51.088159097779204</v>
      </c>
      <c r="G20" s="9">
        <v>41.43669871020132</v>
      </c>
      <c r="H20" s="9">
        <v>46.097722286464439</v>
      </c>
      <c r="I20" s="3"/>
      <c r="J20" s="21">
        <v>16</v>
      </c>
      <c r="K20" s="44" t="s">
        <v>48</v>
      </c>
      <c r="L20" s="44" t="s">
        <v>81</v>
      </c>
      <c r="M20" s="44" t="s">
        <v>79</v>
      </c>
      <c r="N20" s="11">
        <v>113.7860935972577</v>
      </c>
      <c r="O20" s="9">
        <v>114.17478195763471</v>
      </c>
      <c r="P20" s="9">
        <v>106.98020428914761</v>
      </c>
      <c r="Q20" s="9">
        <v>112.60472799655933</v>
      </c>
      <c r="R20" s="9">
        <v>113.20531142617018</v>
      </c>
      <c r="T20" s="23">
        <v>16</v>
      </c>
      <c r="U20" s="28"/>
      <c r="V20" s="28"/>
      <c r="W20" s="28"/>
      <c r="X20" s="28"/>
      <c r="Y20" s="11"/>
      <c r="Z20" s="9"/>
      <c r="AA20" s="9"/>
      <c r="AB20" s="9"/>
      <c r="AC20" s="9"/>
      <c r="AE20" s="48" t="s">
        <v>18</v>
      </c>
      <c r="AF20" s="29">
        <v>603</v>
      </c>
      <c r="AG20" s="29">
        <v>86</v>
      </c>
      <c r="AH20" s="48" t="s">
        <v>18</v>
      </c>
      <c r="AI20" s="29">
        <v>600</v>
      </c>
      <c r="AJ20" s="29">
        <v>185</v>
      </c>
      <c r="AK20" s="48" t="s">
        <v>18</v>
      </c>
      <c r="AL20" s="29">
        <v>603</v>
      </c>
      <c r="AM20" s="29">
        <v>118</v>
      </c>
      <c r="AN20" s="48" t="s">
        <v>18</v>
      </c>
      <c r="AO20" s="29">
        <v>603</v>
      </c>
      <c r="AP20" s="29">
        <v>112</v>
      </c>
      <c r="AQ20" s="48" t="s">
        <v>18</v>
      </c>
      <c r="AR20" s="29">
        <v>600</v>
      </c>
      <c r="AS20" s="29">
        <v>174</v>
      </c>
    </row>
    <row r="21" spans="1:45">
      <c r="A21" s="24">
        <v>17</v>
      </c>
      <c r="B21" s="19" t="s">
        <v>65</v>
      </c>
      <c r="C21" s="19" t="s">
        <v>66</v>
      </c>
      <c r="D21" s="11">
        <v>221</v>
      </c>
      <c r="E21" s="9">
        <v>257</v>
      </c>
      <c r="F21" s="9">
        <v>231.01947969814148</v>
      </c>
      <c r="G21" s="9">
        <v>242</v>
      </c>
      <c r="H21" s="9">
        <v>240.13329631685815</v>
      </c>
      <c r="I21" s="3"/>
      <c r="J21" s="21">
        <v>17</v>
      </c>
      <c r="K21" s="44" t="s">
        <v>80</v>
      </c>
      <c r="L21" s="44" t="s">
        <v>81</v>
      </c>
      <c r="M21" s="44" t="s">
        <v>79</v>
      </c>
      <c r="N21" s="11">
        <v>33.356663700830779</v>
      </c>
      <c r="O21" s="9">
        <v>25.022236738320753</v>
      </c>
      <c r="P21" s="9">
        <v>23.952986095987193</v>
      </c>
      <c r="Q21" s="9">
        <v>30.254321659602105</v>
      </c>
      <c r="R21" s="9">
        <v>21.781347570013605</v>
      </c>
      <c r="T21" s="23">
        <v>17</v>
      </c>
      <c r="U21" s="28"/>
      <c r="V21" s="28"/>
      <c r="W21" s="28"/>
      <c r="X21" s="28"/>
      <c r="Y21" s="11"/>
      <c r="Z21" s="9"/>
      <c r="AA21" s="9"/>
      <c r="AB21" s="9"/>
      <c r="AC21" s="9"/>
      <c r="AE21" s="48" t="s">
        <v>19</v>
      </c>
      <c r="AF21" s="29">
        <f>600+(600-AF19)</f>
        <v>975</v>
      </c>
      <c r="AG21" s="29">
        <f>AG19</f>
        <v>110</v>
      </c>
      <c r="AH21" s="48" t="s">
        <v>19</v>
      </c>
      <c r="AI21" s="29">
        <f>600+(600-AI19)</f>
        <v>969</v>
      </c>
      <c r="AJ21" s="29">
        <f>AJ19</f>
        <v>96</v>
      </c>
      <c r="AK21" s="48" t="s">
        <v>19</v>
      </c>
      <c r="AL21" s="29">
        <f t="shared" ref="AL21" si="30">600+(600-AL19)</f>
        <v>918</v>
      </c>
      <c r="AM21" s="29">
        <f t="shared" ref="AM21" si="31">AM19</f>
        <v>97</v>
      </c>
      <c r="AN21" s="48" t="s">
        <v>19</v>
      </c>
      <c r="AO21" s="29">
        <f t="shared" ref="AO21" si="32">600+(600-AO19)</f>
        <v>936</v>
      </c>
      <c r="AP21" s="29">
        <f t="shared" ref="AP21" si="33">AP19</f>
        <v>185</v>
      </c>
      <c r="AQ21" s="48" t="s">
        <v>19</v>
      </c>
      <c r="AR21" s="29">
        <f t="shared" ref="AR21" si="34">600+(600-AR19)</f>
        <v>966</v>
      </c>
      <c r="AS21" s="29">
        <f t="shared" ref="AS21" si="35">AS19</f>
        <v>105</v>
      </c>
    </row>
    <row r="22" spans="1:45">
      <c r="A22" s="24">
        <v>18</v>
      </c>
      <c r="B22" s="19" t="s">
        <v>76</v>
      </c>
      <c r="C22" s="19" t="s">
        <v>75</v>
      </c>
      <c r="D22" s="11">
        <v>59.008473967727717</v>
      </c>
      <c r="E22" s="9">
        <v>42.047592083257278</v>
      </c>
      <c r="F22" s="9">
        <v>38.013155617496423</v>
      </c>
      <c r="G22" s="9">
        <v>46.324939287601879</v>
      </c>
      <c r="H22" s="9">
        <v>38.013155617496423</v>
      </c>
      <c r="I22" s="3"/>
      <c r="J22" s="21">
        <v>18</v>
      </c>
      <c r="K22" s="27"/>
      <c r="L22" s="27"/>
      <c r="M22" s="27"/>
      <c r="N22" s="11"/>
      <c r="O22" s="9"/>
      <c r="P22" s="9"/>
      <c r="Q22" s="9"/>
      <c r="R22" s="9"/>
      <c r="T22" s="23">
        <v>18</v>
      </c>
      <c r="U22" s="28"/>
      <c r="V22" s="28"/>
      <c r="W22" s="28"/>
      <c r="X22" s="28"/>
      <c r="Y22" s="11"/>
      <c r="Z22" s="9"/>
      <c r="AA22" s="9"/>
      <c r="AB22" s="9"/>
      <c r="AC22" s="9"/>
      <c r="AE22" s="48" t="s">
        <v>20</v>
      </c>
      <c r="AF22" s="29">
        <v>355</v>
      </c>
      <c r="AG22" s="29">
        <v>552</v>
      </c>
      <c r="AH22" s="48" t="s">
        <v>20</v>
      </c>
      <c r="AI22" s="29">
        <v>345</v>
      </c>
      <c r="AJ22" s="29">
        <v>574</v>
      </c>
      <c r="AK22" s="48" t="s">
        <v>20</v>
      </c>
      <c r="AL22" s="29">
        <v>361</v>
      </c>
      <c r="AM22" s="29">
        <v>549</v>
      </c>
      <c r="AN22" s="49" t="s">
        <v>20</v>
      </c>
      <c r="AO22" s="30">
        <v>359</v>
      </c>
      <c r="AP22" s="30">
        <v>599</v>
      </c>
      <c r="AQ22" s="48" t="s">
        <v>20</v>
      </c>
      <c r="AR22" s="29">
        <v>369</v>
      </c>
      <c r="AS22" s="29">
        <v>588</v>
      </c>
    </row>
    <row r="23" spans="1:45">
      <c r="A23" s="24">
        <v>19</v>
      </c>
      <c r="B23" s="19" t="s">
        <v>73</v>
      </c>
      <c r="C23" s="19" t="s">
        <v>74</v>
      </c>
      <c r="D23" s="11">
        <v>196.82479518597245</v>
      </c>
      <c r="E23" s="9">
        <v>206.65188119153427</v>
      </c>
      <c r="F23" s="9">
        <v>193.06475597581243</v>
      </c>
      <c r="G23" s="9">
        <v>183.13383084509536</v>
      </c>
      <c r="H23" s="9">
        <v>195.82900704441107</v>
      </c>
      <c r="I23" s="3"/>
      <c r="J23" s="21">
        <v>19</v>
      </c>
      <c r="K23" s="27"/>
      <c r="L23" s="27"/>
      <c r="M23" s="27"/>
      <c r="N23" s="11"/>
      <c r="O23" s="9"/>
      <c r="P23" s="9"/>
      <c r="Q23" s="9"/>
      <c r="R23" s="9"/>
      <c r="T23" s="23">
        <v>19</v>
      </c>
      <c r="U23" s="28"/>
      <c r="V23" s="28"/>
      <c r="W23" s="28"/>
      <c r="X23" s="28"/>
      <c r="Y23" s="11"/>
      <c r="Z23" s="9"/>
      <c r="AA23" s="9"/>
      <c r="AB23" s="9"/>
      <c r="AC23" s="9"/>
      <c r="AE23" s="48" t="s">
        <v>21</v>
      </c>
      <c r="AF23" s="29">
        <v>421</v>
      </c>
      <c r="AG23" s="29">
        <v>566</v>
      </c>
      <c r="AH23" s="49" t="s">
        <v>21</v>
      </c>
      <c r="AI23" s="30">
        <v>428</v>
      </c>
      <c r="AJ23" s="30">
        <v>583</v>
      </c>
      <c r="AK23" s="48" t="s">
        <v>21</v>
      </c>
      <c r="AL23" s="29">
        <v>429</v>
      </c>
      <c r="AM23" s="29">
        <v>563</v>
      </c>
      <c r="AN23" s="49" t="s">
        <v>21</v>
      </c>
      <c r="AO23" s="30">
        <v>431</v>
      </c>
      <c r="AP23" s="30">
        <v>598</v>
      </c>
      <c r="AQ23" s="48" t="s">
        <v>21</v>
      </c>
      <c r="AR23" s="29">
        <v>431</v>
      </c>
      <c r="AS23" s="29">
        <v>607</v>
      </c>
    </row>
    <row r="24" spans="1:45">
      <c r="A24" s="24">
        <v>20</v>
      </c>
      <c r="B24" s="19"/>
      <c r="C24" s="19"/>
      <c r="D24" s="9"/>
      <c r="E24" s="9"/>
      <c r="F24" s="9"/>
      <c r="G24" s="9"/>
      <c r="H24" s="9"/>
      <c r="I24" s="3"/>
      <c r="J24" s="21">
        <v>20</v>
      </c>
      <c r="K24" s="27"/>
      <c r="L24" s="27"/>
      <c r="M24" s="27"/>
      <c r="N24" s="11"/>
      <c r="O24" s="9"/>
      <c r="P24" s="9"/>
      <c r="Q24" s="9"/>
      <c r="R24" s="9"/>
      <c r="T24" s="23">
        <v>20</v>
      </c>
      <c r="U24" s="28"/>
      <c r="V24" s="28"/>
      <c r="W24" s="28"/>
      <c r="X24" s="28"/>
      <c r="Y24" s="11"/>
      <c r="Z24" s="9"/>
      <c r="AA24" s="9"/>
      <c r="AB24" s="9"/>
      <c r="AC24" s="9"/>
      <c r="AE24" s="48" t="s">
        <v>22</v>
      </c>
      <c r="AF24" s="29">
        <v>488</v>
      </c>
      <c r="AG24" s="29">
        <v>535</v>
      </c>
      <c r="AH24" s="49" t="s">
        <v>22</v>
      </c>
      <c r="AI24" s="30">
        <v>498</v>
      </c>
      <c r="AJ24" s="30">
        <v>565</v>
      </c>
      <c r="AK24" s="48" t="s">
        <v>22</v>
      </c>
      <c r="AL24" s="29">
        <v>494</v>
      </c>
      <c r="AM24" s="29">
        <v>551</v>
      </c>
      <c r="AN24" s="49" t="s">
        <v>22</v>
      </c>
      <c r="AO24" s="30">
        <v>510</v>
      </c>
      <c r="AP24" s="30">
        <v>588</v>
      </c>
      <c r="AQ24" s="48" t="s">
        <v>22</v>
      </c>
      <c r="AR24" s="29">
        <v>489</v>
      </c>
      <c r="AS24" s="29">
        <v>590</v>
      </c>
    </row>
    <row r="25" spans="1:45" ht="15.75" customHeight="1">
      <c r="A25" s="24">
        <v>21</v>
      </c>
      <c r="B25" s="19"/>
      <c r="C25" s="19"/>
      <c r="D25" s="9"/>
      <c r="E25" s="9"/>
      <c r="F25" s="9"/>
      <c r="G25" s="9"/>
      <c r="H25" s="9"/>
      <c r="I25" s="3"/>
      <c r="J25" s="21">
        <v>21</v>
      </c>
      <c r="K25" s="27"/>
      <c r="L25" s="27"/>
      <c r="M25" s="27"/>
      <c r="N25" s="11"/>
      <c r="O25" s="9"/>
      <c r="P25" s="9"/>
      <c r="Q25" s="9"/>
      <c r="R25" s="9"/>
      <c r="T25" s="23">
        <v>21</v>
      </c>
      <c r="U25" s="28"/>
      <c r="V25" s="28"/>
      <c r="W25" s="28"/>
      <c r="X25" s="28"/>
      <c r="Y25" s="11"/>
      <c r="Z25" s="9"/>
      <c r="AA25" s="9"/>
      <c r="AB25" s="9"/>
      <c r="AC25" s="9"/>
      <c r="AE25" s="48" t="s">
        <v>23</v>
      </c>
      <c r="AF25" s="29">
        <v>411</v>
      </c>
      <c r="AG25" s="29">
        <v>502</v>
      </c>
      <c r="AH25" s="49" t="s">
        <v>23</v>
      </c>
      <c r="AI25" s="30">
        <v>425</v>
      </c>
      <c r="AJ25" s="30">
        <v>526</v>
      </c>
      <c r="AK25" s="48" t="s">
        <v>23</v>
      </c>
      <c r="AL25" s="29">
        <v>432</v>
      </c>
      <c r="AM25" s="29">
        <v>512</v>
      </c>
      <c r="AN25" s="49" t="s">
        <v>23</v>
      </c>
      <c r="AO25" s="30">
        <v>437</v>
      </c>
      <c r="AP25" s="30">
        <v>557</v>
      </c>
      <c r="AQ25" s="48" t="s">
        <v>23</v>
      </c>
      <c r="AR25" s="29">
        <v>428</v>
      </c>
      <c r="AS25" s="29">
        <v>561</v>
      </c>
    </row>
    <row r="26" spans="1:45" ht="16.5" customHeight="1">
      <c r="A26" s="24">
        <v>22</v>
      </c>
      <c r="B26" s="19"/>
      <c r="C26" s="19"/>
      <c r="D26" s="9"/>
      <c r="E26" s="9"/>
      <c r="F26" s="9"/>
      <c r="G26" s="9"/>
      <c r="H26" s="9"/>
      <c r="I26" s="3"/>
      <c r="J26" s="21">
        <v>22</v>
      </c>
      <c r="K26" s="27"/>
      <c r="L26" s="27"/>
      <c r="M26" s="27"/>
      <c r="N26" s="11"/>
      <c r="O26" s="9"/>
      <c r="P26" s="9"/>
      <c r="Q26" s="9"/>
      <c r="R26" s="9"/>
      <c r="T26" s="23">
        <v>22</v>
      </c>
      <c r="U26" s="28"/>
      <c r="V26" s="28"/>
      <c r="W26" s="28"/>
      <c r="X26" s="28"/>
      <c r="Y26" s="11"/>
      <c r="Z26" s="9"/>
      <c r="AA26" s="9"/>
      <c r="AB26" s="9"/>
      <c r="AC26" s="9"/>
      <c r="AE26" s="48" t="s">
        <v>24</v>
      </c>
      <c r="AF26" s="31">
        <v>1180</v>
      </c>
      <c r="AG26" s="31">
        <v>1180</v>
      </c>
      <c r="AH26" s="49" t="s">
        <v>24</v>
      </c>
      <c r="AI26" s="30">
        <v>1180</v>
      </c>
      <c r="AJ26" s="30">
        <v>1180</v>
      </c>
      <c r="AK26" s="48" t="s">
        <v>24</v>
      </c>
      <c r="AL26" s="31">
        <v>1180</v>
      </c>
      <c r="AM26" s="31">
        <v>1180</v>
      </c>
      <c r="AN26" s="49" t="s">
        <v>24</v>
      </c>
      <c r="AO26" s="30">
        <v>1180</v>
      </c>
      <c r="AP26" s="30">
        <v>1180</v>
      </c>
      <c r="AQ26" s="32" t="s">
        <v>24</v>
      </c>
      <c r="AR26" s="31">
        <v>1180</v>
      </c>
      <c r="AS26" s="31">
        <v>1180</v>
      </c>
    </row>
    <row r="27" spans="1:45">
      <c r="A27" s="24">
        <v>23</v>
      </c>
      <c r="B27" s="19"/>
      <c r="C27" s="19"/>
      <c r="D27" s="9"/>
      <c r="E27" s="9"/>
      <c r="F27" s="9"/>
      <c r="G27" s="9"/>
      <c r="H27" s="9"/>
      <c r="J27" s="21">
        <v>23</v>
      </c>
      <c r="K27" s="27"/>
      <c r="L27" s="27"/>
      <c r="M27" s="27"/>
      <c r="N27" s="11"/>
      <c r="O27" s="9"/>
      <c r="P27" s="9"/>
      <c r="Q27" s="9"/>
      <c r="R27" s="9"/>
      <c r="T27" s="23">
        <v>23</v>
      </c>
      <c r="U27" s="28"/>
      <c r="V27" s="28"/>
      <c r="W27" s="28"/>
      <c r="X27" s="28"/>
      <c r="Y27" s="11"/>
      <c r="Z27" s="9"/>
      <c r="AA27" s="9"/>
      <c r="AB27" s="9"/>
      <c r="AC27" s="9"/>
      <c r="AE27" s="46" t="s">
        <v>67</v>
      </c>
      <c r="AF27" s="8">
        <v>600</v>
      </c>
      <c r="AG27" s="37">
        <v>0</v>
      </c>
      <c r="AH27" s="46" t="s">
        <v>67</v>
      </c>
      <c r="AI27" s="9">
        <v>600</v>
      </c>
      <c r="AJ27" s="38">
        <v>0</v>
      </c>
      <c r="AK27" s="46" t="s">
        <v>67</v>
      </c>
      <c r="AL27" s="8">
        <v>600</v>
      </c>
      <c r="AM27" s="37">
        <v>0</v>
      </c>
      <c r="AN27" s="46" t="s">
        <v>67</v>
      </c>
      <c r="AO27" s="9">
        <v>600</v>
      </c>
      <c r="AP27" s="38">
        <v>0</v>
      </c>
      <c r="AQ27" s="46" t="s">
        <v>67</v>
      </c>
      <c r="AR27" s="8">
        <v>600</v>
      </c>
      <c r="AS27" s="37">
        <v>0</v>
      </c>
    </row>
    <row r="28" spans="1:45" s="7" customFormat="1">
      <c r="A28" s="24">
        <v>24</v>
      </c>
      <c r="B28" s="19"/>
      <c r="C28" s="19"/>
      <c r="D28" s="17"/>
      <c r="E28" s="12"/>
      <c r="F28" s="12"/>
      <c r="G28" s="12"/>
      <c r="H28" s="12"/>
      <c r="J28" s="21">
        <v>24</v>
      </c>
      <c r="K28" s="27"/>
      <c r="L28" s="27"/>
      <c r="M28" s="27"/>
      <c r="N28" s="17"/>
      <c r="O28" s="12"/>
      <c r="P28" s="12"/>
      <c r="Q28" s="12"/>
      <c r="R28" s="12"/>
      <c r="T28" s="23">
        <v>24</v>
      </c>
      <c r="U28" s="28"/>
      <c r="V28" s="28"/>
      <c r="W28" s="28"/>
      <c r="X28" s="28"/>
      <c r="Y28" s="17"/>
      <c r="Z28" s="12"/>
      <c r="AA28" s="12"/>
      <c r="AB28" s="12"/>
      <c r="AC28" s="12"/>
      <c r="AE28" s="46" t="s">
        <v>68</v>
      </c>
      <c r="AF28" s="8">
        <v>401</v>
      </c>
      <c r="AG28" s="37">
        <v>372</v>
      </c>
      <c r="AH28" s="46" t="s">
        <v>68</v>
      </c>
      <c r="AI28" s="9">
        <v>411</v>
      </c>
      <c r="AJ28" s="38">
        <v>417</v>
      </c>
      <c r="AK28" s="46" t="s">
        <v>68</v>
      </c>
      <c r="AL28" s="8">
        <v>419</v>
      </c>
      <c r="AM28" s="37">
        <v>416</v>
      </c>
      <c r="AN28" s="46" t="s">
        <v>68</v>
      </c>
      <c r="AO28" s="9">
        <v>421</v>
      </c>
      <c r="AP28" s="38">
        <v>446</v>
      </c>
      <c r="AQ28" s="46" t="s">
        <v>68</v>
      </c>
      <c r="AR28" s="8">
        <v>419</v>
      </c>
      <c r="AS28" s="37">
        <v>468</v>
      </c>
    </row>
    <row r="29" spans="1:45">
      <c r="A29" s="24">
        <v>25</v>
      </c>
      <c r="B29" s="19"/>
      <c r="C29" s="19"/>
      <c r="D29" s="18"/>
      <c r="E29" s="13"/>
      <c r="F29" s="9"/>
      <c r="G29" s="9"/>
      <c r="H29" s="9"/>
      <c r="J29" s="21">
        <v>25</v>
      </c>
      <c r="K29" s="27"/>
      <c r="L29" s="27"/>
      <c r="M29" s="27"/>
      <c r="N29" s="11"/>
      <c r="O29" s="9"/>
      <c r="P29" s="9"/>
      <c r="Q29" s="9"/>
      <c r="R29" s="9"/>
      <c r="T29" s="23">
        <v>25</v>
      </c>
      <c r="U29" s="28"/>
      <c r="V29" s="28"/>
      <c r="W29" s="28"/>
      <c r="X29" s="28"/>
      <c r="Y29" s="11"/>
      <c r="Z29" s="9"/>
      <c r="AA29" s="9"/>
      <c r="AB29" s="9"/>
      <c r="AC29" s="9"/>
      <c r="AE29" s="46" t="s">
        <v>69</v>
      </c>
      <c r="AF29" s="8">
        <v>300</v>
      </c>
      <c r="AG29" s="37">
        <v>439</v>
      </c>
      <c r="AH29" s="46" t="s">
        <v>69</v>
      </c>
      <c r="AI29" s="9">
        <v>300</v>
      </c>
      <c r="AJ29" s="38">
        <v>485</v>
      </c>
      <c r="AK29" s="46" t="s">
        <v>69</v>
      </c>
      <c r="AL29" s="8">
        <v>312</v>
      </c>
      <c r="AM29" s="37">
        <v>448</v>
      </c>
      <c r="AN29" s="46" t="s">
        <v>69</v>
      </c>
      <c r="AO29" s="9">
        <v>317</v>
      </c>
      <c r="AP29" s="38">
        <v>487</v>
      </c>
      <c r="AQ29" s="46" t="s">
        <v>69</v>
      </c>
      <c r="AR29" s="8">
        <v>323</v>
      </c>
      <c r="AS29" s="37">
        <v>509</v>
      </c>
    </row>
    <row r="30" spans="1:45">
      <c r="A30" s="24">
        <v>26</v>
      </c>
      <c r="B30" s="19"/>
      <c r="C30" s="19"/>
      <c r="D30" s="11"/>
      <c r="E30" s="9"/>
      <c r="F30" s="9"/>
      <c r="G30" s="9"/>
      <c r="H30" s="9"/>
      <c r="J30" s="21">
        <v>26</v>
      </c>
      <c r="K30" s="27"/>
      <c r="L30" s="27"/>
      <c r="M30" s="27"/>
      <c r="N30" s="11"/>
      <c r="O30" s="9"/>
      <c r="P30" s="9"/>
      <c r="Q30" s="9"/>
      <c r="R30" s="9"/>
      <c r="T30" s="23">
        <v>26</v>
      </c>
      <c r="U30" s="28"/>
      <c r="V30" s="28"/>
      <c r="W30" s="28"/>
      <c r="X30" s="28"/>
      <c r="Y30" s="11"/>
      <c r="Z30" s="9"/>
      <c r="AA30" s="9"/>
      <c r="AB30" s="9"/>
      <c r="AC30" s="9"/>
      <c r="AE30" s="46" t="s">
        <v>70</v>
      </c>
      <c r="AF30" s="8">
        <v>496</v>
      </c>
      <c r="AG30" s="37">
        <v>421</v>
      </c>
      <c r="AH30" s="46" t="s">
        <v>70</v>
      </c>
      <c r="AI30" s="9">
        <v>504</v>
      </c>
      <c r="AJ30" s="38">
        <v>452</v>
      </c>
      <c r="AK30" s="46" t="s">
        <v>70</v>
      </c>
      <c r="AL30" s="8">
        <v>505</v>
      </c>
      <c r="AM30" s="37">
        <v>453</v>
      </c>
      <c r="AN30" s="46" t="s">
        <v>70</v>
      </c>
      <c r="AO30" s="9">
        <v>500</v>
      </c>
      <c r="AP30" s="38">
        <v>480</v>
      </c>
      <c r="AQ30" s="46" t="s">
        <v>70</v>
      </c>
      <c r="AR30" s="8">
        <v>518</v>
      </c>
      <c r="AS30" s="37">
        <v>491</v>
      </c>
    </row>
    <row r="31" spans="1:45">
      <c r="A31" s="24">
        <v>27</v>
      </c>
      <c r="B31" s="19"/>
      <c r="C31" s="19"/>
      <c r="D31" s="11"/>
      <c r="E31" s="9"/>
      <c r="F31" s="9"/>
      <c r="G31" s="9"/>
      <c r="H31" s="9"/>
      <c r="J31" s="21">
        <v>27</v>
      </c>
      <c r="K31" s="27"/>
      <c r="L31" s="27"/>
      <c r="M31" s="27"/>
      <c r="N31" s="11"/>
      <c r="O31" s="9"/>
      <c r="P31" s="9"/>
      <c r="Q31" s="9"/>
      <c r="R31" s="9"/>
      <c r="T31" s="23">
        <v>27</v>
      </c>
      <c r="U31" s="28"/>
      <c r="V31" s="28"/>
      <c r="W31" s="28"/>
      <c r="X31" s="28"/>
      <c r="Y31" s="11"/>
      <c r="Z31" s="9"/>
      <c r="AA31" s="9"/>
      <c r="AB31" s="9"/>
      <c r="AC31" s="9"/>
      <c r="AE31" s="46" t="s">
        <v>71</v>
      </c>
      <c r="AF31" s="8">
        <v>402</v>
      </c>
      <c r="AG31" s="37">
        <v>431</v>
      </c>
      <c r="AH31" s="46" t="s">
        <v>71</v>
      </c>
      <c r="AI31" s="9">
        <v>413</v>
      </c>
      <c r="AJ31" s="38">
        <v>459</v>
      </c>
      <c r="AK31" s="46" t="s">
        <v>71</v>
      </c>
      <c r="AL31" s="8">
        <v>420</v>
      </c>
      <c r="AM31" s="37">
        <v>454</v>
      </c>
      <c r="AN31" s="46" t="s">
        <v>71</v>
      </c>
      <c r="AO31" s="9">
        <v>410</v>
      </c>
      <c r="AP31" s="38">
        <v>491</v>
      </c>
      <c r="AQ31" s="46" t="s">
        <v>71</v>
      </c>
      <c r="AR31" s="8">
        <v>420</v>
      </c>
      <c r="AS31" s="37">
        <v>506</v>
      </c>
    </row>
    <row r="32" spans="1:45">
      <c r="A32" s="24">
        <v>28</v>
      </c>
      <c r="B32" s="19"/>
      <c r="C32" s="19"/>
      <c r="D32" s="11"/>
      <c r="E32" s="9"/>
      <c r="F32" s="9"/>
      <c r="G32" s="9"/>
      <c r="H32" s="9"/>
      <c r="J32" s="21">
        <v>28</v>
      </c>
      <c r="K32" s="27"/>
      <c r="L32" s="27"/>
      <c r="M32" s="27"/>
      <c r="N32" s="11"/>
      <c r="O32" s="9"/>
      <c r="P32" s="9"/>
      <c r="Q32" s="9"/>
      <c r="R32" s="9"/>
      <c r="T32" s="23">
        <v>28</v>
      </c>
      <c r="U32" s="28"/>
      <c r="V32" s="28"/>
      <c r="W32" s="28"/>
      <c r="X32" s="28"/>
      <c r="Y32" s="11"/>
      <c r="Z32" s="9"/>
      <c r="AA32" s="9"/>
      <c r="AB32" s="9"/>
      <c r="AC32" s="9"/>
      <c r="AE32" s="46"/>
      <c r="AF32" s="8"/>
      <c r="AG32" s="37"/>
      <c r="AH32" s="46"/>
      <c r="AI32" s="9"/>
      <c r="AJ32" s="38"/>
      <c r="AK32" s="46"/>
      <c r="AL32" s="8"/>
      <c r="AM32" s="37"/>
      <c r="AN32" s="46"/>
      <c r="AO32" s="9"/>
      <c r="AP32" s="38"/>
      <c r="AQ32" s="46"/>
      <c r="AR32" s="8"/>
      <c r="AS32" s="37"/>
    </row>
    <row r="33" spans="1:45">
      <c r="A33" s="24">
        <v>29</v>
      </c>
      <c r="B33" s="19"/>
      <c r="C33" s="19"/>
      <c r="D33" s="11"/>
      <c r="E33" s="9"/>
      <c r="F33" s="9"/>
      <c r="G33" s="9"/>
      <c r="H33" s="9"/>
      <c r="J33" s="21">
        <v>29</v>
      </c>
      <c r="K33" s="27"/>
      <c r="L33" s="27"/>
      <c r="M33" s="27"/>
      <c r="N33" s="11"/>
      <c r="O33" s="9"/>
      <c r="P33" s="9"/>
      <c r="Q33" s="9"/>
      <c r="R33" s="9"/>
      <c r="T33" s="23">
        <v>29</v>
      </c>
      <c r="U33" s="28"/>
      <c r="V33" s="28"/>
      <c r="W33" s="28"/>
      <c r="X33" s="28"/>
      <c r="Y33" s="11"/>
      <c r="Z33" s="9"/>
      <c r="AA33" s="9"/>
      <c r="AB33" s="9"/>
      <c r="AC33" s="9"/>
      <c r="AE33" s="26"/>
      <c r="AF33" s="8"/>
      <c r="AG33" s="6"/>
      <c r="AH33" s="5"/>
      <c r="AI33" s="9"/>
      <c r="AJ33" s="16"/>
      <c r="AK33" s="26"/>
      <c r="AL33" s="8"/>
      <c r="AM33" s="6"/>
      <c r="AN33" s="5"/>
      <c r="AO33" s="9"/>
      <c r="AP33" s="16"/>
      <c r="AQ33" s="26"/>
      <c r="AR33" s="8"/>
      <c r="AS33" s="6"/>
    </row>
    <row r="34" spans="1:45">
      <c r="A34" s="24">
        <v>30</v>
      </c>
      <c r="B34" s="19"/>
      <c r="C34" s="19"/>
      <c r="D34" s="11"/>
      <c r="E34" s="9"/>
      <c r="F34" s="9"/>
      <c r="G34" s="9"/>
      <c r="H34" s="9"/>
      <c r="J34" s="21">
        <v>30</v>
      </c>
      <c r="K34" s="27"/>
      <c r="L34" s="27"/>
      <c r="M34" s="27"/>
      <c r="N34" s="11"/>
      <c r="O34" s="9"/>
      <c r="P34" s="9"/>
      <c r="Q34" s="9"/>
      <c r="R34" s="9"/>
      <c r="T34" s="23">
        <v>30</v>
      </c>
      <c r="U34" s="28"/>
      <c r="V34" s="28"/>
      <c r="W34" s="28"/>
      <c r="X34" s="28"/>
      <c r="Y34" s="11"/>
      <c r="Z34" s="9"/>
      <c r="AA34" s="9"/>
      <c r="AB34" s="9"/>
      <c r="AC34" s="9"/>
      <c r="AE34" s="26"/>
      <c r="AF34" s="8"/>
      <c r="AG34" s="6"/>
      <c r="AH34" s="5"/>
      <c r="AI34" s="9"/>
      <c r="AJ34" s="16"/>
      <c r="AK34" s="26"/>
      <c r="AL34" s="8"/>
      <c r="AM34" s="6"/>
      <c r="AN34" s="5"/>
      <c r="AO34" s="9"/>
      <c r="AP34" s="16"/>
      <c r="AQ34" s="26"/>
      <c r="AR34" s="8"/>
      <c r="AS34" s="6"/>
    </row>
    <row r="35" spans="1:45">
      <c r="A35" s="25"/>
      <c r="B35" s="15"/>
      <c r="C35" s="15"/>
      <c r="D35" s="14"/>
      <c r="E35" s="14"/>
    </row>
    <row r="36" spans="1:45" ht="15.75" customHeight="1">
      <c r="A36" s="79" t="s">
        <v>64</v>
      </c>
      <c r="B36" s="79"/>
      <c r="C36" s="79"/>
      <c r="D36" s="79"/>
      <c r="E36" s="79"/>
      <c r="F36" s="79"/>
      <c r="G36" s="79"/>
      <c r="H36" s="79"/>
      <c r="I36" s="20"/>
      <c r="J36" s="79" t="s">
        <v>64</v>
      </c>
      <c r="K36" s="80"/>
      <c r="L36" s="80"/>
      <c r="M36" s="80"/>
      <c r="N36" s="80"/>
      <c r="O36" s="80"/>
      <c r="P36" s="80"/>
      <c r="Q36" s="80"/>
      <c r="R36" s="80"/>
      <c r="T36" s="79" t="s">
        <v>64</v>
      </c>
      <c r="U36" s="80"/>
      <c r="V36" s="80"/>
      <c r="W36" s="80"/>
      <c r="X36" s="80"/>
      <c r="Y36" s="80"/>
      <c r="Z36" s="80"/>
      <c r="AA36" s="80"/>
      <c r="AB36" s="80"/>
      <c r="AC36" s="80"/>
      <c r="AE36" s="80" t="s">
        <v>63</v>
      </c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</row>
    <row r="37" spans="1:45" ht="15.75" customHeight="1">
      <c r="A37" s="79"/>
      <c r="B37" s="79"/>
      <c r="C37" s="79"/>
      <c r="D37" s="79"/>
      <c r="E37" s="79"/>
      <c r="F37" s="79"/>
      <c r="G37" s="79"/>
      <c r="H37" s="79"/>
      <c r="I37" s="20"/>
      <c r="J37" s="80"/>
      <c r="K37" s="80"/>
      <c r="L37" s="80"/>
      <c r="M37" s="80"/>
      <c r="N37" s="80"/>
      <c r="O37" s="80"/>
      <c r="P37" s="80"/>
      <c r="Q37" s="80"/>
      <c r="R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</row>
    <row r="38" spans="1:45">
      <c r="A38" s="79"/>
      <c r="B38" s="79"/>
      <c r="C38" s="79"/>
      <c r="D38" s="79"/>
      <c r="E38" s="79"/>
      <c r="F38" s="79"/>
      <c r="G38" s="79"/>
      <c r="H38" s="79"/>
      <c r="J38" s="80"/>
      <c r="K38" s="80"/>
      <c r="L38" s="80"/>
      <c r="M38" s="80"/>
      <c r="N38" s="80"/>
      <c r="O38" s="80"/>
      <c r="P38" s="80"/>
      <c r="Q38" s="80"/>
      <c r="R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</row>
    <row r="39" spans="1:45">
      <c r="A39" s="25"/>
      <c r="B39" s="15"/>
      <c r="C39" s="15"/>
      <c r="D39" s="14"/>
      <c r="E39" s="14"/>
    </row>
    <row r="40" spans="1:45">
      <c r="A40" s="25"/>
      <c r="B40" s="15"/>
      <c r="C40" s="15"/>
      <c r="D40" s="14"/>
      <c r="E40" s="14"/>
    </row>
    <row r="41" spans="1:45">
      <c r="A41" s="25"/>
      <c r="B41" s="15"/>
      <c r="C41" s="15"/>
      <c r="D41" s="14"/>
      <c r="E41" s="14"/>
    </row>
    <row r="42" spans="1:45">
      <c r="A42" s="25"/>
      <c r="B42" s="15"/>
      <c r="C42" s="15"/>
      <c r="D42" s="14"/>
      <c r="E42" s="14"/>
    </row>
    <row r="43" spans="1:45">
      <c r="A43" s="25"/>
      <c r="B43" s="15"/>
      <c r="C43" s="15"/>
      <c r="D43" s="14"/>
      <c r="E43" s="14"/>
    </row>
    <row r="44" spans="1:45">
      <c r="A44" s="25"/>
      <c r="B44" s="15"/>
      <c r="C44" s="15"/>
      <c r="D44" s="14"/>
      <c r="E44" s="14"/>
    </row>
    <row r="45" spans="1:45">
      <c r="A45" s="25"/>
      <c r="B45" s="15"/>
      <c r="C45" s="15"/>
      <c r="D45" s="14"/>
      <c r="E45" s="14"/>
    </row>
    <row r="46" spans="1:45">
      <c r="A46" s="25"/>
      <c r="B46" s="15"/>
      <c r="C46" s="15"/>
      <c r="D46" s="14"/>
      <c r="E46" s="14"/>
    </row>
    <row r="47" spans="1:45">
      <c r="A47" s="25"/>
      <c r="B47" s="15"/>
      <c r="C47" s="15"/>
      <c r="D47" s="14"/>
      <c r="E47" s="14"/>
    </row>
    <row r="48" spans="1:45">
      <c r="A48" s="25"/>
      <c r="B48" s="15"/>
      <c r="C48" s="15"/>
      <c r="D48" s="14"/>
      <c r="E48" s="14"/>
    </row>
    <row r="49" spans="1:5">
      <c r="A49" s="25"/>
      <c r="B49" s="15"/>
      <c r="C49" s="15"/>
      <c r="D49" s="14"/>
      <c r="E49" s="14"/>
    </row>
    <row r="50" spans="1:5">
      <c r="A50" s="25"/>
      <c r="B50" s="15"/>
      <c r="C50" s="15"/>
      <c r="D50" s="14"/>
      <c r="E50" s="14"/>
    </row>
    <row r="51" spans="1:5">
      <c r="A51" s="25"/>
      <c r="B51" s="15"/>
      <c r="C51" s="15"/>
      <c r="D51" s="14"/>
      <c r="E51" s="14"/>
    </row>
    <row r="52" spans="1:5">
      <c r="A52" s="25"/>
      <c r="B52" s="15"/>
      <c r="C52" s="15"/>
      <c r="D52" s="14"/>
      <c r="E52" s="14"/>
    </row>
  </sheetData>
  <mergeCells count="27">
    <mergeCell ref="T1:AC1"/>
    <mergeCell ref="AE1:AS1"/>
    <mergeCell ref="A2:C4"/>
    <mergeCell ref="D2:F3"/>
    <mergeCell ref="G2:H3"/>
    <mergeCell ref="J2:M4"/>
    <mergeCell ref="N2:P3"/>
    <mergeCell ref="Q2:R3"/>
    <mergeCell ref="T2:X4"/>
    <mergeCell ref="Y2:AA3"/>
    <mergeCell ref="A1:H1"/>
    <mergeCell ref="J1:R1"/>
    <mergeCell ref="AR3:AS3"/>
    <mergeCell ref="A36:H38"/>
    <mergeCell ref="J36:R38"/>
    <mergeCell ref="T36:AC38"/>
    <mergeCell ref="AE36:AS38"/>
    <mergeCell ref="AB2:AC3"/>
    <mergeCell ref="AE2:AG2"/>
    <mergeCell ref="AH2:AJ2"/>
    <mergeCell ref="AK2:AM2"/>
    <mergeCell ref="AN2:AP2"/>
    <mergeCell ref="AQ2:AS2"/>
    <mergeCell ref="AF3:AG3"/>
    <mergeCell ref="AI3:AJ3"/>
    <mergeCell ref="AL3:AM3"/>
    <mergeCell ref="AO3:AP3"/>
  </mergeCells>
  <phoneticPr fontId="7" type="noConversion"/>
  <conditionalFormatting sqref="Y1:AC1 Y4:AC35 Y2 Y39:AC1048576">
    <cfRule type="cellIs" dxfId="27" priority="1" operator="lessThan">
      <formula>0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AS52"/>
  <sheetViews>
    <sheetView topLeftCell="S1" zoomScale="70" zoomScaleNormal="70" workbookViewId="0">
      <selection activeCell="AI3" sqref="AI3:AJ3"/>
    </sheetView>
  </sheetViews>
  <sheetFormatPr defaultColWidth="9" defaultRowHeight="15.5"/>
  <cols>
    <col min="1" max="1" width="3.58203125" style="22" customWidth="1"/>
    <col min="2" max="3" width="3.58203125" style="4" customWidth="1"/>
    <col min="4" max="8" width="10.58203125" style="10" customWidth="1"/>
    <col min="9" max="9" width="2.08203125" style="1" customWidth="1"/>
    <col min="10" max="10" width="3.58203125" style="22" customWidth="1"/>
    <col min="11" max="12" width="3.58203125" style="4" customWidth="1"/>
    <col min="13" max="13" width="3.08203125" style="4" bestFit="1" customWidth="1"/>
    <col min="14" max="18" width="10.58203125" style="10" customWidth="1"/>
    <col min="19" max="19" width="2.08203125" style="1" customWidth="1"/>
    <col min="20" max="20" width="3.58203125" style="22" customWidth="1"/>
    <col min="21" max="23" width="3.58203125" style="4" customWidth="1"/>
    <col min="24" max="24" width="3.08203125" style="4" bestFit="1" customWidth="1"/>
    <col min="25" max="29" width="10.58203125" style="10" customWidth="1"/>
    <col min="30" max="30" width="2.08203125" style="1" customWidth="1"/>
    <col min="31" max="31" width="7.58203125" style="4" customWidth="1"/>
    <col min="32" max="32" width="10.58203125" style="10" customWidth="1"/>
    <col min="33" max="33" width="10.58203125" style="1" customWidth="1"/>
    <col min="34" max="34" width="7.58203125" style="4" customWidth="1"/>
    <col min="35" max="35" width="10.58203125" style="10" customWidth="1"/>
    <col min="36" max="36" width="10.58203125" style="1" customWidth="1"/>
    <col min="37" max="37" width="7.58203125" style="4" customWidth="1"/>
    <col min="38" max="38" width="10.58203125" style="10" customWidth="1"/>
    <col min="39" max="39" width="10.58203125" style="1" customWidth="1"/>
    <col min="40" max="40" width="7.58203125" style="4" customWidth="1"/>
    <col min="41" max="41" width="10.58203125" style="10" customWidth="1"/>
    <col min="42" max="42" width="10.58203125" style="1" customWidth="1"/>
    <col min="43" max="16384" width="9" style="1"/>
  </cols>
  <sheetData>
    <row r="1" spans="1:45" ht="24" customHeight="1">
      <c r="A1" s="57" t="s">
        <v>58</v>
      </c>
      <c r="B1" s="57"/>
      <c r="C1" s="57"/>
      <c r="D1" s="57"/>
      <c r="E1" s="57"/>
      <c r="F1" s="57"/>
      <c r="G1" s="57"/>
      <c r="H1" s="58"/>
      <c r="J1" s="59" t="s">
        <v>60</v>
      </c>
      <c r="K1" s="59"/>
      <c r="L1" s="59"/>
      <c r="M1" s="59"/>
      <c r="N1" s="59"/>
      <c r="O1" s="59"/>
      <c r="P1" s="59"/>
      <c r="Q1" s="59"/>
      <c r="R1" s="59"/>
      <c r="T1" s="60" t="s">
        <v>59</v>
      </c>
      <c r="U1" s="60"/>
      <c r="V1" s="60"/>
      <c r="W1" s="60"/>
      <c r="X1" s="60"/>
      <c r="Y1" s="60"/>
      <c r="Z1" s="60"/>
      <c r="AA1" s="60"/>
      <c r="AB1" s="60"/>
      <c r="AC1" s="60"/>
      <c r="AE1" s="61" t="s">
        <v>179</v>
      </c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</row>
    <row r="2" spans="1:45" s="2" customFormat="1" ht="19.5" customHeight="1">
      <c r="A2" s="63" t="s">
        <v>55</v>
      </c>
      <c r="B2" s="63"/>
      <c r="C2" s="63"/>
      <c r="D2" s="65"/>
      <c r="E2" s="66"/>
      <c r="F2" s="67"/>
      <c r="G2" s="65"/>
      <c r="H2" s="67"/>
      <c r="J2" s="71" t="s">
        <v>56</v>
      </c>
      <c r="K2" s="71"/>
      <c r="L2" s="71"/>
      <c r="M2" s="71"/>
      <c r="N2" s="73"/>
      <c r="O2" s="74"/>
      <c r="P2" s="75"/>
      <c r="Q2" s="73"/>
      <c r="R2" s="75"/>
      <c r="T2" s="90" t="s">
        <v>57</v>
      </c>
      <c r="U2" s="90"/>
      <c r="V2" s="90"/>
      <c r="W2" s="90"/>
      <c r="X2" s="90"/>
      <c r="Y2" s="92"/>
      <c r="Z2" s="93"/>
      <c r="AA2" s="94"/>
      <c r="AB2" s="92"/>
      <c r="AC2" s="94"/>
      <c r="AE2" s="54" t="s">
        <v>99</v>
      </c>
      <c r="AF2" s="55"/>
      <c r="AG2" s="56"/>
      <c r="AH2" s="81" t="s">
        <v>100</v>
      </c>
      <c r="AI2" s="82"/>
      <c r="AJ2" s="83"/>
      <c r="AK2" s="54" t="s">
        <v>101</v>
      </c>
      <c r="AL2" s="55"/>
      <c r="AM2" s="56"/>
      <c r="AN2" s="81" t="s">
        <v>102</v>
      </c>
      <c r="AO2" s="82"/>
      <c r="AP2" s="83"/>
      <c r="AQ2" s="54" t="s">
        <v>103</v>
      </c>
      <c r="AR2" s="55"/>
      <c r="AS2" s="56"/>
    </row>
    <row r="3" spans="1:45" ht="16.5" customHeight="1">
      <c r="A3" s="63"/>
      <c r="B3" s="63"/>
      <c r="C3" s="63"/>
      <c r="D3" s="68"/>
      <c r="E3" s="69"/>
      <c r="F3" s="70"/>
      <c r="G3" s="68"/>
      <c r="H3" s="70"/>
      <c r="J3" s="71"/>
      <c r="K3" s="71"/>
      <c r="L3" s="71"/>
      <c r="M3" s="71"/>
      <c r="N3" s="76"/>
      <c r="O3" s="77"/>
      <c r="P3" s="78"/>
      <c r="Q3" s="76"/>
      <c r="R3" s="78"/>
      <c r="T3" s="90"/>
      <c r="U3" s="90"/>
      <c r="V3" s="90"/>
      <c r="W3" s="90"/>
      <c r="X3" s="90"/>
      <c r="Y3" s="95"/>
      <c r="Z3" s="96"/>
      <c r="AA3" s="97"/>
      <c r="AB3" s="95"/>
      <c r="AC3" s="97"/>
      <c r="AE3" s="48" t="s">
        <v>178</v>
      </c>
      <c r="AF3" s="85" t="s">
        <v>177</v>
      </c>
      <c r="AG3" s="85"/>
      <c r="AH3" s="52" t="s">
        <v>178</v>
      </c>
      <c r="AI3" s="85" t="s">
        <v>177</v>
      </c>
      <c r="AJ3" s="85"/>
      <c r="AK3" s="52" t="s">
        <v>178</v>
      </c>
      <c r="AL3" s="85" t="s">
        <v>177</v>
      </c>
      <c r="AM3" s="85"/>
      <c r="AN3" s="52" t="s">
        <v>178</v>
      </c>
      <c r="AO3" s="85" t="s">
        <v>177</v>
      </c>
      <c r="AP3" s="85"/>
      <c r="AQ3" s="52" t="s">
        <v>178</v>
      </c>
      <c r="AR3" s="85" t="s">
        <v>177</v>
      </c>
      <c r="AS3" s="85"/>
    </row>
    <row r="4" spans="1:45" s="4" customFormat="1" ht="15.75" customHeight="1">
      <c r="A4" s="63"/>
      <c r="B4" s="64"/>
      <c r="C4" s="64"/>
      <c r="D4" s="19" t="s">
        <v>25</v>
      </c>
      <c r="E4" s="19" t="s">
        <v>26</v>
      </c>
      <c r="F4" s="19" t="s">
        <v>27</v>
      </c>
      <c r="G4" s="19" t="s">
        <v>28</v>
      </c>
      <c r="H4" s="19" t="s">
        <v>29</v>
      </c>
      <c r="J4" s="71"/>
      <c r="K4" s="72"/>
      <c r="L4" s="72"/>
      <c r="M4" s="72"/>
      <c r="N4" s="27" t="s">
        <v>25</v>
      </c>
      <c r="O4" s="27" t="s">
        <v>26</v>
      </c>
      <c r="P4" s="27" t="s">
        <v>27</v>
      </c>
      <c r="Q4" s="27" t="s">
        <v>28</v>
      </c>
      <c r="R4" s="27" t="s">
        <v>29</v>
      </c>
      <c r="T4" s="90"/>
      <c r="U4" s="91"/>
      <c r="V4" s="91"/>
      <c r="W4" s="91"/>
      <c r="X4" s="91"/>
      <c r="Y4" s="28" t="s">
        <v>25</v>
      </c>
      <c r="Z4" s="28" t="s">
        <v>26</v>
      </c>
      <c r="AA4" s="28" t="s">
        <v>27</v>
      </c>
      <c r="AB4" s="28" t="s">
        <v>28</v>
      </c>
      <c r="AC4" s="28" t="s">
        <v>29</v>
      </c>
      <c r="AE4" s="48"/>
      <c r="AF4" s="48" t="s">
        <v>0</v>
      </c>
      <c r="AG4" s="48" t="s">
        <v>1</v>
      </c>
      <c r="AH4" s="48"/>
      <c r="AI4" s="48" t="s">
        <v>0</v>
      </c>
      <c r="AJ4" s="48" t="s">
        <v>1</v>
      </c>
      <c r="AK4" s="48" t="s">
        <v>2</v>
      </c>
      <c r="AL4" s="48" t="s">
        <v>0</v>
      </c>
      <c r="AM4" s="48" t="s">
        <v>1</v>
      </c>
      <c r="AN4" s="49" t="s">
        <v>2</v>
      </c>
      <c r="AO4" s="49" t="s">
        <v>0</v>
      </c>
      <c r="AP4" s="49" t="s">
        <v>1</v>
      </c>
      <c r="AQ4" s="48" t="s">
        <v>2</v>
      </c>
      <c r="AR4" s="48" t="s">
        <v>0</v>
      </c>
      <c r="AS4" s="48" t="s">
        <v>1</v>
      </c>
    </row>
    <row r="5" spans="1:45">
      <c r="A5" s="24">
        <v>1</v>
      </c>
      <c r="B5" s="19" t="s">
        <v>30</v>
      </c>
      <c r="C5" s="19" t="s">
        <v>32</v>
      </c>
      <c r="D5" s="11">
        <v>306.01470552899906</v>
      </c>
      <c r="E5" s="9">
        <v>413</v>
      </c>
      <c r="F5" s="9">
        <v>370</v>
      </c>
      <c r="G5" s="9">
        <v>358.11311062288684</v>
      </c>
      <c r="H5" s="9">
        <v>373.01206414806478</v>
      </c>
      <c r="J5" s="21">
        <v>1</v>
      </c>
      <c r="K5" s="27" t="s">
        <v>30</v>
      </c>
      <c r="L5" s="27" t="s">
        <v>35</v>
      </c>
      <c r="M5" s="27" t="s">
        <v>38</v>
      </c>
      <c r="N5" s="9">
        <v>67.316596647716693</v>
      </c>
      <c r="O5" s="9">
        <v>72.191472922693677</v>
      </c>
      <c r="P5" s="9">
        <v>72.022594259826306</v>
      </c>
      <c r="Q5" s="9">
        <v>73.489284422916342</v>
      </c>
      <c r="R5" s="9">
        <v>69.366475747841776</v>
      </c>
      <c r="T5" s="23">
        <v>1</v>
      </c>
      <c r="U5" s="28" t="s">
        <v>30</v>
      </c>
      <c r="V5" s="28" t="s">
        <v>35</v>
      </c>
      <c r="W5" s="28" t="s">
        <v>37</v>
      </c>
      <c r="X5" s="28" t="s">
        <v>38</v>
      </c>
      <c r="Y5" s="11">
        <v>31824</v>
      </c>
      <c r="Z5" s="9">
        <v>47495</v>
      </c>
      <c r="AA5" s="9">
        <v>40700</v>
      </c>
      <c r="AB5" s="9">
        <v>29356</v>
      </c>
      <c r="AC5" s="9">
        <v>44387</v>
      </c>
      <c r="AE5" s="48" t="s">
        <v>3</v>
      </c>
      <c r="AF5" s="29">
        <v>603</v>
      </c>
      <c r="AG5" s="29">
        <v>550</v>
      </c>
      <c r="AH5" s="48" t="s">
        <v>3</v>
      </c>
      <c r="AI5" s="29">
        <v>600</v>
      </c>
      <c r="AJ5" s="29">
        <v>409</v>
      </c>
      <c r="AK5" s="48" t="s">
        <v>3</v>
      </c>
      <c r="AL5" s="29">
        <v>600</v>
      </c>
      <c r="AM5" s="29">
        <v>475</v>
      </c>
      <c r="AN5" s="48" t="s">
        <v>3</v>
      </c>
      <c r="AO5" s="29">
        <v>600</v>
      </c>
      <c r="AP5" s="29">
        <v>489</v>
      </c>
      <c r="AQ5" s="48" t="s">
        <v>3</v>
      </c>
      <c r="AR5" s="29">
        <v>603</v>
      </c>
      <c r="AS5" s="29">
        <v>485</v>
      </c>
    </row>
    <row r="6" spans="1:45">
      <c r="A6" s="24">
        <v>2</v>
      </c>
      <c r="B6" s="19" t="s">
        <v>30</v>
      </c>
      <c r="C6" s="19" t="s">
        <v>33</v>
      </c>
      <c r="D6" s="11">
        <v>411.01094875927578</v>
      </c>
      <c r="E6" s="9">
        <v>540</v>
      </c>
      <c r="F6" s="9">
        <v>489</v>
      </c>
      <c r="G6" s="9">
        <v>475.00947358973798</v>
      </c>
      <c r="H6" s="9">
        <v>468</v>
      </c>
      <c r="J6" s="21">
        <v>2</v>
      </c>
      <c r="K6" s="27" t="s">
        <v>31</v>
      </c>
      <c r="L6" s="27" t="s">
        <v>41</v>
      </c>
      <c r="M6" s="27" t="s">
        <v>34</v>
      </c>
      <c r="N6" s="9">
        <v>85.35716777184436</v>
      </c>
      <c r="O6" s="9">
        <v>86.372232428842096</v>
      </c>
      <c r="P6" s="9">
        <v>100.77191442396354</v>
      </c>
      <c r="Q6" s="9">
        <v>96.665331970547626</v>
      </c>
      <c r="R6" s="9">
        <v>87.205097458095452</v>
      </c>
      <c r="T6" s="23">
        <v>2</v>
      </c>
      <c r="U6" s="28" t="s">
        <v>31</v>
      </c>
      <c r="V6" s="28" t="s">
        <v>41</v>
      </c>
      <c r="W6" s="28" t="s">
        <v>34</v>
      </c>
      <c r="X6" s="28" t="s">
        <v>42</v>
      </c>
      <c r="Y6" s="11">
        <v>206010</v>
      </c>
      <c r="Z6" s="9">
        <v>275247</v>
      </c>
      <c r="AA6" s="9">
        <v>187530</v>
      </c>
      <c r="AB6" s="9">
        <v>193480</v>
      </c>
      <c r="AC6" s="9">
        <v>230045</v>
      </c>
      <c r="AE6" s="48" t="s">
        <v>4</v>
      </c>
      <c r="AF6" s="29">
        <v>496</v>
      </c>
      <c r="AG6" s="29">
        <v>806</v>
      </c>
      <c r="AH6" s="48" t="s">
        <v>4</v>
      </c>
      <c r="AI6" s="29">
        <v>485</v>
      </c>
      <c r="AJ6" s="29">
        <v>767</v>
      </c>
      <c r="AK6" s="48" t="s">
        <v>4</v>
      </c>
      <c r="AL6" s="29">
        <v>490</v>
      </c>
      <c r="AM6" s="29">
        <v>814</v>
      </c>
      <c r="AN6" s="48" t="s">
        <v>4</v>
      </c>
      <c r="AO6" s="29">
        <v>509</v>
      </c>
      <c r="AP6" s="29">
        <v>796</v>
      </c>
      <c r="AQ6" s="48" t="s">
        <v>4</v>
      </c>
      <c r="AR6" s="29">
        <v>481</v>
      </c>
      <c r="AS6" s="29">
        <v>809</v>
      </c>
    </row>
    <row r="7" spans="1:45">
      <c r="A7" s="24">
        <v>3</v>
      </c>
      <c r="B7" s="19" t="s">
        <v>31</v>
      </c>
      <c r="C7" s="19" t="s">
        <v>34</v>
      </c>
      <c r="D7" s="11">
        <v>630.00714281665091</v>
      </c>
      <c r="E7" s="9">
        <v>771</v>
      </c>
      <c r="F7" s="9">
        <v>705</v>
      </c>
      <c r="G7" s="9">
        <v>691</v>
      </c>
      <c r="H7" s="9">
        <v>695.00647478998349</v>
      </c>
      <c r="J7" s="21">
        <v>3</v>
      </c>
      <c r="K7" s="27" t="s">
        <v>31</v>
      </c>
      <c r="L7" s="27" t="s">
        <v>44</v>
      </c>
      <c r="M7" s="27" t="s">
        <v>37</v>
      </c>
      <c r="N7" s="9">
        <v>43.603447565118017</v>
      </c>
      <c r="O7" s="9">
        <v>50.028996847744615</v>
      </c>
      <c r="P7" s="9">
        <v>57.575953122442151</v>
      </c>
      <c r="Q7" s="9">
        <v>53.322182574567989</v>
      </c>
      <c r="R7" s="9">
        <v>45.538822600261632</v>
      </c>
      <c r="T7" s="23">
        <v>3</v>
      </c>
      <c r="U7" s="28" t="s">
        <v>41</v>
      </c>
      <c r="V7" s="28" t="s">
        <v>39</v>
      </c>
      <c r="W7" s="28" t="s">
        <v>34</v>
      </c>
      <c r="X7" s="28" t="s">
        <v>42</v>
      </c>
      <c r="Y7" s="11">
        <v>81811.5</v>
      </c>
      <c r="Z7" s="9">
        <v>73132.5</v>
      </c>
      <c r="AA7" s="9">
        <v>61349.5</v>
      </c>
      <c r="AB7" s="9">
        <v>65870</v>
      </c>
      <c r="AC7" s="9">
        <v>72284</v>
      </c>
      <c r="AE7" s="48" t="s">
        <v>5</v>
      </c>
      <c r="AF7" s="29">
        <v>600</v>
      </c>
      <c r="AG7" s="29">
        <v>856</v>
      </c>
      <c r="AH7" s="48" t="s">
        <v>5</v>
      </c>
      <c r="AI7" s="29">
        <v>600</v>
      </c>
      <c r="AJ7" s="29">
        <v>822</v>
      </c>
      <c r="AK7" s="48" t="s">
        <v>5</v>
      </c>
      <c r="AL7" s="29">
        <v>600</v>
      </c>
      <c r="AM7" s="29">
        <v>845</v>
      </c>
      <c r="AN7" s="48" t="s">
        <v>5</v>
      </c>
      <c r="AO7" s="29">
        <v>591</v>
      </c>
      <c r="AP7" s="29">
        <v>847</v>
      </c>
      <c r="AQ7" s="48" t="s">
        <v>5</v>
      </c>
      <c r="AR7" s="29">
        <v>600</v>
      </c>
      <c r="AS7" s="29">
        <v>858</v>
      </c>
    </row>
    <row r="8" spans="1:45" ht="15.75" customHeight="1">
      <c r="A8" s="24">
        <v>4</v>
      </c>
      <c r="B8" s="19" t="s">
        <v>35</v>
      </c>
      <c r="C8" s="19" t="s">
        <v>38</v>
      </c>
      <c r="D8" s="11">
        <v>208</v>
      </c>
      <c r="E8" s="9">
        <v>230</v>
      </c>
      <c r="F8" s="9">
        <v>220</v>
      </c>
      <c r="G8" s="9">
        <v>164</v>
      </c>
      <c r="H8" s="9">
        <v>238</v>
      </c>
      <c r="J8" s="21">
        <v>4</v>
      </c>
      <c r="K8" s="27" t="s">
        <v>35</v>
      </c>
      <c r="L8" s="27" t="s">
        <v>37</v>
      </c>
      <c r="M8" s="27" t="s">
        <v>38</v>
      </c>
      <c r="N8" s="9">
        <v>128.64636863632359</v>
      </c>
      <c r="O8" s="9">
        <v>128.88006965635239</v>
      </c>
      <c r="P8" s="9">
        <v>148.52239712510104</v>
      </c>
      <c r="Q8" s="9">
        <v>116.24080630595454</v>
      </c>
      <c r="R8" s="9">
        <v>135.23972989608089</v>
      </c>
      <c r="T8" s="23">
        <v>4</v>
      </c>
      <c r="U8" s="28" t="s">
        <v>46</v>
      </c>
      <c r="V8" s="28" t="s">
        <v>43</v>
      </c>
      <c r="W8" s="28" t="s">
        <v>33</v>
      </c>
      <c r="X8" s="28" t="s">
        <v>47</v>
      </c>
      <c r="Y8" s="11">
        <v>384952.5</v>
      </c>
      <c r="Z8" s="9">
        <v>433097</v>
      </c>
      <c r="AA8" s="9">
        <v>359944.5</v>
      </c>
      <c r="AB8" s="9">
        <v>419352</v>
      </c>
      <c r="AC8" s="9">
        <v>505219</v>
      </c>
      <c r="AE8" s="48" t="s">
        <v>6</v>
      </c>
      <c r="AF8" s="29">
        <f>AF7+(AF7-AF6)</f>
        <v>704</v>
      </c>
      <c r="AG8" s="29">
        <f>AG6</f>
        <v>806</v>
      </c>
      <c r="AH8" s="48" t="s">
        <v>6</v>
      </c>
      <c r="AI8" s="29">
        <f>AI7+(AI7-AI6)</f>
        <v>715</v>
      </c>
      <c r="AJ8" s="29">
        <f>AJ6</f>
        <v>767</v>
      </c>
      <c r="AK8" s="48" t="s">
        <v>6</v>
      </c>
      <c r="AL8" s="29">
        <f t="shared" ref="AL8" si="0">AL7+(AL7-AL6)</f>
        <v>710</v>
      </c>
      <c r="AM8" s="29">
        <f t="shared" ref="AM8" si="1">AM6</f>
        <v>814</v>
      </c>
      <c r="AN8" s="48" t="s">
        <v>6</v>
      </c>
      <c r="AO8" s="29">
        <f t="shared" ref="AO8" si="2">AO7+(AO7-AO6)</f>
        <v>673</v>
      </c>
      <c r="AP8" s="29">
        <f t="shared" ref="AP8" si="3">AP6</f>
        <v>796</v>
      </c>
      <c r="AQ8" s="48" t="s">
        <v>6</v>
      </c>
      <c r="AR8" s="29">
        <f t="shared" ref="AR8" si="4">AR7+(AR7-AR6)</f>
        <v>719</v>
      </c>
      <c r="AS8" s="29">
        <f t="shared" ref="AS8" si="5">AS6</f>
        <v>809</v>
      </c>
    </row>
    <row r="9" spans="1:45" ht="15.75" customHeight="1">
      <c r="A9" s="24">
        <v>5</v>
      </c>
      <c r="B9" s="19" t="s">
        <v>36</v>
      </c>
      <c r="C9" s="19" t="s">
        <v>33</v>
      </c>
      <c r="D9" s="11">
        <v>105</v>
      </c>
      <c r="E9" s="9">
        <v>127</v>
      </c>
      <c r="F9" s="9">
        <v>119</v>
      </c>
      <c r="G9" s="9">
        <v>117.61377470347595</v>
      </c>
      <c r="H9" s="9">
        <v>95.047356617635614</v>
      </c>
      <c r="J9" s="21">
        <v>5</v>
      </c>
      <c r="K9" s="27" t="s">
        <v>39</v>
      </c>
      <c r="L9" s="27" t="s">
        <v>34</v>
      </c>
      <c r="M9" s="27" t="s">
        <v>61</v>
      </c>
      <c r="N9" s="9">
        <v>153.63406968291827</v>
      </c>
      <c r="O9" s="9">
        <v>148.95177800649145</v>
      </c>
      <c r="P9" s="9">
        <v>121.34564101908639</v>
      </c>
      <c r="Q9" s="9">
        <v>145.86519036307121</v>
      </c>
      <c r="R9" s="9">
        <v>149.12070892936148</v>
      </c>
      <c r="T9" s="23">
        <v>5</v>
      </c>
      <c r="U9" s="28" t="s">
        <v>48</v>
      </c>
      <c r="V9" s="28" t="s">
        <v>43</v>
      </c>
      <c r="W9" s="28" t="s">
        <v>34</v>
      </c>
      <c r="X9" s="28" t="s">
        <v>44</v>
      </c>
      <c r="Y9" s="11">
        <v>390528</v>
      </c>
      <c r="Z9" s="9">
        <v>416150</v>
      </c>
      <c r="AA9" s="9">
        <v>346320</v>
      </c>
      <c r="AB9" s="9">
        <v>328238</v>
      </c>
      <c r="AC9" s="9">
        <v>460852</v>
      </c>
      <c r="AE9" s="48" t="s">
        <v>77</v>
      </c>
      <c r="AF9" s="29">
        <v>600</v>
      </c>
      <c r="AG9" s="29">
        <v>961</v>
      </c>
      <c r="AH9" s="48" t="s">
        <v>77</v>
      </c>
      <c r="AI9" s="29">
        <v>600</v>
      </c>
      <c r="AJ9" s="29">
        <v>949</v>
      </c>
      <c r="AK9" s="48" t="s">
        <v>77</v>
      </c>
      <c r="AL9" s="29">
        <v>600</v>
      </c>
      <c r="AM9" s="29">
        <v>964</v>
      </c>
      <c r="AN9" s="48" t="s">
        <v>77</v>
      </c>
      <c r="AO9" s="29">
        <v>603</v>
      </c>
      <c r="AP9" s="29">
        <v>964</v>
      </c>
      <c r="AQ9" s="48" t="s">
        <v>77</v>
      </c>
      <c r="AR9" s="29">
        <v>603</v>
      </c>
      <c r="AS9" s="29">
        <v>953</v>
      </c>
    </row>
    <row r="10" spans="1:45">
      <c r="A10" s="24">
        <v>6</v>
      </c>
      <c r="B10" s="19" t="s">
        <v>37</v>
      </c>
      <c r="C10" s="19" t="s">
        <v>34</v>
      </c>
      <c r="D10" s="11">
        <v>324</v>
      </c>
      <c r="E10" s="9">
        <v>358</v>
      </c>
      <c r="F10" s="9">
        <v>335</v>
      </c>
      <c r="G10" s="9">
        <v>333.12159941979144</v>
      </c>
      <c r="H10" s="9">
        <v>322</v>
      </c>
      <c r="J10" s="21">
        <v>6</v>
      </c>
      <c r="K10" s="27" t="s">
        <v>40</v>
      </c>
      <c r="L10" s="27" t="s">
        <v>34</v>
      </c>
      <c r="M10" s="27" t="s">
        <v>62</v>
      </c>
      <c r="N10" s="9">
        <v>13.182965158540869</v>
      </c>
      <c r="O10" s="9">
        <v>15.524110996754242</v>
      </c>
      <c r="P10" s="9">
        <v>29.327179490456835</v>
      </c>
      <c r="Q10" s="9">
        <v>17.067404818464386</v>
      </c>
      <c r="R10" s="9">
        <v>15.439645535319276</v>
      </c>
      <c r="T10" s="23">
        <v>6</v>
      </c>
      <c r="U10" s="28" t="s">
        <v>52</v>
      </c>
      <c r="V10" s="28" t="s">
        <v>53</v>
      </c>
      <c r="W10" s="28" t="s">
        <v>54</v>
      </c>
      <c r="X10" s="28" t="s">
        <v>50</v>
      </c>
      <c r="Y10" s="11">
        <v>2566</v>
      </c>
      <c r="Z10" s="9">
        <v>3922</v>
      </c>
      <c r="AA10" s="9">
        <v>5616</v>
      </c>
      <c r="AB10" s="9">
        <v>3864</v>
      </c>
      <c r="AC10" s="9">
        <v>4292.5</v>
      </c>
      <c r="AE10" s="48" t="s">
        <v>8</v>
      </c>
      <c r="AF10" s="29">
        <v>489</v>
      </c>
      <c r="AG10" s="29">
        <v>1154</v>
      </c>
      <c r="AH10" s="48" t="s">
        <v>8</v>
      </c>
      <c r="AI10" s="29">
        <v>474</v>
      </c>
      <c r="AJ10" s="29">
        <v>1145</v>
      </c>
      <c r="AK10" s="48" t="s">
        <v>8</v>
      </c>
      <c r="AL10" s="29">
        <v>511</v>
      </c>
      <c r="AM10" s="29">
        <v>1130</v>
      </c>
      <c r="AN10" s="48" t="s">
        <v>8</v>
      </c>
      <c r="AO10" s="29">
        <v>486</v>
      </c>
      <c r="AP10" s="29">
        <v>1145</v>
      </c>
      <c r="AQ10" s="48" t="s">
        <v>8</v>
      </c>
      <c r="AR10" s="29">
        <v>495</v>
      </c>
      <c r="AS10" s="29">
        <v>1151</v>
      </c>
    </row>
    <row r="11" spans="1:45">
      <c r="A11" s="24">
        <v>7</v>
      </c>
      <c r="B11" s="19" t="s">
        <v>39</v>
      </c>
      <c r="C11" s="19" t="s">
        <v>40</v>
      </c>
      <c r="D11" s="11">
        <v>222</v>
      </c>
      <c r="E11" s="9">
        <v>252</v>
      </c>
      <c r="F11" s="9">
        <v>178</v>
      </c>
      <c r="G11" s="9">
        <v>228</v>
      </c>
      <c r="H11" s="9">
        <v>210</v>
      </c>
      <c r="J11" s="21">
        <v>7</v>
      </c>
      <c r="K11" s="27" t="s">
        <v>41</v>
      </c>
      <c r="L11" s="27" t="s">
        <v>34</v>
      </c>
      <c r="M11" s="27" t="s">
        <v>62</v>
      </c>
      <c r="N11" s="9">
        <v>145.46917425771142</v>
      </c>
      <c r="O11" s="9">
        <v>152.10272896905238</v>
      </c>
      <c r="P11" s="9">
        <v>140.53509099234955</v>
      </c>
      <c r="Q11" s="9">
        <v>143.13010235415595</v>
      </c>
      <c r="R11" s="9">
        <v>148.73175149211104</v>
      </c>
      <c r="T11" s="23">
        <v>7</v>
      </c>
      <c r="U11" s="35" t="s">
        <v>76</v>
      </c>
      <c r="V11" s="35" t="s">
        <v>73</v>
      </c>
      <c r="W11" s="35" t="s">
        <v>75</v>
      </c>
      <c r="X11" s="35" t="s">
        <v>74</v>
      </c>
      <c r="Y11" s="11">
        <v>5309.5</v>
      </c>
      <c r="Z11" s="9">
        <v>3272.5</v>
      </c>
      <c r="AA11" s="9">
        <v>2676</v>
      </c>
      <c r="AB11" s="9">
        <v>3707.5</v>
      </c>
      <c r="AC11" s="9">
        <v>3594</v>
      </c>
      <c r="AE11" s="48" t="s">
        <v>9</v>
      </c>
      <c r="AF11" s="29">
        <v>600</v>
      </c>
      <c r="AG11" s="29">
        <v>1180</v>
      </c>
      <c r="AH11" s="48" t="s">
        <v>9</v>
      </c>
      <c r="AI11" s="29">
        <v>600</v>
      </c>
      <c r="AJ11" s="29">
        <v>1180</v>
      </c>
      <c r="AK11" s="48" t="s">
        <v>9</v>
      </c>
      <c r="AL11" s="29">
        <v>600</v>
      </c>
      <c r="AM11" s="29">
        <v>1180</v>
      </c>
      <c r="AN11" s="48" t="s">
        <v>9</v>
      </c>
      <c r="AO11" s="29">
        <v>600</v>
      </c>
      <c r="AP11" s="29">
        <v>1180</v>
      </c>
      <c r="AQ11" s="48" t="s">
        <v>9</v>
      </c>
      <c r="AR11" s="29">
        <v>600</v>
      </c>
      <c r="AS11" s="29">
        <v>1180</v>
      </c>
    </row>
    <row r="12" spans="1:45">
      <c r="A12" s="24">
        <v>8</v>
      </c>
      <c r="B12" s="19" t="s">
        <v>41</v>
      </c>
      <c r="C12" s="19" t="s">
        <v>42</v>
      </c>
      <c r="D12" s="11">
        <v>654</v>
      </c>
      <c r="E12" s="9">
        <v>714</v>
      </c>
      <c r="F12" s="9">
        <v>532</v>
      </c>
      <c r="G12" s="9">
        <v>560</v>
      </c>
      <c r="H12" s="9">
        <v>662</v>
      </c>
      <c r="J12" s="21">
        <v>8</v>
      </c>
      <c r="K12" s="27" t="s">
        <v>42</v>
      </c>
      <c r="L12" s="27" t="s">
        <v>34</v>
      </c>
      <c r="M12" s="27" t="s">
        <v>62</v>
      </c>
      <c r="N12" s="9">
        <v>34.530825742288577</v>
      </c>
      <c r="O12" s="9">
        <v>27.897271030947618</v>
      </c>
      <c r="P12" s="9">
        <v>39.464909007650441</v>
      </c>
      <c r="Q12" s="9">
        <v>36.869897645844013</v>
      </c>
      <c r="R12" s="9">
        <v>31.268248507888995</v>
      </c>
      <c r="T12" s="23">
        <v>8</v>
      </c>
      <c r="U12" s="28"/>
      <c r="V12" s="28"/>
      <c r="W12" s="28"/>
      <c r="X12" s="28"/>
      <c r="Y12" s="11"/>
      <c r="Z12" s="9"/>
      <c r="AA12" s="9"/>
      <c r="AB12" s="9"/>
      <c r="AC12" s="9"/>
      <c r="AE12" s="48" t="s">
        <v>10</v>
      </c>
      <c r="AF12" s="29">
        <f>AF11+(AF11-AF10)</f>
        <v>711</v>
      </c>
      <c r="AG12" s="29">
        <f>AG10</f>
        <v>1154</v>
      </c>
      <c r="AH12" s="48" t="s">
        <v>10</v>
      </c>
      <c r="AI12" s="29">
        <f>AI11+(AI11-AI10)</f>
        <v>726</v>
      </c>
      <c r="AJ12" s="29">
        <f>AJ10</f>
        <v>1145</v>
      </c>
      <c r="AK12" s="48" t="s">
        <v>10</v>
      </c>
      <c r="AL12" s="29">
        <f t="shared" ref="AL12" si="6">AL11+(AL11-AL10)</f>
        <v>689</v>
      </c>
      <c r="AM12" s="29">
        <f t="shared" ref="AM12" si="7">AM10</f>
        <v>1130</v>
      </c>
      <c r="AN12" s="48" t="s">
        <v>10</v>
      </c>
      <c r="AO12" s="29">
        <f t="shared" ref="AO12" si="8">AO11+(AO11-AO10)</f>
        <v>714</v>
      </c>
      <c r="AP12" s="29">
        <f t="shared" ref="AP12" si="9">AP10</f>
        <v>1145</v>
      </c>
      <c r="AQ12" s="48" t="s">
        <v>10</v>
      </c>
      <c r="AR12" s="29">
        <f t="shared" ref="AR12" si="10">AR11+(AR11-AR10)</f>
        <v>705</v>
      </c>
      <c r="AS12" s="29">
        <f t="shared" ref="AS12" si="11">AS10</f>
        <v>1151</v>
      </c>
    </row>
    <row r="13" spans="1:45">
      <c r="A13" s="24">
        <v>9</v>
      </c>
      <c r="B13" s="19" t="s">
        <v>43</v>
      </c>
      <c r="C13" s="19" t="s">
        <v>44</v>
      </c>
      <c r="D13" s="11">
        <v>768</v>
      </c>
      <c r="E13" s="9">
        <v>812</v>
      </c>
      <c r="F13" s="9">
        <v>666</v>
      </c>
      <c r="G13" s="9">
        <v>674</v>
      </c>
      <c r="H13" s="9">
        <v>872</v>
      </c>
      <c r="J13" s="21">
        <v>9</v>
      </c>
      <c r="K13" s="27" t="s">
        <v>43</v>
      </c>
      <c r="L13" s="27" t="s">
        <v>41</v>
      </c>
      <c r="M13" s="27" t="s">
        <v>34</v>
      </c>
      <c r="N13" s="9">
        <v>137.42456978717078</v>
      </c>
      <c r="O13" s="9">
        <v>129.43656889107282</v>
      </c>
      <c r="P13" s="9">
        <v>143.86214720959535</v>
      </c>
      <c r="Q13" s="9">
        <v>141.52286411404319</v>
      </c>
      <c r="R13" s="9">
        <v>145.34374676296787</v>
      </c>
      <c r="T13" s="23">
        <v>9</v>
      </c>
      <c r="U13" s="28"/>
      <c r="V13" s="28"/>
      <c r="W13" s="28"/>
      <c r="X13" s="28"/>
      <c r="Y13" s="11"/>
      <c r="Z13" s="9"/>
      <c r="AA13" s="9"/>
      <c r="AB13" s="9"/>
      <c r="AC13" s="9"/>
      <c r="AE13" s="48" t="s">
        <v>11</v>
      </c>
      <c r="AF13" s="29">
        <v>273</v>
      </c>
      <c r="AG13" s="29">
        <v>955</v>
      </c>
      <c r="AH13" s="48" t="s">
        <v>11</v>
      </c>
      <c r="AI13" s="29">
        <v>243</v>
      </c>
      <c r="AJ13" s="29">
        <v>991</v>
      </c>
      <c r="AK13" s="48" t="s">
        <v>11</v>
      </c>
      <c r="AL13" s="29">
        <v>334</v>
      </c>
      <c r="AM13" s="29">
        <v>961</v>
      </c>
      <c r="AN13" s="48" t="s">
        <v>11</v>
      </c>
      <c r="AO13" s="29">
        <v>320</v>
      </c>
      <c r="AP13" s="29">
        <v>970</v>
      </c>
      <c r="AQ13" s="48" t="s">
        <v>11</v>
      </c>
      <c r="AR13" s="29">
        <v>269</v>
      </c>
      <c r="AS13" s="29">
        <v>979</v>
      </c>
    </row>
    <row r="14" spans="1:45">
      <c r="A14" s="24">
        <v>10</v>
      </c>
      <c r="B14" s="19" t="s">
        <v>45</v>
      </c>
      <c r="C14" s="19" t="s">
        <v>43</v>
      </c>
      <c r="D14" s="11">
        <v>62.072538211353979</v>
      </c>
      <c r="E14" s="9">
        <v>71.344235926947874</v>
      </c>
      <c r="F14" s="9">
        <v>48.052055106935853</v>
      </c>
      <c r="G14" s="9">
        <v>57.384666941614292</v>
      </c>
      <c r="H14" s="9">
        <v>67.029844099475568</v>
      </c>
      <c r="J14" s="21">
        <v>10</v>
      </c>
      <c r="K14" s="27" t="s">
        <v>44</v>
      </c>
      <c r="L14" s="27" t="s">
        <v>32</v>
      </c>
      <c r="M14" s="27" t="s">
        <v>62</v>
      </c>
      <c r="N14" s="9">
        <v>50.5254883616672</v>
      </c>
      <c r="O14" s="9">
        <v>41.604000385902431</v>
      </c>
      <c r="P14" s="9">
        <v>53.540153406158687</v>
      </c>
      <c r="Q14" s="9">
        <v>44.835455234906185</v>
      </c>
      <c r="R14" s="9">
        <v>43.690792887078523</v>
      </c>
      <c r="T14" s="23">
        <v>10</v>
      </c>
      <c r="U14" s="28"/>
      <c r="V14" s="28"/>
      <c r="W14" s="28"/>
      <c r="X14" s="28"/>
      <c r="Y14" s="11"/>
      <c r="Z14" s="9"/>
      <c r="AA14" s="9"/>
      <c r="AB14" s="9"/>
      <c r="AC14" s="9"/>
      <c r="AE14" s="48" t="s">
        <v>12</v>
      </c>
      <c r="AF14" s="29">
        <f>600+(600-AF13)</f>
        <v>927</v>
      </c>
      <c r="AG14" s="29">
        <f>AG13</f>
        <v>955</v>
      </c>
      <c r="AH14" s="48" t="s">
        <v>12</v>
      </c>
      <c r="AI14" s="29">
        <f>600+(600-AI13)</f>
        <v>957</v>
      </c>
      <c r="AJ14" s="29">
        <f>AJ13</f>
        <v>991</v>
      </c>
      <c r="AK14" s="48" t="s">
        <v>12</v>
      </c>
      <c r="AL14" s="29">
        <f t="shared" ref="AL14" si="12">600+(600-AL13)</f>
        <v>866</v>
      </c>
      <c r="AM14" s="29">
        <f t="shared" ref="AM14" si="13">AM13</f>
        <v>961</v>
      </c>
      <c r="AN14" s="48" t="s">
        <v>12</v>
      </c>
      <c r="AO14" s="29">
        <f t="shared" ref="AO14" si="14">600+(600-AO13)</f>
        <v>880</v>
      </c>
      <c r="AP14" s="29">
        <f t="shared" ref="AP14" si="15">AP13</f>
        <v>970</v>
      </c>
      <c r="AQ14" s="48" t="s">
        <v>12</v>
      </c>
      <c r="AR14" s="29">
        <f t="shared" ref="AR14" si="16">600+(600-AR13)</f>
        <v>931</v>
      </c>
      <c r="AS14" s="29">
        <f t="shared" ref="AS14" si="17">AS13</f>
        <v>979</v>
      </c>
    </row>
    <row r="15" spans="1:45">
      <c r="A15" s="24">
        <v>11</v>
      </c>
      <c r="B15" s="19" t="s">
        <v>46</v>
      </c>
      <c r="C15" s="19" t="s">
        <v>47</v>
      </c>
      <c r="D15" s="11">
        <v>726</v>
      </c>
      <c r="E15" s="9">
        <v>774</v>
      </c>
      <c r="F15" s="9">
        <v>634</v>
      </c>
      <c r="G15" s="9">
        <v>768</v>
      </c>
      <c r="H15" s="9">
        <v>804</v>
      </c>
      <c r="J15" s="21">
        <v>11</v>
      </c>
      <c r="K15" s="27" t="s">
        <v>44</v>
      </c>
      <c r="L15" s="27" t="s">
        <v>33</v>
      </c>
      <c r="M15" s="27" t="s">
        <v>62</v>
      </c>
      <c r="N15" s="9">
        <v>54.272490415956824</v>
      </c>
      <c r="O15" s="9">
        <v>47.713983460485913</v>
      </c>
      <c r="P15" s="9">
        <v>58.83315205549475</v>
      </c>
      <c r="Q15" s="9">
        <v>52.927935341930834</v>
      </c>
      <c r="R15" s="9">
        <v>47.241008379639823</v>
      </c>
      <c r="T15" s="23">
        <v>11</v>
      </c>
      <c r="U15" s="28"/>
      <c r="V15" s="28"/>
      <c r="W15" s="28"/>
      <c r="X15" s="28"/>
      <c r="Y15" s="11"/>
      <c r="Z15" s="9"/>
      <c r="AA15" s="9"/>
      <c r="AB15" s="9"/>
      <c r="AC15" s="9"/>
      <c r="AE15" s="48" t="s">
        <v>13</v>
      </c>
      <c r="AF15" s="29">
        <v>216</v>
      </c>
      <c r="AG15" s="29">
        <v>706</v>
      </c>
      <c r="AH15" s="48" t="s">
        <v>13</v>
      </c>
      <c r="AI15" s="29">
        <v>194</v>
      </c>
      <c r="AJ15" s="29">
        <v>751</v>
      </c>
      <c r="AK15" s="48" t="s">
        <v>13</v>
      </c>
      <c r="AL15" s="29">
        <v>267</v>
      </c>
      <c r="AM15" s="29">
        <v>700</v>
      </c>
      <c r="AN15" s="48" t="s">
        <v>13</v>
      </c>
      <c r="AO15" s="29">
        <v>263</v>
      </c>
      <c r="AP15" s="29">
        <v>752</v>
      </c>
      <c r="AQ15" s="48" t="s">
        <v>13</v>
      </c>
      <c r="AR15" s="29">
        <v>164</v>
      </c>
      <c r="AS15" s="29">
        <v>744</v>
      </c>
    </row>
    <row r="16" spans="1:45" ht="15.75" customHeight="1">
      <c r="A16" s="24">
        <v>12</v>
      </c>
      <c r="B16" s="19" t="s">
        <v>48</v>
      </c>
      <c r="C16" s="19" t="s">
        <v>31</v>
      </c>
      <c r="D16" s="11">
        <v>387.01162773229436</v>
      </c>
      <c r="E16" s="9">
        <v>254.95097567963924</v>
      </c>
      <c r="F16" s="9">
        <v>335.01343256651666</v>
      </c>
      <c r="G16" s="9">
        <v>283.51014091210214</v>
      </c>
      <c r="H16" s="9">
        <v>362.93250061133955</v>
      </c>
      <c r="J16" s="21">
        <v>12</v>
      </c>
      <c r="K16" s="27" t="s">
        <v>47</v>
      </c>
      <c r="L16" s="27" t="s">
        <v>30</v>
      </c>
      <c r="M16" s="27" t="s">
        <v>62</v>
      </c>
      <c r="N16" s="9">
        <v>92.987780521666593</v>
      </c>
      <c r="O16" s="9">
        <v>86.839404017016278</v>
      </c>
      <c r="P16" s="9">
        <v>97.728584602355127</v>
      </c>
      <c r="Q16" s="9">
        <v>92.824223211630311</v>
      </c>
      <c r="R16" s="9">
        <v>96.287766102647851</v>
      </c>
      <c r="T16" s="23">
        <v>12</v>
      </c>
      <c r="U16" s="28"/>
      <c r="V16" s="28"/>
      <c r="W16" s="28"/>
      <c r="X16" s="28"/>
      <c r="Y16" s="11"/>
      <c r="Z16" s="9"/>
      <c r="AA16" s="9"/>
      <c r="AB16" s="9"/>
      <c r="AC16" s="9"/>
      <c r="AE16" s="48" t="s">
        <v>14</v>
      </c>
      <c r="AF16" s="29">
        <f>600+(600-AF15)</f>
        <v>984</v>
      </c>
      <c r="AG16" s="29">
        <f>AG15</f>
        <v>706</v>
      </c>
      <c r="AH16" s="48" t="s">
        <v>14</v>
      </c>
      <c r="AI16" s="29">
        <f>600+(600-AI15)</f>
        <v>1006</v>
      </c>
      <c r="AJ16" s="29">
        <f>AJ15</f>
        <v>751</v>
      </c>
      <c r="AK16" s="48" t="s">
        <v>14</v>
      </c>
      <c r="AL16" s="29">
        <f t="shared" ref="AL16" si="18">600+(600-AL15)</f>
        <v>933</v>
      </c>
      <c r="AM16" s="29">
        <f t="shared" ref="AM16" si="19">AM15</f>
        <v>700</v>
      </c>
      <c r="AN16" s="48" t="s">
        <v>14</v>
      </c>
      <c r="AO16" s="29">
        <f t="shared" ref="AO16" si="20">600+(600-AO15)</f>
        <v>937</v>
      </c>
      <c r="AP16" s="29">
        <f t="shared" ref="AP16" si="21">AP15</f>
        <v>752</v>
      </c>
      <c r="AQ16" s="48" t="s">
        <v>14</v>
      </c>
      <c r="AR16" s="29">
        <f t="shared" ref="AR16" si="22">600+(600-AR15)</f>
        <v>1036</v>
      </c>
      <c r="AS16" s="29">
        <f t="shared" ref="AS16" si="23">AS15</f>
        <v>744</v>
      </c>
    </row>
    <row r="17" spans="1:45" ht="15.75" customHeight="1">
      <c r="A17" s="24">
        <v>13</v>
      </c>
      <c r="B17" s="19" t="s">
        <v>49</v>
      </c>
      <c r="C17" s="19" t="s">
        <v>37</v>
      </c>
      <c r="D17" s="11">
        <v>693</v>
      </c>
      <c r="E17" s="9">
        <v>667.36271996568701</v>
      </c>
      <c r="F17" s="9">
        <v>705.00638294982832</v>
      </c>
      <c r="G17" s="9">
        <v>641.04992005303302</v>
      </c>
      <c r="H17" s="9">
        <v>735.35977589204595</v>
      </c>
      <c r="J17" s="21">
        <v>13</v>
      </c>
      <c r="K17" s="27" t="s">
        <v>47</v>
      </c>
      <c r="L17" s="27" t="s">
        <v>48</v>
      </c>
      <c r="M17" s="27" t="s">
        <v>62</v>
      </c>
      <c r="N17" s="9">
        <v>56.99273806633073</v>
      </c>
      <c r="O17" s="9">
        <v>60.273958993069392</v>
      </c>
      <c r="P17" s="9">
        <v>62.255232626949713</v>
      </c>
      <c r="Q17" s="9">
        <v>68.811773493714171</v>
      </c>
      <c r="R17" s="9">
        <v>67.138771780201537</v>
      </c>
      <c r="T17" s="23">
        <v>13</v>
      </c>
      <c r="U17" s="28"/>
      <c r="V17" s="28"/>
      <c r="W17" s="28"/>
      <c r="X17" s="28"/>
      <c r="Y17" s="11"/>
      <c r="Z17" s="9"/>
      <c r="AA17" s="9"/>
      <c r="AB17" s="9"/>
      <c r="AC17" s="9"/>
      <c r="AE17" s="48" t="s">
        <v>15</v>
      </c>
      <c r="AF17" s="29">
        <v>154</v>
      </c>
      <c r="AG17" s="29">
        <v>703</v>
      </c>
      <c r="AH17" s="48" t="s">
        <v>15</v>
      </c>
      <c r="AI17" s="29">
        <v>123</v>
      </c>
      <c r="AJ17" s="29">
        <v>758</v>
      </c>
      <c r="AK17" s="48" t="s">
        <v>15</v>
      </c>
      <c r="AL17" s="29">
        <v>220</v>
      </c>
      <c r="AM17" s="29">
        <v>710</v>
      </c>
      <c r="AN17" s="48" t="s">
        <v>15</v>
      </c>
      <c r="AO17" s="29">
        <v>210</v>
      </c>
      <c r="AP17" s="29">
        <v>774</v>
      </c>
      <c r="AQ17" s="48" t="s">
        <v>15</v>
      </c>
      <c r="AR17" s="29">
        <v>97</v>
      </c>
      <c r="AS17" s="29">
        <v>746</v>
      </c>
    </row>
    <row r="18" spans="1:45">
      <c r="A18" s="24">
        <v>14</v>
      </c>
      <c r="B18" s="19" t="s">
        <v>49</v>
      </c>
      <c r="C18" s="19" t="s">
        <v>33</v>
      </c>
      <c r="D18" s="11">
        <v>798</v>
      </c>
      <c r="E18" s="9">
        <v>794.30472741889184</v>
      </c>
      <c r="F18" s="9">
        <v>824.00546114695135</v>
      </c>
      <c r="G18" s="9">
        <v>758.26380633655458</v>
      </c>
      <c r="H18" s="9">
        <v>830.40712906381043</v>
      </c>
      <c r="J18" s="21">
        <v>14</v>
      </c>
      <c r="K18" s="44" t="s">
        <v>48</v>
      </c>
      <c r="L18" s="44" t="s">
        <v>78</v>
      </c>
      <c r="M18" s="44" t="s">
        <v>79</v>
      </c>
      <c r="N18" s="11">
        <v>48.211381897077786</v>
      </c>
      <c r="O18" s="9">
        <v>34.574929517441596</v>
      </c>
      <c r="P18" s="9">
        <v>46.976426584054039</v>
      </c>
      <c r="Q18" s="9">
        <v>44.515754857087366</v>
      </c>
      <c r="R18" s="9">
        <v>52.068906948734472</v>
      </c>
      <c r="T18" s="23">
        <v>14</v>
      </c>
      <c r="U18" s="28"/>
      <c r="V18" s="28"/>
      <c r="W18" s="28"/>
      <c r="X18" s="28"/>
      <c r="Y18" s="11"/>
      <c r="Z18" s="9"/>
      <c r="AA18" s="9"/>
      <c r="AB18" s="9"/>
      <c r="AC18" s="9"/>
      <c r="AE18" s="48" t="s">
        <v>16</v>
      </c>
      <c r="AF18" s="29">
        <f>600+(600-AF17)</f>
        <v>1046</v>
      </c>
      <c r="AG18" s="29">
        <f>AG17</f>
        <v>703</v>
      </c>
      <c r="AH18" s="48" t="s">
        <v>16</v>
      </c>
      <c r="AI18" s="29">
        <f>600+(600-AI17)</f>
        <v>1077</v>
      </c>
      <c r="AJ18" s="29">
        <f>AJ17</f>
        <v>758</v>
      </c>
      <c r="AK18" s="48" t="s">
        <v>16</v>
      </c>
      <c r="AL18" s="29">
        <f t="shared" ref="AL18" si="24">600+(600-AL17)</f>
        <v>980</v>
      </c>
      <c r="AM18" s="29">
        <f t="shared" ref="AM18" si="25">AM17</f>
        <v>710</v>
      </c>
      <c r="AN18" s="48" t="s">
        <v>16</v>
      </c>
      <c r="AO18" s="29">
        <f t="shared" ref="AO18" si="26">600+(600-AO17)</f>
        <v>990</v>
      </c>
      <c r="AP18" s="29">
        <f t="shared" ref="AP18" si="27">AP17</f>
        <v>774</v>
      </c>
      <c r="AQ18" s="48" t="s">
        <v>16</v>
      </c>
      <c r="AR18" s="29">
        <f t="shared" ref="AR18" si="28">600+(600-AR17)</f>
        <v>1103</v>
      </c>
      <c r="AS18" s="29">
        <f t="shared" ref="AS18" si="29">AS17</f>
        <v>746</v>
      </c>
    </row>
    <row r="19" spans="1:45">
      <c r="A19" s="24">
        <v>15</v>
      </c>
      <c r="B19" s="19" t="s">
        <v>48</v>
      </c>
      <c r="C19" s="19" t="s">
        <v>34</v>
      </c>
      <c r="D19" s="11">
        <v>1017</v>
      </c>
      <c r="E19" s="9">
        <v>1025.2360703759891</v>
      </c>
      <c r="F19" s="9">
        <v>1040.0043269140758</v>
      </c>
      <c r="G19" s="9">
        <v>974.14834599253925</v>
      </c>
      <c r="H19" s="9">
        <v>1057.2502069046855</v>
      </c>
      <c r="J19" s="21">
        <v>15</v>
      </c>
      <c r="K19" s="44" t="s">
        <v>80</v>
      </c>
      <c r="L19" s="44" t="s">
        <v>78</v>
      </c>
      <c r="M19" s="44" t="s">
        <v>79</v>
      </c>
      <c r="N19" s="11">
        <v>23.258304696835449</v>
      </c>
      <c r="O19" s="9">
        <v>21.091270202272725</v>
      </c>
      <c r="P19" s="9">
        <v>17.481270376354033</v>
      </c>
      <c r="Q19" s="9">
        <v>22.691796759303543</v>
      </c>
      <c r="R19" s="9">
        <v>20.071810010597154</v>
      </c>
      <c r="T19" s="23">
        <v>15</v>
      </c>
      <c r="U19" s="28"/>
      <c r="V19" s="28"/>
      <c r="W19" s="28"/>
      <c r="X19" s="28"/>
      <c r="Y19" s="11"/>
      <c r="Z19" s="9"/>
      <c r="AA19" s="9"/>
      <c r="AB19" s="9"/>
      <c r="AC19" s="9"/>
      <c r="AE19" s="48" t="s">
        <v>17</v>
      </c>
      <c r="AF19" s="29">
        <v>237</v>
      </c>
      <c r="AG19" s="29">
        <v>184</v>
      </c>
      <c r="AH19" s="48" t="s">
        <v>17</v>
      </c>
      <c r="AI19" s="29">
        <v>213</v>
      </c>
      <c r="AJ19" s="29">
        <v>150</v>
      </c>
      <c r="AK19" s="48" t="s">
        <v>17</v>
      </c>
      <c r="AL19" s="29">
        <v>283</v>
      </c>
      <c r="AM19" s="29">
        <v>133</v>
      </c>
      <c r="AN19" s="48" t="s">
        <v>17</v>
      </c>
      <c r="AO19" s="29">
        <v>216</v>
      </c>
      <c r="AP19" s="29">
        <v>133</v>
      </c>
      <c r="AQ19" s="48" t="s">
        <v>17</v>
      </c>
      <c r="AR19" s="29">
        <v>198</v>
      </c>
      <c r="AS19" s="29">
        <v>72</v>
      </c>
    </row>
    <row r="20" spans="1:45">
      <c r="A20" s="24">
        <v>16</v>
      </c>
      <c r="B20" s="19" t="s">
        <v>50</v>
      </c>
      <c r="C20" s="19" t="s">
        <v>51</v>
      </c>
      <c r="D20" s="11">
        <v>38.470768123342687</v>
      </c>
      <c r="E20" s="9">
        <v>55.731499172371095</v>
      </c>
      <c r="F20" s="9">
        <v>73.17103251970687</v>
      </c>
      <c r="G20" s="9">
        <v>56.142675390472796</v>
      </c>
      <c r="H20" s="9">
        <v>54.009258465563107</v>
      </c>
      <c r="I20" s="3"/>
      <c r="J20" s="21">
        <v>16</v>
      </c>
      <c r="K20" s="44" t="s">
        <v>48</v>
      </c>
      <c r="L20" s="44" t="s">
        <v>81</v>
      </c>
      <c r="M20" s="44" t="s">
        <v>79</v>
      </c>
      <c r="N20" s="11">
        <v>99.044539088178567</v>
      </c>
      <c r="O20" s="9">
        <v>135.37884139055129</v>
      </c>
      <c r="P20" s="9">
        <v>107.11453522883028</v>
      </c>
      <c r="Q20" s="9">
        <v>118.90412308063343</v>
      </c>
      <c r="R20" s="9">
        <v>106.74531227772694</v>
      </c>
      <c r="T20" s="23">
        <v>16</v>
      </c>
      <c r="U20" s="28"/>
      <c r="V20" s="28"/>
      <c r="W20" s="28"/>
      <c r="X20" s="28"/>
      <c r="Y20" s="11"/>
      <c r="Z20" s="9"/>
      <c r="AA20" s="9"/>
      <c r="AB20" s="9"/>
      <c r="AC20" s="9"/>
      <c r="AE20" s="48" t="s">
        <v>18</v>
      </c>
      <c r="AF20" s="29">
        <v>600</v>
      </c>
      <c r="AG20" s="29">
        <v>163</v>
      </c>
      <c r="AH20" s="48" t="s">
        <v>18</v>
      </c>
      <c r="AI20" s="29">
        <v>578</v>
      </c>
      <c r="AJ20" s="29">
        <v>155</v>
      </c>
      <c r="AK20" s="48" t="s">
        <v>18</v>
      </c>
      <c r="AL20" s="29">
        <v>603</v>
      </c>
      <c r="AM20" s="29">
        <v>140</v>
      </c>
      <c r="AN20" s="48" t="s">
        <v>18</v>
      </c>
      <c r="AO20" s="29">
        <v>583</v>
      </c>
      <c r="AP20" s="29">
        <v>206</v>
      </c>
      <c r="AQ20" s="48" t="s">
        <v>18</v>
      </c>
      <c r="AR20" s="29">
        <v>577</v>
      </c>
      <c r="AS20" s="29">
        <v>123</v>
      </c>
    </row>
    <row r="21" spans="1:45">
      <c r="A21" s="24">
        <v>17</v>
      </c>
      <c r="B21" s="19" t="s">
        <v>65</v>
      </c>
      <c r="C21" s="19" t="s">
        <v>66</v>
      </c>
      <c r="D21" s="11">
        <v>219</v>
      </c>
      <c r="E21" s="9">
        <v>231</v>
      </c>
      <c r="F21" s="9">
        <v>216</v>
      </c>
      <c r="G21" s="9">
        <v>216.0208323287363</v>
      </c>
      <c r="H21" s="9">
        <v>227.01982292302142</v>
      </c>
      <c r="I21" s="3"/>
      <c r="J21" s="21">
        <v>17</v>
      </c>
      <c r="K21" s="44" t="s">
        <v>80</v>
      </c>
      <c r="L21" s="44" t="s">
        <v>81</v>
      </c>
      <c r="M21" s="44" t="s">
        <v>79</v>
      </c>
      <c r="N21" s="11">
        <v>23.955981787835771</v>
      </c>
      <c r="O21" s="9">
        <v>50.952679982786123</v>
      </c>
      <c r="P21" s="9">
        <v>19.8721758192439</v>
      </c>
      <c r="Q21" s="9">
        <v>25.724292960769187</v>
      </c>
      <c r="R21" s="9">
        <v>23.735004341344002</v>
      </c>
      <c r="T21" s="23">
        <v>17</v>
      </c>
      <c r="U21" s="28"/>
      <c r="V21" s="28"/>
      <c r="W21" s="28"/>
      <c r="X21" s="28"/>
      <c r="Y21" s="11"/>
      <c r="Z21" s="9"/>
      <c r="AA21" s="9"/>
      <c r="AB21" s="9"/>
      <c r="AC21" s="9"/>
      <c r="AE21" s="48" t="s">
        <v>19</v>
      </c>
      <c r="AF21" s="29">
        <f>600+(600-AF19)</f>
        <v>963</v>
      </c>
      <c r="AG21" s="29">
        <f>AG19</f>
        <v>184</v>
      </c>
      <c r="AH21" s="48" t="s">
        <v>19</v>
      </c>
      <c r="AI21" s="29">
        <f>600+(600-AI19)</f>
        <v>987</v>
      </c>
      <c r="AJ21" s="29">
        <f>AJ19</f>
        <v>150</v>
      </c>
      <c r="AK21" s="48" t="s">
        <v>19</v>
      </c>
      <c r="AL21" s="29">
        <f t="shared" ref="AL21" si="30">600+(600-AL19)</f>
        <v>917</v>
      </c>
      <c r="AM21" s="29">
        <f t="shared" ref="AM21" si="31">AM19</f>
        <v>133</v>
      </c>
      <c r="AN21" s="48" t="s">
        <v>19</v>
      </c>
      <c r="AO21" s="29">
        <f t="shared" ref="AO21" si="32">600+(600-AO19)</f>
        <v>984</v>
      </c>
      <c r="AP21" s="29">
        <f t="shared" ref="AP21" si="33">AP19</f>
        <v>133</v>
      </c>
      <c r="AQ21" s="48" t="s">
        <v>19</v>
      </c>
      <c r="AR21" s="29">
        <f t="shared" ref="AR21" si="34">600+(600-AR19)</f>
        <v>1002</v>
      </c>
      <c r="AS21" s="29">
        <f t="shared" ref="AS21" si="35">AS19</f>
        <v>72</v>
      </c>
    </row>
    <row r="22" spans="1:45">
      <c r="A22" s="24">
        <v>18</v>
      </c>
      <c r="B22" s="19" t="s">
        <v>76</v>
      </c>
      <c r="C22" s="19" t="s">
        <v>75</v>
      </c>
      <c r="D22" s="11">
        <v>49.040799340956916</v>
      </c>
      <c r="E22" s="9">
        <v>52.201532544552748</v>
      </c>
      <c r="F22" s="9">
        <v>30.594117081556711</v>
      </c>
      <c r="G22" s="9">
        <v>41.194659848091959</v>
      </c>
      <c r="H22" s="9">
        <v>38.052595180880893</v>
      </c>
      <c r="I22" s="3"/>
      <c r="J22" s="21">
        <v>18</v>
      </c>
      <c r="K22" s="27"/>
      <c r="L22" s="27"/>
      <c r="M22" s="27"/>
      <c r="N22" s="11"/>
      <c r="O22" s="9"/>
      <c r="P22" s="9"/>
      <c r="Q22" s="9"/>
      <c r="R22" s="9"/>
      <c r="T22" s="23">
        <v>18</v>
      </c>
      <c r="U22" s="28"/>
      <c r="V22" s="28"/>
      <c r="W22" s="28"/>
      <c r="X22" s="28"/>
      <c r="Y22" s="11"/>
      <c r="Z22" s="9"/>
      <c r="AA22" s="9"/>
      <c r="AB22" s="9"/>
      <c r="AC22" s="9"/>
      <c r="AE22" s="48" t="s">
        <v>20</v>
      </c>
      <c r="AF22" s="29">
        <v>369</v>
      </c>
      <c r="AG22" s="29">
        <v>633</v>
      </c>
      <c r="AH22" s="48" t="s">
        <v>20</v>
      </c>
      <c r="AI22" s="29">
        <v>353</v>
      </c>
      <c r="AJ22" s="29">
        <v>589</v>
      </c>
      <c r="AK22" s="48" t="s">
        <v>20</v>
      </c>
      <c r="AL22" s="29">
        <v>351</v>
      </c>
      <c r="AM22" s="29">
        <v>601</v>
      </c>
      <c r="AN22" s="49" t="s">
        <v>20</v>
      </c>
      <c r="AO22" s="30">
        <v>353</v>
      </c>
      <c r="AP22" s="30">
        <v>613</v>
      </c>
      <c r="AQ22" s="48" t="s">
        <v>20</v>
      </c>
      <c r="AR22" s="29">
        <v>355</v>
      </c>
      <c r="AS22" s="29">
        <v>597</v>
      </c>
    </row>
    <row r="23" spans="1:45">
      <c r="A23" s="24">
        <v>19</v>
      </c>
      <c r="B23" s="19" t="s">
        <v>73</v>
      </c>
      <c r="C23" s="19" t="s">
        <v>74</v>
      </c>
      <c r="D23" s="11">
        <v>217.11287386979151</v>
      </c>
      <c r="E23" s="9">
        <v>152.42703172337903</v>
      </c>
      <c r="F23" s="9">
        <v>177.13836399831629</v>
      </c>
      <c r="G23" s="9">
        <v>184.31766057543157</v>
      </c>
      <c r="H23" s="9">
        <v>190.67249408344142</v>
      </c>
      <c r="I23" s="3"/>
      <c r="J23" s="21">
        <v>19</v>
      </c>
      <c r="K23" s="27"/>
      <c r="L23" s="27"/>
      <c r="M23" s="27"/>
      <c r="N23" s="11"/>
      <c r="O23" s="9"/>
      <c r="P23" s="9"/>
      <c r="Q23" s="9"/>
      <c r="R23" s="9"/>
      <c r="T23" s="23">
        <v>19</v>
      </c>
      <c r="U23" s="28"/>
      <c r="V23" s="28"/>
      <c r="W23" s="28"/>
      <c r="X23" s="28"/>
      <c r="Y23" s="11"/>
      <c r="Z23" s="9"/>
      <c r="AA23" s="9"/>
      <c r="AB23" s="9"/>
      <c r="AC23" s="9"/>
      <c r="AE23" s="48" t="s">
        <v>21</v>
      </c>
      <c r="AF23" s="29">
        <v>437</v>
      </c>
      <c r="AG23" s="29">
        <v>648</v>
      </c>
      <c r="AH23" s="49" t="s">
        <v>21</v>
      </c>
      <c r="AI23" s="30">
        <v>435</v>
      </c>
      <c r="AJ23" s="30">
        <v>598</v>
      </c>
      <c r="AK23" s="48" t="s">
        <v>21</v>
      </c>
      <c r="AL23" s="29">
        <v>430</v>
      </c>
      <c r="AM23" s="29">
        <v>624</v>
      </c>
      <c r="AN23" s="49" t="s">
        <v>21</v>
      </c>
      <c r="AO23" s="30">
        <v>430</v>
      </c>
      <c r="AP23" s="30">
        <v>629</v>
      </c>
      <c r="AQ23" s="48" t="s">
        <v>21</v>
      </c>
      <c r="AR23" s="29">
        <v>427</v>
      </c>
      <c r="AS23" s="29">
        <v>611</v>
      </c>
    </row>
    <row r="24" spans="1:45">
      <c r="A24" s="24">
        <v>20</v>
      </c>
      <c r="B24" s="19"/>
      <c r="C24" s="19"/>
      <c r="D24" s="11"/>
      <c r="E24" s="9"/>
      <c r="F24" s="9"/>
      <c r="G24" s="9"/>
      <c r="H24" s="9"/>
      <c r="I24" s="3"/>
      <c r="J24" s="21">
        <v>20</v>
      </c>
      <c r="K24" s="27"/>
      <c r="L24" s="27"/>
      <c r="M24" s="27"/>
      <c r="N24" s="11"/>
      <c r="O24" s="9"/>
      <c r="P24" s="9"/>
      <c r="Q24" s="9"/>
      <c r="R24" s="9"/>
      <c r="T24" s="23">
        <v>20</v>
      </c>
      <c r="U24" s="28"/>
      <c r="V24" s="28"/>
      <c r="W24" s="28"/>
      <c r="X24" s="28"/>
      <c r="Y24" s="11"/>
      <c r="Z24" s="9"/>
      <c r="AA24" s="9"/>
      <c r="AB24" s="9"/>
      <c r="AC24" s="9"/>
      <c r="AE24" s="48" t="s">
        <v>22</v>
      </c>
      <c r="AF24" s="29">
        <v>502</v>
      </c>
      <c r="AG24" s="29">
        <v>646</v>
      </c>
      <c r="AH24" s="49" t="s">
        <v>22</v>
      </c>
      <c r="AI24" s="30">
        <v>493</v>
      </c>
      <c r="AJ24" s="30">
        <v>573</v>
      </c>
      <c r="AK24" s="48" t="s">
        <v>22</v>
      </c>
      <c r="AL24" s="29">
        <v>505</v>
      </c>
      <c r="AM24" s="29">
        <v>599</v>
      </c>
      <c r="AN24" s="49" t="s">
        <v>22</v>
      </c>
      <c r="AO24" s="30">
        <v>490</v>
      </c>
      <c r="AP24" s="30">
        <v>599</v>
      </c>
      <c r="AQ24" s="48" t="s">
        <v>22</v>
      </c>
      <c r="AR24" s="29">
        <v>514</v>
      </c>
      <c r="AS24" s="29">
        <v>596</v>
      </c>
    </row>
    <row r="25" spans="1:45" ht="15.75" customHeight="1">
      <c r="A25" s="24">
        <v>21</v>
      </c>
      <c r="B25" s="19"/>
      <c r="C25" s="19"/>
      <c r="D25" s="9"/>
      <c r="E25" s="9"/>
      <c r="F25" s="9"/>
      <c r="G25" s="9"/>
      <c r="H25" s="9"/>
      <c r="I25" s="3"/>
      <c r="J25" s="21">
        <v>21</v>
      </c>
      <c r="K25" s="27"/>
      <c r="L25" s="27"/>
      <c r="M25" s="27"/>
      <c r="N25" s="11"/>
      <c r="O25" s="9"/>
      <c r="P25" s="9"/>
      <c r="Q25" s="9"/>
      <c r="R25" s="9"/>
      <c r="T25" s="23">
        <v>21</v>
      </c>
      <c r="U25" s="28"/>
      <c r="V25" s="28"/>
      <c r="W25" s="28"/>
      <c r="X25" s="28"/>
      <c r="Y25" s="11"/>
      <c r="Z25" s="9"/>
      <c r="AA25" s="9"/>
      <c r="AB25" s="9"/>
      <c r="AC25" s="9"/>
      <c r="AE25" s="48" t="s">
        <v>23</v>
      </c>
      <c r="AF25" s="29">
        <v>443</v>
      </c>
      <c r="AG25" s="29">
        <v>610</v>
      </c>
      <c r="AH25" s="49" t="s">
        <v>23</v>
      </c>
      <c r="AI25" s="30">
        <v>426</v>
      </c>
      <c r="AJ25" s="30">
        <v>543</v>
      </c>
      <c r="AK25" s="48" t="s">
        <v>23</v>
      </c>
      <c r="AL25" s="29">
        <v>435</v>
      </c>
      <c r="AM25" s="29">
        <v>551</v>
      </c>
      <c r="AN25" s="49" t="s">
        <v>23</v>
      </c>
      <c r="AO25" s="30">
        <v>426</v>
      </c>
      <c r="AP25" s="30">
        <v>573</v>
      </c>
      <c r="AQ25" s="48" t="s">
        <v>23</v>
      </c>
      <c r="AR25" s="29">
        <v>428</v>
      </c>
      <c r="AS25" s="29">
        <v>557</v>
      </c>
    </row>
    <row r="26" spans="1:45" ht="16.5" customHeight="1">
      <c r="A26" s="24">
        <v>22</v>
      </c>
      <c r="B26" s="19"/>
      <c r="C26" s="19"/>
      <c r="D26" s="9"/>
      <c r="E26" s="9"/>
      <c r="F26" s="9"/>
      <c r="G26" s="9"/>
      <c r="H26" s="9"/>
      <c r="I26" s="3"/>
      <c r="J26" s="21">
        <v>22</v>
      </c>
      <c r="K26" s="27"/>
      <c r="L26" s="27"/>
      <c r="M26" s="27"/>
      <c r="N26" s="11"/>
      <c r="O26" s="9"/>
      <c r="P26" s="9"/>
      <c r="Q26" s="9"/>
      <c r="R26" s="9"/>
      <c r="T26" s="23">
        <v>22</v>
      </c>
      <c r="U26" s="28"/>
      <c r="V26" s="28"/>
      <c r="W26" s="28"/>
      <c r="X26" s="28"/>
      <c r="Y26" s="11"/>
      <c r="Z26" s="9"/>
      <c r="AA26" s="9"/>
      <c r="AB26" s="9"/>
      <c r="AC26" s="9"/>
      <c r="AE26" s="48" t="s">
        <v>24</v>
      </c>
      <c r="AF26" s="31">
        <v>1180</v>
      </c>
      <c r="AG26" s="31">
        <v>1180</v>
      </c>
      <c r="AH26" s="49" t="s">
        <v>24</v>
      </c>
      <c r="AI26" s="30">
        <v>1180</v>
      </c>
      <c r="AJ26" s="30">
        <v>1180</v>
      </c>
      <c r="AK26" s="48" t="s">
        <v>24</v>
      </c>
      <c r="AL26" s="31">
        <v>1180</v>
      </c>
      <c r="AM26" s="31">
        <v>1180</v>
      </c>
      <c r="AN26" s="49" t="s">
        <v>24</v>
      </c>
      <c r="AO26" s="30">
        <v>1180</v>
      </c>
      <c r="AP26" s="30">
        <v>1180</v>
      </c>
      <c r="AQ26" s="32" t="s">
        <v>24</v>
      </c>
      <c r="AR26" s="31">
        <v>1180</v>
      </c>
      <c r="AS26" s="31">
        <v>1180</v>
      </c>
    </row>
    <row r="27" spans="1:45">
      <c r="A27" s="24">
        <v>23</v>
      </c>
      <c r="B27" s="19"/>
      <c r="C27" s="19"/>
      <c r="D27" s="9"/>
      <c r="E27" s="9"/>
      <c r="F27" s="9"/>
      <c r="G27" s="9"/>
      <c r="H27" s="9"/>
      <c r="J27" s="21">
        <v>23</v>
      </c>
      <c r="K27" s="27"/>
      <c r="L27" s="27"/>
      <c r="M27" s="27"/>
      <c r="N27" s="11"/>
      <c r="O27" s="9"/>
      <c r="P27" s="9"/>
      <c r="Q27" s="9"/>
      <c r="R27" s="9"/>
      <c r="T27" s="23">
        <v>23</v>
      </c>
      <c r="U27" s="28"/>
      <c r="V27" s="28"/>
      <c r="W27" s="28"/>
      <c r="X27" s="28"/>
      <c r="Y27" s="11"/>
      <c r="Z27" s="9"/>
      <c r="AA27" s="9"/>
      <c r="AB27" s="9"/>
      <c r="AC27" s="9"/>
      <c r="AE27" s="46" t="s">
        <v>67</v>
      </c>
      <c r="AF27" s="8">
        <v>600</v>
      </c>
      <c r="AG27" s="37">
        <v>0</v>
      </c>
      <c r="AH27" s="46" t="s">
        <v>67</v>
      </c>
      <c r="AI27" s="9">
        <v>600</v>
      </c>
      <c r="AJ27" s="38">
        <v>0</v>
      </c>
      <c r="AK27" s="46" t="s">
        <v>67</v>
      </c>
      <c r="AL27" s="8">
        <v>600</v>
      </c>
      <c r="AM27" s="37">
        <v>0</v>
      </c>
      <c r="AN27" s="46" t="s">
        <v>67</v>
      </c>
      <c r="AO27" s="9">
        <v>600</v>
      </c>
      <c r="AP27" s="38">
        <v>0</v>
      </c>
      <c r="AQ27" s="46" t="s">
        <v>67</v>
      </c>
      <c r="AR27" s="8">
        <v>600</v>
      </c>
      <c r="AS27" s="37">
        <v>0</v>
      </c>
    </row>
    <row r="28" spans="1:45" s="7" customFormat="1">
      <c r="A28" s="24">
        <v>24</v>
      </c>
      <c r="B28" s="19"/>
      <c r="C28" s="19"/>
      <c r="D28" s="9"/>
      <c r="E28" s="12"/>
      <c r="F28" s="12"/>
      <c r="G28" s="12"/>
      <c r="H28" s="12"/>
      <c r="J28" s="21">
        <v>24</v>
      </c>
      <c r="K28" s="27"/>
      <c r="L28" s="27"/>
      <c r="M28" s="27"/>
      <c r="N28" s="17"/>
      <c r="O28" s="12"/>
      <c r="P28" s="12"/>
      <c r="Q28" s="12"/>
      <c r="R28" s="12"/>
      <c r="T28" s="23">
        <v>24</v>
      </c>
      <c r="U28" s="28"/>
      <c r="V28" s="28"/>
      <c r="W28" s="28"/>
      <c r="X28" s="28"/>
      <c r="Y28" s="17"/>
      <c r="Z28" s="12"/>
      <c r="AA28" s="12"/>
      <c r="AB28" s="12"/>
      <c r="AC28" s="12"/>
      <c r="AE28" s="46" t="s">
        <v>68</v>
      </c>
      <c r="AF28" s="9">
        <v>419</v>
      </c>
      <c r="AG28" s="38">
        <v>496</v>
      </c>
      <c r="AH28" s="46" t="s">
        <v>68</v>
      </c>
      <c r="AI28" s="8">
        <v>415</v>
      </c>
      <c r="AJ28" s="37">
        <v>393</v>
      </c>
      <c r="AK28" s="46" t="s">
        <v>68</v>
      </c>
      <c r="AL28" s="8">
        <v>415</v>
      </c>
      <c r="AM28" s="37">
        <v>451</v>
      </c>
      <c r="AN28" s="46" t="s">
        <v>68</v>
      </c>
      <c r="AO28" s="9">
        <v>401</v>
      </c>
      <c r="AP28" s="38">
        <v>464</v>
      </c>
      <c r="AQ28" s="46" t="s">
        <v>68</v>
      </c>
      <c r="AR28" s="8">
        <v>422</v>
      </c>
      <c r="AS28" s="37">
        <v>452</v>
      </c>
    </row>
    <row r="29" spans="1:45">
      <c r="A29" s="24">
        <v>25</v>
      </c>
      <c r="B29" s="19"/>
      <c r="C29" s="19"/>
      <c r="D29" s="18"/>
      <c r="E29" s="13"/>
      <c r="F29" s="9"/>
      <c r="G29" s="9"/>
      <c r="H29" s="9"/>
      <c r="J29" s="21">
        <v>25</v>
      </c>
      <c r="K29" s="27"/>
      <c r="L29" s="27"/>
      <c r="M29" s="27"/>
      <c r="N29" s="11"/>
      <c r="O29" s="9"/>
      <c r="P29" s="9"/>
      <c r="Q29" s="9"/>
      <c r="R29" s="9"/>
      <c r="T29" s="23">
        <v>25</v>
      </c>
      <c r="U29" s="28"/>
      <c r="V29" s="28"/>
      <c r="W29" s="28"/>
      <c r="X29" s="28"/>
      <c r="Y29" s="11"/>
      <c r="Z29" s="9"/>
      <c r="AA29" s="9"/>
      <c r="AB29" s="9"/>
      <c r="AC29" s="9"/>
      <c r="AE29" s="46" t="s">
        <v>69</v>
      </c>
      <c r="AF29" s="9">
        <v>311</v>
      </c>
      <c r="AG29" s="38">
        <v>555</v>
      </c>
      <c r="AH29" s="46" t="s">
        <v>69</v>
      </c>
      <c r="AI29" s="8">
        <v>316</v>
      </c>
      <c r="AJ29" s="37">
        <v>466</v>
      </c>
      <c r="AK29" s="46" t="s">
        <v>69</v>
      </c>
      <c r="AL29" s="8">
        <v>321</v>
      </c>
      <c r="AM29" s="37">
        <v>488</v>
      </c>
      <c r="AN29" s="46" t="s">
        <v>69</v>
      </c>
      <c r="AO29" s="9">
        <v>306</v>
      </c>
      <c r="AP29" s="38">
        <v>510</v>
      </c>
      <c r="AQ29" s="46" t="s">
        <v>69</v>
      </c>
      <c r="AR29" s="8">
        <v>321</v>
      </c>
      <c r="AS29" s="37">
        <v>496</v>
      </c>
    </row>
    <row r="30" spans="1:45">
      <c r="A30" s="24">
        <v>26</v>
      </c>
      <c r="B30" s="19"/>
      <c r="C30" s="19"/>
      <c r="D30" s="11"/>
      <c r="E30" s="9"/>
      <c r="F30" s="9"/>
      <c r="G30" s="9"/>
      <c r="H30" s="9"/>
      <c r="J30" s="21">
        <v>26</v>
      </c>
      <c r="K30" s="27"/>
      <c r="L30" s="27"/>
      <c r="M30" s="27"/>
      <c r="N30" s="11"/>
      <c r="O30" s="9"/>
      <c r="P30" s="9"/>
      <c r="Q30" s="9"/>
      <c r="R30" s="9"/>
      <c r="T30" s="23">
        <v>26</v>
      </c>
      <c r="U30" s="28"/>
      <c r="V30" s="28"/>
      <c r="W30" s="28"/>
      <c r="X30" s="28"/>
      <c r="Y30" s="11"/>
      <c r="Z30" s="9"/>
      <c r="AA30" s="9"/>
      <c r="AB30" s="9"/>
      <c r="AC30" s="9"/>
      <c r="AE30" s="46" t="s">
        <v>70</v>
      </c>
      <c r="AF30" s="9">
        <v>528</v>
      </c>
      <c r="AG30" s="38">
        <v>548</v>
      </c>
      <c r="AH30" s="46" t="s">
        <v>70</v>
      </c>
      <c r="AI30" s="8">
        <v>461</v>
      </c>
      <c r="AJ30" s="37">
        <v>419</v>
      </c>
      <c r="AK30" s="46" t="s">
        <v>70</v>
      </c>
      <c r="AL30" s="8">
        <v>498</v>
      </c>
      <c r="AM30" s="37">
        <v>481</v>
      </c>
      <c r="AN30" s="46" t="s">
        <v>70</v>
      </c>
      <c r="AO30" s="9">
        <v>489</v>
      </c>
      <c r="AP30" s="38">
        <v>488</v>
      </c>
      <c r="AQ30" s="46" t="s">
        <v>70</v>
      </c>
      <c r="AR30" s="8">
        <v>511</v>
      </c>
      <c r="AS30" s="37">
        <v>480</v>
      </c>
    </row>
    <row r="31" spans="1:45">
      <c r="A31" s="24">
        <v>27</v>
      </c>
      <c r="B31" s="19"/>
      <c r="C31" s="19"/>
      <c r="D31" s="11"/>
      <c r="E31" s="9"/>
      <c r="F31" s="9"/>
      <c r="G31" s="9"/>
      <c r="H31" s="9"/>
      <c r="J31" s="21">
        <v>27</v>
      </c>
      <c r="K31" s="27"/>
      <c r="L31" s="27"/>
      <c r="M31" s="27"/>
      <c r="N31" s="11"/>
      <c r="O31" s="9"/>
      <c r="P31" s="9"/>
      <c r="Q31" s="9"/>
      <c r="R31" s="9"/>
      <c r="T31" s="23">
        <v>27</v>
      </c>
      <c r="U31" s="28"/>
      <c r="V31" s="28"/>
      <c r="W31" s="28"/>
      <c r="X31" s="28"/>
      <c r="Y31" s="11"/>
      <c r="Z31" s="9"/>
      <c r="AA31" s="9"/>
      <c r="AB31" s="9"/>
      <c r="AC31" s="9"/>
      <c r="AE31" s="46" t="s">
        <v>71</v>
      </c>
      <c r="AF31" s="9">
        <v>417</v>
      </c>
      <c r="AG31" s="38">
        <v>545</v>
      </c>
      <c r="AH31" s="46" t="s">
        <v>71</v>
      </c>
      <c r="AI31" s="8">
        <v>400</v>
      </c>
      <c r="AJ31" s="37">
        <v>443</v>
      </c>
      <c r="AK31" s="46" t="s">
        <v>71</v>
      </c>
      <c r="AL31" s="8">
        <v>421</v>
      </c>
      <c r="AM31" s="37">
        <v>481</v>
      </c>
      <c r="AN31" s="46" t="s">
        <v>71</v>
      </c>
      <c r="AO31" s="9">
        <v>397</v>
      </c>
      <c r="AP31" s="38">
        <v>505</v>
      </c>
      <c r="AQ31" s="46" t="s">
        <v>71</v>
      </c>
      <c r="AR31" s="8">
        <v>420</v>
      </c>
      <c r="AS31" s="37">
        <v>490</v>
      </c>
    </row>
    <row r="32" spans="1:45">
      <c r="A32" s="24">
        <v>28</v>
      </c>
      <c r="B32" s="19"/>
      <c r="C32" s="19"/>
      <c r="D32" s="11"/>
      <c r="E32" s="9"/>
      <c r="F32" s="9"/>
      <c r="G32" s="9"/>
      <c r="H32" s="9"/>
      <c r="J32" s="21">
        <v>28</v>
      </c>
      <c r="K32" s="27"/>
      <c r="L32" s="27"/>
      <c r="M32" s="27"/>
      <c r="N32" s="11"/>
      <c r="O32" s="9"/>
      <c r="P32" s="9"/>
      <c r="Q32" s="9"/>
      <c r="R32" s="9"/>
      <c r="T32" s="23">
        <v>28</v>
      </c>
      <c r="U32" s="28"/>
      <c r="V32" s="28"/>
      <c r="W32" s="28"/>
      <c r="X32" s="28"/>
      <c r="Y32" s="11"/>
      <c r="Z32" s="9"/>
      <c r="AA32" s="9"/>
      <c r="AB32" s="9"/>
      <c r="AC32" s="9"/>
      <c r="AE32" s="46"/>
      <c r="AF32" s="8"/>
      <c r="AG32" s="37"/>
      <c r="AH32" s="46"/>
      <c r="AI32" s="9"/>
      <c r="AJ32" s="38"/>
      <c r="AK32" s="46"/>
      <c r="AL32" s="8"/>
      <c r="AM32" s="37"/>
      <c r="AN32" s="46"/>
      <c r="AO32" s="9"/>
      <c r="AP32" s="38"/>
      <c r="AQ32" s="46"/>
      <c r="AR32" s="8"/>
      <c r="AS32" s="37"/>
    </row>
    <row r="33" spans="1:45">
      <c r="A33" s="24">
        <v>29</v>
      </c>
      <c r="B33" s="19"/>
      <c r="C33" s="19"/>
      <c r="D33" s="11"/>
      <c r="E33" s="9"/>
      <c r="F33" s="9"/>
      <c r="G33" s="9"/>
      <c r="H33" s="9"/>
      <c r="J33" s="21">
        <v>29</v>
      </c>
      <c r="K33" s="27"/>
      <c r="L33" s="27"/>
      <c r="M33" s="27"/>
      <c r="N33" s="11"/>
      <c r="O33" s="9"/>
      <c r="P33" s="9"/>
      <c r="Q33" s="9"/>
      <c r="R33" s="9"/>
      <c r="T33" s="23">
        <v>29</v>
      </c>
      <c r="U33" s="28"/>
      <c r="V33" s="28"/>
      <c r="W33" s="28"/>
      <c r="X33" s="28"/>
      <c r="Y33" s="11"/>
      <c r="Z33" s="9"/>
      <c r="AA33" s="9"/>
      <c r="AB33" s="9"/>
      <c r="AC33" s="9"/>
      <c r="AE33" s="46"/>
      <c r="AF33" s="8"/>
      <c r="AG33" s="37"/>
      <c r="AH33" s="47"/>
      <c r="AI33" s="9"/>
      <c r="AJ33" s="38"/>
      <c r="AK33" s="46"/>
      <c r="AL33" s="8"/>
      <c r="AM33" s="37"/>
      <c r="AN33" s="47"/>
      <c r="AO33" s="9"/>
      <c r="AP33" s="38"/>
      <c r="AQ33" s="46"/>
      <c r="AR33" s="8"/>
      <c r="AS33" s="37"/>
    </row>
    <row r="34" spans="1:45">
      <c r="A34" s="24">
        <v>30</v>
      </c>
      <c r="B34" s="19"/>
      <c r="C34" s="19"/>
      <c r="D34" s="11"/>
      <c r="E34" s="9"/>
      <c r="F34" s="9"/>
      <c r="G34" s="9"/>
      <c r="H34" s="9"/>
      <c r="J34" s="21">
        <v>30</v>
      </c>
      <c r="K34" s="27"/>
      <c r="L34" s="27"/>
      <c r="M34" s="27"/>
      <c r="N34" s="11"/>
      <c r="O34" s="9"/>
      <c r="P34" s="9"/>
      <c r="Q34" s="9"/>
      <c r="R34" s="9"/>
      <c r="T34" s="23">
        <v>30</v>
      </c>
      <c r="U34" s="28"/>
      <c r="V34" s="28"/>
      <c r="W34" s="28"/>
      <c r="X34" s="28"/>
      <c r="Y34" s="11"/>
      <c r="Z34" s="9"/>
      <c r="AA34" s="9"/>
      <c r="AB34" s="9"/>
      <c r="AC34" s="9"/>
      <c r="AE34" s="46"/>
      <c r="AF34" s="8"/>
      <c r="AG34" s="37"/>
      <c r="AH34" s="47"/>
      <c r="AI34" s="9"/>
      <c r="AJ34" s="38"/>
      <c r="AK34" s="46"/>
      <c r="AL34" s="8"/>
      <c r="AM34" s="37"/>
      <c r="AN34" s="47"/>
      <c r="AO34" s="9"/>
      <c r="AP34" s="38"/>
      <c r="AQ34" s="46"/>
      <c r="AR34" s="8"/>
      <c r="AS34" s="37"/>
    </row>
    <row r="35" spans="1:45">
      <c r="A35" s="25"/>
      <c r="B35" s="15"/>
      <c r="C35" s="15"/>
      <c r="D35" s="14"/>
      <c r="E35" s="14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</row>
    <row r="36" spans="1:45" ht="15.75" customHeight="1">
      <c r="A36" s="79" t="s">
        <v>64</v>
      </c>
      <c r="B36" s="79"/>
      <c r="C36" s="79"/>
      <c r="D36" s="79"/>
      <c r="E36" s="79"/>
      <c r="F36" s="79"/>
      <c r="G36" s="79"/>
      <c r="H36" s="79"/>
      <c r="I36" s="20"/>
      <c r="J36" s="79" t="s">
        <v>64</v>
      </c>
      <c r="K36" s="80"/>
      <c r="L36" s="80"/>
      <c r="M36" s="80"/>
      <c r="N36" s="80"/>
      <c r="O36" s="80"/>
      <c r="P36" s="80"/>
      <c r="Q36" s="80"/>
      <c r="R36" s="80"/>
      <c r="T36" s="79" t="s">
        <v>64</v>
      </c>
      <c r="U36" s="80"/>
      <c r="V36" s="80"/>
      <c r="W36" s="80"/>
      <c r="X36" s="80"/>
      <c r="Y36" s="80"/>
      <c r="Z36" s="80"/>
      <c r="AA36" s="80"/>
      <c r="AB36" s="80"/>
      <c r="AC36" s="80"/>
      <c r="AE36" s="80" t="s">
        <v>63</v>
      </c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</row>
    <row r="37" spans="1:45" ht="15.75" customHeight="1">
      <c r="A37" s="79"/>
      <c r="B37" s="79"/>
      <c r="C37" s="79"/>
      <c r="D37" s="79"/>
      <c r="E37" s="79"/>
      <c r="F37" s="79"/>
      <c r="G37" s="79"/>
      <c r="H37" s="79"/>
      <c r="I37" s="20"/>
      <c r="J37" s="80"/>
      <c r="K37" s="80"/>
      <c r="L37" s="80"/>
      <c r="M37" s="80"/>
      <c r="N37" s="80"/>
      <c r="O37" s="80"/>
      <c r="P37" s="80"/>
      <c r="Q37" s="80"/>
      <c r="R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</row>
    <row r="38" spans="1:45">
      <c r="A38" s="79"/>
      <c r="B38" s="79"/>
      <c r="C38" s="79"/>
      <c r="D38" s="79"/>
      <c r="E38" s="79"/>
      <c r="F38" s="79"/>
      <c r="G38" s="79"/>
      <c r="H38" s="79"/>
      <c r="J38" s="80"/>
      <c r="K38" s="80"/>
      <c r="L38" s="80"/>
      <c r="M38" s="80"/>
      <c r="N38" s="80"/>
      <c r="O38" s="80"/>
      <c r="P38" s="80"/>
      <c r="Q38" s="80"/>
      <c r="R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</row>
    <row r="39" spans="1:45">
      <c r="A39" s="25"/>
      <c r="B39" s="15"/>
      <c r="C39" s="15"/>
      <c r="D39" s="14"/>
      <c r="E39" s="14"/>
    </row>
    <row r="40" spans="1:45">
      <c r="A40" s="25"/>
      <c r="B40" s="15"/>
      <c r="C40" s="15"/>
      <c r="D40" s="14"/>
      <c r="E40" s="14"/>
    </row>
    <row r="41" spans="1:45">
      <c r="A41" s="25"/>
      <c r="B41" s="15"/>
      <c r="C41" s="15"/>
      <c r="D41" s="14"/>
      <c r="E41" s="14"/>
    </row>
    <row r="42" spans="1:45">
      <c r="A42" s="25"/>
      <c r="B42" s="15"/>
      <c r="C42" s="15"/>
      <c r="D42" s="14"/>
      <c r="E42" s="14"/>
    </row>
    <row r="43" spans="1:45">
      <c r="A43" s="25"/>
      <c r="B43" s="15"/>
      <c r="C43" s="15"/>
      <c r="D43" s="14"/>
      <c r="E43" s="14"/>
    </row>
    <row r="44" spans="1:45">
      <c r="A44" s="25"/>
      <c r="B44" s="15"/>
      <c r="C44" s="15"/>
      <c r="D44" s="14"/>
      <c r="E44" s="14"/>
    </row>
    <row r="45" spans="1:45">
      <c r="A45" s="25"/>
      <c r="B45" s="15"/>
      <c r="C45" s="15"/>
      <c r="D45" s="14"/>
      <c r="E45" s="14"/>
    </row>
    <row r="46" spans="1:45">
      <c r="A46" s="25"/>
      <c r="B46" s="15"/>
      <c r="C46" s="15"/>
      <c r="D46" s="14"/>
      <c r="E46" s="14"/>
    </row>
    <row r="47" spans="1:45">
      <c r="A47" s="25"/>
      <c r="B47" s="15"/>
      <c r="C47" s="15"/>
      <c r="D47" s="14"/>
      <c r="E47" s="14"/>
    </row>
    <row r="48" spans="1:45">
      <c r="A48" s="25"/>
      <c r="B48" s="15"/>
      <c r="C48" s="15"/>
      <c r="D48" s="14"/>
      <c r="E48" s="14"/>
    </row>
    <row r="49" spans="1:5">
      <c r="A49" s="25"/>
      <c r="B49" s="15"/>
      <c r="C49" s="15"/>
      <c r="D49" s="14"/>
      <c r="E49" s="14"/>
    </row>
    <row r="50" spans="1:5">
      <c r="A50" s="25"/>
      <c r="B50" s="15"/>
      <c r="C50" s="15"/>
      <c r="D50" s="14"/>
      <c r="E50" s="14"/>
    </row>
    <row r="51" spans="1:5">
      <c r="A51" s="25"/>
      <c r="B51" s="15"/>
      <c r="C51" s="15"/>
      <c r="D51" s="14"/>
      <c r="E51" s="14"/>
    </row>
    <row r="52" spans="1:5">
      <c r="A52" s="25"/>
      <c r="B52" s="15"/>
      <c r="C52" s="15"/>
      <c r="D52" s="14"/>
      <c r="E52" s="14"/>
    </row>
  </sheetData>
  <mergeCells count="27">
    <mergeCell ref="AK2:AM2"/>
    <mergeCell ref="A1:H1"/>
    <mergeCell ref="J1:R1"/>
    <mergeCell ref="T1:AC1"/>
    <mergeCell ref="AE1:AS1"/>
    <mergeCell ref="A2:C4"/>
    <mergeCell ref="D2:F3"/>
    <mergeCell ref="G2:H3"/>
    <mergeCell ref="J2:M4"/>
    <mergeCell ref="N2:P3"/>
    <mergeCell ref="Q2:R3"/>
    <mergeCell ref="A36:H38"/>
    <mergeCell ref="J36:R38"/>
    <mergeCell ref="T36:AC38"/>
    <mergeCell ref="AE36:AS38"/>
    <mergeCell ref="AN2:AP2"/>
    <mergeCell ref="AQ2:AS2"/>
    <mergeCell ref="AF3:AG3"/>
    <mergeCell ref="AI3:AJ3"/>
    <mergeCell ref="AL3:AM3"/>
    <mergeCell ref="AO3:AP3"/>
    <mergeCell ref="AR3:AS3"/>
    <mergeCell ref="T2:X4"/>
    <mergeCell ref="Y2:AA3"/>
    <mergeCell ref="AB2:AC3"/>
    <mergeCell ref="AE2:AG2"/>
    <mergeCell ref="AH2:AJ2"/>
  </mergeCells>
  <phoneticPr fontId="7" type="noConversion"/>
  <conditionalFormatting sqref="Y1:AC1 Y4:AC35 Y2 Y39:AC1048576">
    <cfRule type="cellIs" dxfId="26" priority="1" operator="lessThan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AS52"/>
  <sheetViews>
    <sheetView zoomScale="70" zoomScaleNormal="70" workbookViewId="0">
      <selection activeCell="AI3" sqref="AI3:AJ3"/>
    </sheetView>
  </sheetViews>
  <sheetFormatPr defaultColWidth="9" defaultRowHeight="15.5"/>
  <cols>
    <col min="1" max="1" width="3.58203125" style="22" customWidth="1"/>
    <col min="2" max="3" width="3.58203125" style="4" customWidth="1"/>
    <col min="4" max="8" width="10.58203125" style="10" customWidth="1"/>
    <col min="9" max="9" width="2.08203125" style="1" customWidth="1"/>
    <col min="10" max="10" width="3.58203125" style="22" customWidth="1"/>
    <col min="11" max="12" width="3.58203125" style="4" customWidth="1"/>
    <col min="13" max="13" width="3.08203125" style="4" bestFit="1" customWidth="1"/>
    <col min="14" max="18" width="10.58203125" style="10" customWidth="1"/>
    <col min="19" max="19" width="2.08203125" style="1" customWidth="1"/>
    <col min="20" max="20" width="3.58203125" style="22" customWidth="1"/>
    <col min="21" max="23" width="3.58203125" style="4" customWidth="1"/>
    <col min="24" max="24" width="3.08203125" style="4" bestFit="1" customWidth="1"/>
    <col min="25" max="29" width="10.58203125" style="10" customWidth="1"/>
    <col min="30" max="30" width="2.08203125" style="1" customWidth="1"/>
    <col min="31" max="31" width="7.58203125" style="4" customWidth="1"/>
    <col min="32" max="32" width="10.58203125" style="10" customWidth="1"/>
    <col min="33" max="33" width="10.58203125" style="1" customWidth="1"/>
    <col min="34" max="34" width="7.58203125" style="4" customWidth="1"/>
    <col min="35" max="35" width="10.58203125" style="10" customWidth="1"/>
    <col min="36" max="36" width="10.58203125" style="1" customWidth="1"/>
    <col min="37" max="37" width="7.58203125" style="4" customWidth="1"/>
    <col min="38" max="38" width="10.58203125" style="10" customWidth="1"/>
    <col min="39" max="39" width="10.58203125" style="1" customWidth="1"/>
    <col min="40" max="40" width="7.58203125" style="4" customWidth="1"/>
    <col min="41" max="41" width="10.58203125" style="10" customWidth="1"/>
    <col min="42" max="42" width="10.58203125" style="1" customWidth="1"/>
    <col min="43" max="16384" width="9" style="1"/>
  </cols>
  <sheetData>
    <row r="1" spans="1:45" ht="24" customHeight="1">
      <c r="A1" s="57" t="s">
        <v>58</v>
      </c>
      <c r="B1" s="57"/>
      <c r="C1" s="57"/>
      <c r="D1" s="57"/>
      <c r="E1" s="57"/>
      <c r="F1" s="57"/>
      <c r="G1" s="57"/>
      <c r="H1" s="58"/>
      <c r="J1" s="59" t="s">
        <v>60</v>
      </c>
      <c r="K1" s="59"/>
      <c r="L1" s="59"/>
      <c r="M1" s="59"/>
      <c r="N1" s="59"/>
      <c r="O1" s="59"/>
      <c r="P1" s="59"/>
      <c r="Q1" s="59"/>
      <c r="R1" s="59"/>
      <c r="T1" s="60" t="s">
        <v>59</v>
      </c>
      <c r="U1" s="60"/>
      <c r="V1" s="60"/>
      <c r="W1" s="60"/>
      <c r="X1" s="60"/>
      <c r="Y1" s="60"/>
      <c r="Z1" s="60"/>
      <c r="AA1" s="60"/>
      <c r="AB1" s="60"/>
      <c r="AC1" s="60"/>
      <c r="AE1" s="61" t="s">
        <v>179</v>
      </c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</row>
    <row r="2" spans="1:45" s="2" customFormat="1" ht="19.5" customHeight="1">
      <c r="A2" s="63" t="s">
        <v>55</v>
      </c>
      <c r="B2" s="63"/>
      <c r="C2" s="63"/>
      <c r="D2" s="65"/>
      <c r="E2" s="66"/>
      <c r="F2" s="67"/>
      <c r="G2" s="65"/>
      <c r="H2" s="67"/>
      <c r="J2" s="71" t="s">
        <v>56</v>
      </c>
      <c r="K2" s="71"/>
      <c r="L2" s="71"/>
      <c r="M2" s="71"/>
      <c r="N2" s="73"/>
      <c r="O2" s="74"/>
      <c r="P2" s="75"/>
      <c r="Q2" s="73"/>
      <c r="R2" s="75"/>
      <c r="T2" s="90" t="s">
        <v>57</v>
      </c>
      <c r="U2" s="90"/>
      <c r="V2" s="90"/>
      <c r="W2" s="90"/>
      <c r="X2" s="90"/>
      <c r="Y2" s="92"/>
      <c r="Z2" s="93"/>
      <c r="AA2" s="94"/>
      <c r="AB2" s="92"/>
      <c r="AC2" s="94"/>
      <c r="AE2" s="54" t="s">
        <v>104</v>
      </c>
      <c r="AF2" s="55"/>
      <c r="AG2" s="56"/>
      <c r="AH2" s="81" t="s">
        <v>105</v>
      </c>
      <c r="AI2" s="82"/>
      <c r="AJ2" s="83"/>
      <c r="AK2" s="54" t="s">
        <v>106</v>
      </c>
      <c r="AL2" s="55"/>
      <c r="AM2" s="56"/>
      <c r="AN2" s="81" t="s">
        <v>107</v>
      </c>
      <c r="AO2" s="82"/>
      <c r="AP2" s="83"/>
      <c r="AQ2" s="54" t="s">
        <v>108</v>
      </c>
      <c r="AR2" s="55"/>
      <c r="AS2" s="56"/>
    </row>
    <row r="3" spans="1:45" ht="16.5" customHeight="1">
      <c r="A3" s="63"/>
      <c r="B3" s="63"/>
      <c r="C3" s="63"/>
      <c r="D3" s="68"/>
      <c r="E3" s="69"/>
      <c r="F3" s="70"/>
      <c r="G3" s="68"/>
      <c r="H3" s="70"/>
      <c r="J3" s="71"/>
      <c r="K3" s="71"/>
      <c r="L3" s="71"/>
      <c r="M3" s="71"/>
      <c r="N3" s="76"/>
      <c r="O3" s="77"/>
      <c r="P3" s="78"/>
      <c r="Q3" s="76"/>
      <c r="R3" s="78"/>
      <c r="T3" s="90"/>
      <c r="U3" s="90"/>
      <c r="V3" s="90"/>
      <c r="W3" s="90"/>
      <c r="X3" s="90"/>
      <c r="Y3" s="95"/>
      <c r="Z3" s="96"/>
      <c r="AA3" s="97"/>
      <c r="AB3" s="95"/>
      <c r="AC3" s="97"/>
      <c r="AE3" s="48" t="s">
        <v>178</v>
      </c>
      <c r="AF3" s="85" t="s">
        <v>177</v>
      </c>
      <c r="AG3" s="85"/>
      <c r="AH3" s="52" t="s">
        <v>178</v>
      </c>
      <c r="AI3" s="85" t="s">
        <v>177</v>
      </c>
      <c r="AJ3" s="85"/>
      <c r="AK3" s="52" t="s">
        <v>178</v>
      </c>
      <c r="AL3" s="85" t="s">
        <v>177</v>
      </c>
      <c r="AM3" s="85"/>
      <c r="AN3" s="52" t="s">
        <v>178</v>
      </c>
      <c r="AO3" s="85" t="s">
        <v>177</v>
      </c>
      <c r="AP3" s="85"/>
      <c r="AQ3" s="52" t="s">
        <v>178</v>
      </c>
      <c r="AR3" s="85" t="s">
        <v>177</v>
      </c>
      <c r="AS3" s="85"/>
    </row>
    <row r="4" spans="1:45" s="4" customFormat="1" ht="15.75" customHeight="1">
      <c r="A4" s="63"/>
      <c r="B4" s="64"/>
      <c r="C4" s="64"/>
      <c r="D4" s="19" t="s">
        <v>25</v>
      </c>
      <c r="E4" s="19" t="s">
        <v>26</v>
      </c>
      <c r="F4" s="19" t="s">
        <v>27</v>
      </c>
      <c r="G4" s="19" t="s">
        <v>28</v>
      </c>
      <c r="H4" s="19" t="s">
        <v>29</v>
      </c>
      <c r="J4" s="71"/>
      <c r="K4" s="72"/>
      <c r="L4" s="72"/>
      <c r="M4" s="72"/>
      <c r="N4" s="27" t="s">
        <v>25</v>
      </c>
      <c r="O4" s="27" t="s">
        <v>26</v>
      </c>
      <c r="P4" s="27" t="s">
        <v>27</v>
      </c>
      <c r="Q4" s="27" t="s">
        <v>28</v>
      </c>
      <c r="R4" s="27" t="s">
        <v>29</v>
      </c>
      <c r="T4" s="90"/>
      <c r="U4" s="91"/>
      <c r="V4" s="91"/>
      <c r="W4" s="91"/>
      <c r="X4" s="91"/>
      <c r="Y4" s="28" t="s">
        <v>25</v>
      </c>
      <c r="Z4" s="28" t="s">
        <v>26</v>
      </c>
      <c r="AA4" s="28" t="s">
        <v>27</v>
      </c>
      <c r="AB4" s="28" t="s">
        <v>28</v>
      </c>
      <c r="AC4" s="28" t="s">
        <v>29</v>
      </c>
      <c r="AE4" s="48"/>
      <c r="AF4" s="48" t="s">
        <v>0</v>
      </c>
      <c r="AG4" s="48" t="s">
        <v>1</v>
      </c>
      <c r="AH4" s="48"/>
      <c r="AI4" s="48" t="s">
        <v>0</v>
      </c>
      <c r="AJ4" s="48" t="s">
        <v>1</v>
      </c>
      <c r="AK4" s="48" t="s">
        <v>2</v>
      </c>
      <c r="AL4" s="48" t="s">
        <v>0</v>
      </c>
      <c r="AM4" s="48" t="s">
        <v>1</v>
      </c>
      <c r="AN4" s="49" t="s">
        <v>2</v>
      </c>
      <c r="AO4" s="49" t="s">
        <v>0</v>
      </c>
      <c r="AP4" s="49" t="s">
        <v>1</v>
      </c>
      <c r="AQ4" s="48" t="s">
        <v>2</v>
      </c>
      <c r="AR4" s="48" t="s">
        <v>0</v>
      </c>
      <c r="AS4" s="48" t="s">
        <v>1</v>
      </c>
    </row>
    <row r="5" spans="1:45">
      <c r="A5" s="24">
        <v>1</v>
      </c>
      <c r="B5" s="19" t="s">
        <v>30</v>
      </c>
      <c r="C5" s="19" t="s">
        <v>32</v>
      </c>
      <c r="D5" s="11">
        <v>333.07356544763502</v>
      </c>
      <c r="E5" s="9">
        <v>332.01355394019686</v>
      </c>
      <c r="F5" s="9">
        <v>350.00142856851312</v>
      </c>
      <c r="G5" s="9">
        <v>349</v>
      </c>
      <c r="H5" s="9">
        <v>375</v>
      </c>
      <c r="J5" s="21">
        <v>1</v>
      </c>
      <c r="K5" s="27" t="s">
        <v>30</v>
      </c>
      <c r="L5" s="27" t="s">
        <v>35</v>
      </c>
      <c r="M5" s="27" t="s">
        <v>38</v>
      </c>
      <c r="N5" s="9">
        <v>67.668396004969708</v>
      </c>
      <c r="O5" s="9">
        <v>67.306205054907636</v>
      </c>
      <c r="P5" s="9">
        <v>71.399934113966921</v>
      </c>
      <c r="Q5" s="9">
        <v>71.681269637390542</v>
      </c>
      <c r="R5" s="9">
        <v>70.389655940819409</v>
      </c>
      <c r="T5" s="23">
        <v>1</v>
      </c>
      <c r="U5" s="28" t="s">
        <v>30</v>
      </c>
      <c r="V5" s="28" t="s">
        <v>35</v>
      </c>
      <c r="W5" s="28" t="s">
        <v>37</v>
      </c>
      <c r="X5" s="28" t="s">
        <v>38</v>
      </c>
      <c r="Y5" s="11">
        <v>38295</v>
      </c>
      <c r="Z5" s="9">
        <v>39176</v>
      </c>
      <c r="AA5" s="9">
        <v>36400</v>
      </c>
      <c r="AB5" s="9">
        <v>34202</v>
      </c>
      <c r="AC5" s="9">
        <v>44625</v>
      </c>
      <c r="AE5" s="48" t="s">
        <v>3</v>
      </c>
      <c r="AF5" s="29">
        <v>600</v>
      </c>
      <c r="AG5" s="29">
        <v>486</v>
      </c>
      <c r="AH5" s="48" t="s">
        <v>3</v>
      </c>
      <c r="AI5" s="29">
        <v>600</v>
      </c>
      <c r="AJ5" s="29">
        <v>517</v>
      </c>
      <c r="AK5" s="48" t="s">
        <v>3</v>
      </c>
      <c r="AL5" s="29">
        <v>603</v>
      </c>
      <c r="AM5" s="29">
        <v>483</v>
      </c>
      <c r="AN5" s="48" t="s">
        <v>3</v>
      </c>
      <c r="AO5" s="29">
        <v>600</v>
      </c>
      <c r="AP5" s="29">
        <v>459</v>
      </c>
      <c r="AQ5" s="48" t="s">
        <v>3</v>
      </c>
      <c r="AR5" s="29">
        <v>600</v>
      </c>
      <c r="AS5" s="29">
        <v>421</v>
      </c>
    </row>
    <row r="6" spans="1:45">
      <c r="A6" s="24">
        <v>2</v>
      </c>
      <c r="B6" s="19" t="s">
        <v>30</v>
      </c>
      <c r="C6" s="19" t="s">
        <v>33</v>
      </c>
      <c r="D6" s="11">
        <v>482.00933600916903</v>
      </c>
      <c r="E6" s="9">
        <v>428</v>
      </c>
      <c r="F6" s="9">
        <v>467.00963587489287</v>
      </c>
      <c r="G6" s="9">
        <v>452</v>
      </c>
      <c r="H6" s="9">
        <v>503</v>
      </c>
      <c r="J6" s="21">
        <v>2</v>
      </c>
      <c r="K6" s="27" t="s">
        <v>31</v>
      </c>
      <c r="L6" s="27" t="s">
        <v>41</v>
      </c>
      <c r="M6" s="27" t="s">
        <v>34</v>
      </c>
      <c r="N6" s="9">
        <v>91.840034378390186</v>
      </c>
      <c r="O6" s="9">
        <v>91.815313107818156</v>
      </c>
      <c r="P6" s="9">
        <v>100.2594172073514</v>
      </c>
      <c r="Q6" s="9">
        <v>94.094739412408799</v>
      </c>
      <c r="R6" s="9">
        <v>92.42973000752248</v>
      </c>
      <c r="T6" s="23">
        <v>2</v>
      </c>
      <c r="U6" s="28" t="s">
        <v>31</v>
      </c>
      <c r="V6" s="28" t="s">
        <v>41</v>
      </c>
      <c r="W6" s="28" t="s">
        <v>34</v>
      </c>
      <c r="X6" s="28" t="s">
        <v>42</v>
      </c>
      <c r="Y6" s="11">
        <v>218610</v>
      </c>
      <c r="Z6" s="9">
        <v>204204</v>
      </c>
      <c r="AA6" s="9">
        <v>188887</v>
      </c>
      <c r="AB6" s="9">
        <v>224952</v>
      </c>
      <c r="AC6" s="9">
        <v>250470</v>
      </c>
      <c r="AE6" s="48" t="s">
        <v>4</v>
      </c>
      <c r="AF6" s="29">
        <v>478</v>
      </c>
      <c r="AG6" s="29">
        <v>783</v>
      </c>
      <c r="AH6" s="48" t="s">
        <v>4</v>
      </c>
      <c r="AI6" s="29">
        <v>485</v>
      </c>
      <c r="AJ6" s="29">
        <v>792</v>
      </c>
      <c r="AK6" s="48" t="s">
        <v>4</v>
      </c>
      <c r="AL6" s="29">
        <v>498</v>
      </c>
      <c r="AM6" s="29">
        <v>795</v>
      </c>
      <c r="AN6" s="48" t="s">
        <v>4</v>
      </c>
      <c r="AO6" s="29">
        <v>502</v>
      </c>
      <c r="AP6" s="29">
        <v>755</v>
      </c>
      <c r="AQ6" s="48" t="s">
        <v>4</v>
      </c>
      <c r="AR6" s="29">
        <v>481</v>
      </c>
      <c r="AS6" s="29">
        <v>755</v>
      </c>
    </row>
    <row r="7" spans="1:45">
      <c r="A7" s="24">
        <v>3</v>
      </c>
      <c r="B7" s="19" t="s">
        <v>31</v>
      </c>
      <c r="C7" s="19" t="s">
        <v>34</v>
      </c>
      <c r="D7" s="11">
        <v>694</v>
      </c>
      <c r="E7" s="9">
        <v>663</v>
      </c>
      <c r="F7" s="9">
        <v>697.00645621113154</v>
      </c>
      <c r="G7" s="9">
        <v>721</v>
      </c>
      <c r="H7" s="9">
        <v>759</v>
      </c>
      <c r="J7" s="21">
        <v>3</v>
      </c>
      <c r="K7" s="27" t="s">
        <v>31</v>
      </c>
      <c r="L7" s="27" t="s">
        <v>44</v>
      </c>
      <c r="M7" s="27" t="s">
        <v>37</v>
      </c>
      <c r="N7" s="9">
        <v>49.757165640021363</v>
      </c>
      <c r="O7" s="9">
        <v>50.933553103283337</v>
      </c>
      <c r="P7" s="9">
        <v>57.258808529848856</v>
      </c>
      <c r="Q7" s="9">
        <v>49.610402104215346</v>
      </c>
      <c r="R7" s="9">
        <v>51.13720772550451</v>
      </c>
      <c r="T7" s="23">
        <v>3</v>
      </c>
      <c r="U7" s="28" t="s">
        <v>41</v>
      </c>
      <c r="V7" s="28" t="s">
        <v>39</v>
      </c>
      <c r="W7" s="28" t="s">
        <v>34</v>
      </c>
      <c r="X7" s="28" t="s">
        <v>42</v>
      </c>
      <c r="Y7" s="11">
        <v>77761.5</v>
      </c>
      <c r="Z7" s="9">
        <v>76906</v>
      </c>
      <c r="AA7" s="9">
        <v>69427.5</v>
      </c>
      <c r="AB7" s="9">
        <v>80464</v>
      </c>
      <c r="AC7" s="9">
        <v>82363.5</v>
      </c>
      <c r="AE7" s="48" t="s">
        <v>5</v>
      </c>
      <c r="AF7" s="29">
        <v>593</v>
      </c>
      <c r="AG7" s="29">
        <v>819</v>
      </c>
      <c r="AH7" s="48" t="s">
        <v>5</v>
      </c>
      <c r="AI7" s="29">
        <v>603</v>
      </c>
      <c r="AJ7" s="29">
        <v>849</v>
      </c>
      <c r="AK7" s="48" t="s">
        <v>5</v>
      </c>
      <c r="AL7" s="29">
        <v>602</v>
      </c>
      <c r="AM7" s="29">
        <v>833</v>
      </c>
      <c r="AN7" s="48" t="s">
        <v>5</v>
      </c>
      <c r="AO7" s="29">
        <v>600</v>
      </c>
      <c r="AP7" s="29">
        <v>808</v>
      </c>
      <c r="AQ7" s="48" t="s">
        <v>5</v>
      </c>
      <c r="AR7" s="29">
        <v>600</v>
      </c>
      <c r="AS7" s="29">
        <v>796</v>
      </c>
    </row>
    <row r="8" spans="1:45" ht="15.75" customHeight="1">
      <c r="A8" s="24">
        <v>4</v>
      </c>
      <c r="B8" s="19" t="s">
        <v>35</v>
      </c>
      <c r="C8" s="19" t="s">
        <v>38</v>
      </c>
      <c r="D8" s="11">
        <v>230</v>
      </c>
      <c r="E8" s="9">
        <v>236</v>
      </c>
      <c r="F8" s="9">
        <v>208</v>
      </c>
      <c r="G8" s="9">
        <v>196</v>
      </c>
      <c r="H8" s="9">
        <v>238</v>
      </c>
      <c r="J8" s="21">
        <v>4</v>
      </c>
      <c r="K8" s="27" t="s">
        <v>35</v>
      </c>
      <c r="L8" s="27" t="s">
        <v>37</v>
      </c>
      <c r="M8" s="27" t="s">
        <v>38</v>
      </c>
      <c r="N8" s="9">
        <v>145.23522223754415</v>
      </c>
      <c r="O8" s="9">
        <v>128.43419035395738</v>
      </c>
      <c r="P8" s="9">
        <v>139.85694827092254</v>
      </c>
      <c r="Q8" s="9">
        <v>123.18950713305846</v>
      </c>
      <c r="R8" s="9">
        <v>141.97846716766603</v>
      </c>
      <c r="T8" s="23">
        <v>4</v>
      </c>
      <c r="U8" s="28" t="s">
        <v>46</v>
      </c>
      <c r="V8" s="28" t="s">
        <v>43</v>
      </c>
      <c r="W8" s="28" t="s">
        <v>33</v>
      </c>
      <c r="X8" s="28" t="s">
        <v>47</v>
      </c>
      <c r="Y8" s="11">
        <v>363534</v>
      </c>
      <c r="Z8" s="9">
        <v>380376.5</v>
      </c>
      <c r="AA8" s="9">
        <v>321040</v>
      </c>
      <c r="AB8" s="9">
        <v>400969</v>
      </c>
      <c r="AC8" s="9">
        <v>420084</v>
      </c>
      <c r="AE8" s="48" t="s">
        <v>6</v>
      </c>
      <c r="AF8" s="29">
        <f>AF7+(AF7-AF6)</f>
        <v>708</v>
      </c>
      <c r="AG8" s="29">
        <f>AG6</f>
        <v>783</v>
      </c>
      <c r="AH8" s="48" t="s">
        <v>6</v>
      </c>
      <c r="AI8" s="29">
        <f>AI7+(AI7-AI6)</f>
        <v>721</v>
      </c>
      <c r="AJ8" s="29">
        <f>AJ6</f>
        <v>792</v>
      </c>
      <c r="AK8" s="48" t="s">
        <v>6</v>
      </c>
      <c r="AL8" s="29">
        <f t="shared" ref="AL8" si="0">AL7+(AL7-AL6)</f>
        <v>706</v>
      </c>
      <c r="AM8" s="29">
        <f t="shared" ref="AM8" si="1">AM6</f>
        <v>795</v>
      </c>
      <c r="AN8" s="48" t="s">
        <v>6</v>
      </c>
      <c r="AO8" s="29">
        <f t="shared" ref="AO8" si="2">AO7+(AO7-AO6)</f>
        <v>698</v>
      </c>
      <c r="AP8" s="29">
        <f t="shared" ref="AP8" si="3">AP6</f>
        <v>755</v>
      </c>
      <c r="AQ8" s="48" t="s">
        <v>6</v>
      </c>
      <c r="AR8" s="29">
        <f t="shared" ref="AR8" si="4">AR7+(AR7-AR6)</f>
        <v>719</v>
      </c>
      <c r="AS8" s="29">
        <f t="shared" ref="AS8" si="5">AS6</f>
        <v>755</v>
      </c>
    </row>
    <row r="9" spans="1:45" ht="15.75" customHeight="1">
      <c r="A9" s="24">
        <v>5</v>
      </c>
      <c r="B9" s="19" t="s">
        <v>36</v>
      </c>
      <c r="C9" s="19" t="s">
        <v>33</v>
      </c>
      <c r="D9" s="11">
        <v>149.33519344079613</v>
      </c>
      <c r="E9" s="9">
        <v>96.046863561492728</v>
      </c>
      <c r="F9" s="9">
        <v>117.01709276853532</v>
      </c>
      <c r="G9" s="9">
        <v>103</v>
      </c>
      <c r="H9" s="9">
        <v>128</v>
      </c>
      <c r="J9" s="21">
        <v>5</v>
      </c>
      <c r="K9" s="27" t="s">
        <v>39</v>
      </c>
      <c r="L9" s="27" t="s">
        <v>34</v>
      </c>
      <c r="M9" s="27" t="s">
        <v>61</v>
      </c>
      <c r="N9" s="9">
        <v>139.60038675713179</v>
      </c>
      <c r="O9" s="9">
        <v>122.95376278737595</v>
      </c>
      <c r="P9" s="9">
        <v>134.3326916441649</v>
      </c>
      <c r="Q9" s="9">
        <v>149.48976259388445</v>
      </c>
      <c r="R9" s="9">
        <v>150.46915378014285</v>
      </c>
      <c r="T9" s="23">
        <v>5</v>
      </c>
      <c r="U9" s="28" t="s">
        <v>48</v>
      </c>
      <c r="V9" s="28" t="s">
        <v>43</v>
      </c>
      <c r="W9" s="28" t="s">
        <v>34</v>
      </c>
      <c r="X9" s="28" t="s">
        <v>44</v>
      </c>
      <c r="Y9" s="11">
        <v>378063</v>
      </c>
      <c r="Z9" s="9">
        <v>341205</v>
      </c>
      <c r="AA9" s="9">
        <v>330560</v>
      </c>
      <c r="AB9" s="9">
        <v>385664</v>
      </c>
      <c r="AC9" s="9">
        <v>382698</v>
      </c>
      <c r="AE9" s="48" t="s">
        <v>77</v>
      </c>
      <c r="AF9" s="29">
        <v>603</v>
      </c>
      <c r="AG9" s="29">
        <v>968</v>
      </c>
      <c r="AH9" s="48" t="s">
        <v>77</v>
      </c>
      <c r="AI9" s="29">
        <v>600</v>
      </c>
      <c r="AJ9" s="29">
        <v>945</v>
      </c>
      <c r="AK9" s="48" t="s">
        <v>77</v>
      </c>
      <c r="AL9" s="29">
        <v>600</v>
      </c>
      <c r="AM9" s="29">
        <v>950</v>
      </c>
      <c r="AN9" s="48" t="s">
        <v>77</v>
      </c>
      <c r="AO9" s="29">
        <v>600</v>
      </c>
      <c r="AP9" s="29">
        <v>911</v>
      </c>
      <c r="AQ9" s="48" t="s">
        <v>77</v>
      </c>
      <c r="AR9" s="29">
        <v>600</v>
      </c>
      <c r="AS9" s="29">
        <v>924</v>
      </c>
    </row>
    <row r="10" spans="1:45">
      <c r="A10" s="24">
        <v>6</v>
      </c>
      <c r="B10" s="19" t="s">
        <v>37</v>
      </c>
      <c r="C10" s="19" t="s">
        <v>34</v>
      </c>
      <c r="D10" s="11">
        <v>361.06786065779932</v>
      </c>
      <c r="E10" s="9">
        <v>331.01359488697739</v>
      </c>
      <c r="F10" s="9">
        <v>347.00576364089403</v>
      </c>
      <c r="G10" s="9">
        <v>372</v>
      </c>
      <c r="H10" s="9">
        <v>384</v>
      </c>
      <c r="J10" s="21">
        <v>6</v>
      </c>
      <c r="K10" s="27" t="s">
        <v>40</v>
      </c>
      <c r="L10" s="27" t="s">
        <v>34</v>
      </c>
      <c r="M10" s="27" t="s">
        <v>62</v>
      </c>
      <c r="N10" s="9">
        <v>20.199806621434075</v>
      </c>
      <c r="O10" s="9">
        <v>28.523118606312035</v>
      </c>
      <c r="P10" s="9">
        <v>22.833654177917584</v>
      </c>
      <c r="Q10" s="9">
        <v>15.255118703057759</v>
      </c>
      <c r="R10" s="9">
        <v>14.765423109928548</v>
      </c>
      <c r="T10" s="23">
        <v>6</v>
      </c>
      <c r="U10" s="28" t="s">
        <v>52</v>
      </c>
      <c r="V10" s="28" t="s">
        <v>53</v>
      </c>
      <c r="W10" s="28" t="s">
        <v>54</v>
      </c>
      <c r="X10" s="28" t="s">
        <v>50</v>
      </c>
      <c r="Y10" s="11">
        <v>4391</v>
      </c>
      <c r="Z10" s="9">
        <v>4599</v>
      </c>
      <c r="AA10" s="9">
        <v>4447</v>
      </c>
      <c r="AB10" s="9">
        <v>3753</v>
      </c>
      <c r="AC10" s="9">
        <v>1469</v>
      </c>
      <c r="AE10" s="48" t="s">
        <v>8</v>
      </c>
      <c r="AF10" s="29">
        <v>494</v>
      </c>
      <c r="AG10" s="29">
        <v>1141</v>
      </c>
      <c r="AH10" s="48" t="s">
        <v>8</v>
      </c>
      <c r="AI10" s="29">
        <v>508</v>
      </c>
      <c r="AJ10" s="29">
        <v>1130</v>
      </c>
      <c r="AK10" s="48" t="s">
        <v>8</v>
      </c>
      <c r="AL10" s="29">
        <v>505</v>
      </c>
      <c r="AM10" s="29">
        <v>1140</v>
      </c>
      <c r="AN10" s="48" t="s">
        <v>8</v>
      </c>
      <c r="AO10" s="29">
        <v>490</v>
      </c>
      <c r="AP10" s="29">
        <v>1150</v>
      </c>
      <c r="AQ10" s="48" t="s">
        <v>8</v>
      </c>
      <c r="AR10" s="29">
        <v>471</v>
      </c>
      <c r="AS10" s="29">
        <v>1146</v>
      </c>
    </row>
    <row r="11" spans="1:45">
      <c r="A11" s="24">
        <v>7</v>
      </c>
      <c r="B11" s="19" t="s">
        <v>39</v>
      </c>
      <c r="C11" s="19" t="s">
        <v>40</v>
      </c>
      <c r="D11" s="11">
        <v>212</v>
      </c>
      <c r="E11" s="9">
        <v>184</v>
      </c>
      <c r="F11" s="9">
        <v>190</v>
      </c>
      <c r="G11" s="9">
        <v>220</v>
      </c>
      <c r="H11" s="9">
        <v>258</v>
      </c>
      <c r="J11" s="21">
        <v>7</v>
      </c>
      <c r="K11" s="27" t="s">
        <v>41</v>
      </c>
      <c r="L11" s="27" t="s">
        <v>34</v>
      </c>
      <c r="M11" s="27" t="s">
        <v>62</v>
      </c>
      <c r="N11" s="9">
        <v>144.10262248829193</v>
      </c>
      <c r="O11" s="9">
        <v>142.18946601745918</v>
      </c>
      <c r="P11" s="9">
        <v>139.06952246031022</v>
      </c>
      <c r="Q11" s="9">
        <v>143.36588612403258</v>
      </c>
      <c r="R11" s="9">
        <v>145.95084106457051</v>
      </c>
      <c r="T11" s="23">
        <v>7</v>
      </c>
      <c r="U11" s="35" t="s">
        <v>76</v>
      </c>
      <c r="V11" s="35" t="s">
        <v>73</v>
      </c>
      <c r="W11" s="35" t="s">
        <v>75</v>
      </c>
      <c r="X11" s="35" t="s">
        <v>74</v>
      </c>
      <c r="Y11" s="11">
        <v>4968</v>
      </c>
      <c r="Z11" s="9">
        <v>4182</v>
      </c>
      <c r="AA11" s="9">
        <v>4005.5</v>
      </c>
      <c r="AB11" s="9">
        <v>6025.5</v>
      </c>
      <c r="AC11" s="9">
        <v>5299.5</v>
      </c>
      <c r="AE11" s="48" t="s">
        <v>9</v>
      </c>
      <c r="AF11" s="29">
        <v>600</v>
      </c>
      <c r="AG11" s="29">
        <v>1180</v>
      </c>
      <c r="AH11" s="48" t="s">
        <v>9</v>
      </c>
      <c r="AI11" s="29">
        <v>600</v>
      </c>
      <c r="AJ11" s="29">
        <v>1180</v>
      </c>
      <c r="AK11" s="48" t="s">
        <v>9</v>
      </c>
      <c r="AL11" s="29">
        <v>600</v>
      </c>
      <c r="AM11" s="29">
        <v>1180</v>
      </c>
      <c r="AN11" s="48" t="s">
        <v>9</v>
      </c>
      <c r="AO11" s="29">
        <v>600</v>
      </c>
      <c r="AP11" s="29">
        <v>1180</v>
      </c>
      <c r="AQ11" s="48" t="s">
        <v>9</v>
      </c>
      <c r="AR11" s="29">
        <v>600</v>
      </c>
      <c r="AS11" s="29">
        <v>1180</v>
      </c>
    </row>
    <row r="12" spans="1:45">
      <c r="A12" s="24">
        <v>8</v>
      </c>
      <c r="B12" s="19" t="s">
        <v>41</v>
      </c>
      <c r="C12" s="19" t="s">
        <v>42</v>
      </c>
      <c r="D12" s="11">
        <v>630</v>
      </c>
      <c r="E12" s="9">
        <v>616</v>
      </c>
      <c r="F12" s="9">
        <v>542</v>
      </c>
      <c r="G12" s="9">
        <v>624</v>
      </c>
      <c r="H12" s="9">
        <v>660</v>
      </c>
      <c r="J12" s="21">
        <v>8</v>
      </c>
      <c r="K12" s="27" t="s">
        <v>42</v>
      </c>
      <c r="L12" s="27" t="s">
        <v>34</v>
      </c>
      <c r="M12" s="27" t="s">
        <v>62</v>
      </c>
      <c r="N12" s="9">
        <v>35.897377511708093</v>
      </c>
      <c r="O12" s="9">
        <v>37.810533982540839</v>
      </c>
      <c r="P12" s="9">
        <v>40.930477539689768</v>
      </c>
      <c r="Q12" s="9">
        <v>36.634113875967408</v>
      </c>
      <c r="R12" s="9">
        <v>34.049158935429475</v>
      </c>
      <c r="T12" s="23">
        <v>8</v>
      </c>
      <c r="U12" s="28"/>
      <c r="V12" s="28"/>
      <c r="W12" s="28"/>
      <c r="X12" s="28"/>
      <c r="Y12" s="11"/>
      <c r="Z12" s="9"/>
      <c r="AA12" s="9"/>
      <c r="AB12" s="9"/>
      <c r="AC12" s="9"/>
      <c r="AE12" s="48" t="s">
        <v>10</v>
      </c>
      <c r="AF12" s="29">
        <f>AF11+(AF11-AF10)</f>
        <v>706</v>
      </c>
      <c r="AG12" s="29">
        <f>AG10</f>
        <v>1141</v>
      </c>
      <c r="AH12" s="48" t="s">
        <v>10</v>
      </c>
      <c r="AI12" s="29">
        <f>AI11+(AI11-AI10)</f>
        <v>692</v>
      </c>
      <c r="AJ12" s="29">
        <f>AJ10</f>
        <v>1130</v>
      </c>
      <c r="AK12" s="48" t="s">
        <v>10</v>
      </c>
      <c r="AL12" s="29">
        <f t="shared" ref="AL12" si="6">AL11+(AL11-AL10)</f>
        <v>695</v>
      </c>
      <c r="AM12" s="29">
        <f t="shared" ref="AM12" si="7">AM10</f>
        <v>1140</v>
      </c>
      <c r="AN12" s="48" t="s">
        <v>10</v>
      </c>
      <c r="AO12" s="29">
        <f t="shared" ref="AO12" si="8">AO11+(AO11-AO10)</f>
        <v>710</v>
      </c>
      <c r="AP12" s="29">
        <f t="shared" ref="AP12" si="9">AP10</f>
        <v>1150</v>
      </c>
      <c r="AQ12" s="48" t="s">
        <v>10</v>
      </c>
      <c r="AR12" s="29">
        <f t="shared" ref="AR12" si="10">AR11+(AR11-AR10)</f>
        <v>729</v>
      </c>
      <c r="AS12" s="29">
        <f t="shared" ref="AS12" si="11">AS10</f>
        <v>1146</v>
      </c>
    </row>
    <row r="13" spans="1:45">
      <c r="A13" s="24">
        <v>9</v>
      </c>
      <c r="B13" s="19" t="s">
        <v>43</v>
      </c>
      <c r="C13" s="19" t="s">
        <v>44</v>
      </c>
      <c r="D13" s="11">
        <v>706</v>
      </c>
      <c r="E13" s="9">
        <v>690</v>
      </c>
      <c r="F13" s="9">
        <v>640</v>
      </c>
      <c r="G13" s="9">
        <v>736</v>
      </c>
      <c r="H13" s="9">
        <v>746</v>
      </c>
      <c r="J13" s="21">
        <v>9</v>
      </c>
      <c r="K13" s="27" t="s">
        <v>43</v>
      </c>
      <c r="L13" s="27" t="s">
        <v>41</v>
      </c>
      <c r="M13" s="27" t="s">
        <v>34</v>
      </c>
      <c r="N13" s="9">
        <v>134.11895788208869</v>
      </c>
      <c r="O13" s="9">
        <v>137.66498848283479</v>
      </c>
      <c r="P13" s="9">
        <v>141.97678098682485</v>
      </c>
      <c r="Q13" s="9">
        <v>139.30902185370672</v>
      </c>
      <c r="R13" s="9">
        <v>133.62075458918619</v>
      </c>
      <c r="T13" s="23">
        <v>9</v>
      </c>
      <c r="U13" s="28"/>
      <c r="V13" s="28"/>
      <c r="W13" s="28"/>
      <c r="X13" s="28"/>
      <c r="Y13" s="11"/>
      <c r="Z13" s="9"/>
      <c r="AA13" s="9"/>
      <c r="AB13" s="9"/>
      <c r="AC13" s="9"/>
      <c r="AE13" s="48" t="s">
        <v>11</v>
      </c>
      <c r="AF13" s="29">
        <v>285</v>
      </c>
      <c r="AG13" s="29">
        <v>952</v>
      </c>
      <c r="AH13" s="48" t="s">
        <v>11</v>
      </c>
      <c r="AI13" s="29">
        <v>292</v>
      </c>
      <c r="AJ13" s="29">
        <v>941</v>
      </c>
      <c r="AK13" s="48" t="s">
        <v>11</v>
      </c>
      <c r="AL13" s="29">
        <v>329</v>
      </c>
      <c r="AM13" s="29">
        <v>945</v>
      </c>
      <c r="AN13" s="48" t="s">
        <v>11</v>
      </c>
      <c r="AO13" s="29">
        <v>288</v>
      </c>
      <c r="AP13" s="29">
        <v>948</v>
      </c>
      <c r="AQ13" s="48" t="s">
        <v>11</v>
      </c>
      <c r="AR13" s="29">
        <v>270</v>
      </c>
      <c r="AS13" s="29">
        <v>957</v>
      </c>
    </row>
    <row r="14" spans="1:45">
      <c r="A14" s="24">
        <v>10</v>
      </c>
      <c r="B14" s="19" t="s">
        <v>45</v>
      </c>
      <c r="C14" s="19" t="s">
        <v>43</v>
      </c>
      <c r="D14" s="11">
        <v>61.814237842102365</v>
      </c>
      <c r="E14" s="9">
        <v>91.983694207180008</v>
      </c>
      <c r="F14" s="9">
        <v>83.096329642168911</v>
      </c>
      <c r="G14" s="9">
        <v>56.008927859761783</v>
      </c>
      <c r="H14" s="9">
        <v>308.24016610428953</v>
      </c>
      <c r="J14" s="21">
        <v>10</v>
      </c>
      <c r="K14" s="27" t="s">
        <v>44</v>
      </c>
      <c r="L14" s="27" t="s">
        <v>32</v>
      </c>
      <c r="M14" s="27" t="s">
        <v>62</v>
      </c>
      <c r="N14" s="9">
        <v>51.446375962097314</v>
      </c>
      <c r="O14" s="9">
        <v>49.324871922731411</v>
      </c>
      <c r="P14" s="9">
        <v>54.588803254788381</v>
      </c>
      <c r="Q14" s="9">
        <v>49.174332709705951</v>
      </c>
      <c r="R14" s="9">
        <v>47.651927720511452</v>
      </c>
      <c r="T14" s="23">
        <v>10</v>
      </c>
      <c r="U14" s="28"/>
      <c r="V14" s="28"/>
      <c r="W14" s="28"/>
      <c r="X14" s="28"/>
      <c r="Y14" s="11"/>
      <c r="Z14" s="9"/>
      <c r="AA14" s="9"/>
      <c r="AB14" s="9"/>
      <c r="AC14" s="9"/>
      <c r="AE14" s="48" t="s">
        <v>12</v>
      </c>
      <c r="AF14" s="29">
        <f>600+(600-AF13)</f>
        <v>915</v>
      </c>
      <c r="AG14" s="29">
        <f>AG13</f>
        <v>952</v>
      </c>
      <c r="AH14" s="48" t="s">
        <v>12</v>
      </c>
      <c r="AI14" s="29">
        <f>600+(600-AI13)</f>
        <v>908</v>
      </c>
      <c r="AJ14" s="29">
        <f>AJ13</f>
        <v>941</v>
      </c>
      <c r="AK14" s="48" t="s">
        <v>12</v>
      </c>
      <c r="AL14" s="29">
        <f t="shared" ref="AL14" si="12">600+(600-AL13)</f>
        <v>871</v>
      </c>
      <c r="AM14" s="29">
        <f t="shared" ref="AM14" si="13">AM13</f>
        <v>945</v>
      </c>
      <c r="AN14" s="48" t="s">
        <v>12</v>
      </c>
      <c r="AO14" s="29">
        <f t="shared" ref="AO14" si="14">600+(600-AO13)</f>
        <v>912</v>
      </c>
      <c r="AP14" s="29">
        <f t="shared" ref="AP14" si="15">AP13</f>
        <v>948</v>
      </c>
      <c r="AQ14" s="48" t="s">
        <v>12</v>
      </c>
      <c r="AR14" s="29">
        <f t="shared" ref="AR14" si="16">600+(600-AR13)</f>
        <v>930</v>
      </c>
      <c r="AS14" s="29">
        <f t="shared" ref="AS14" si="17">AS13</f>
        <v>957</v>
      </c>
    </row>
    <row r="15" spans="1:45">
      <c r="A15" s="24">
        <v>11</v>
      </c>
      <c r="B15" s="19" t="s">
        <v>46</v>
      </c>
      <c r="C15" s="19" t="s">
        <v>47</v>
      </c>
      <c r="D15" s="11">
        <v>622</v>
      </c>
      <c r="E15" s="9">
        <v>698</v>
      </c>
      <c r="F15" s="9">
        <v>564</v>
      </c>
      <c r="G15" s="9">
        <v>670</v>
      </c>
      <c r="H15" s="9">
        <v>760</v>
      </c>
      <c r="J15" s="21">
        <v>11</v>
      </c>
      <c r="K15" s="27" t="s">
        <v>44</v>
      </c>
      <c r="L15" s="27" t="s">
        <v>33</v>
      </c>
      <c r="M15" s="27" t="s">
        <v>62</v>
      </c>
      <c r="N15" s="9">
        <v>58.7340750764332</v>
      </c>
      <c r="O15" s="9">
        <v>54.225731391875378</v>
      </c>
      <c r="P15" s="9">
        <v>60.290695090608011</v>
      </c>
      <c r="Q15" s="9">
        <v>54.827228546255846</v>
      </c>
      <c r="R15" s="9">
        <v>54.575690096269049</v>
      </c>
      <c r="T15" s="23">
        <v>11</v>
      </c>
      <c r="U15" s="28"/>
      <c r="V15" s="28"/>
      <c r="W15" s="28"/>
      <c r="X15" s="28"/>
      <c r="Y15" s="11"/>
      <c r="Z15" s="9"/>
      <c r="AA15" s="9"/>
      <c r="AB15" s="9"/>
      <c r="AC15" s="9"/>
      <c r="AE15" s="48" t="s">
        <v>13</v>
      </c>
      <c r="AF15" s="29">
        <v>247</v>
      </c>
      <c r="AG15" s="29">
        <v>689</v>
      </c>
      <c r="AH15" s="48" t="s">
        <v>13</v>
      </c>
      <c r="AI15" s="29">
        <v>255</v>
      </c>
      <c r="AJ15" s="29">
        <v>728</v>
      </c>
      <c r="AK15" s="48" t="s">
        <v>13</v>
      </c>
      <c r="AL15" s="29">
        <v>280</v>
      </c>
      <c r="AM15" s="29">
        <v>694</v>
      </c>
      <c r="AN15" s="48" t="s">
        <v>13</v>
      </c>
      <c r="AO15" s="29">
        <v>232</v>
      </c>
      <c r="AP15" s="29">
        <v>699</v>
      </c>
      <c r="AQ15" s="48" t="s">
        <v>13</v>
      </c>
      <c r="AR15" s="29">
        <v>227</v>
      </c>
      <c r="AS15" s="29">
        <v>702</v>
      </c>
    </row>
    <row r="16" spans="1:45" ht="15.75" customHeight="1">
      <c r="A16" s="24">
        <v>12</v>
      </c>
      <c r="B16" s="19" t="s">
        <v>48</v>
      </c>
      <c r="C16" s="19" t="s">
        <v>31</v>
      </c>
      <c r="D16" s="11">
        <v>377.01193615056803</v>
      </c>
      <c r="E16" s="9">
        <v>326.15333817086713</v>
      </c>
      <c r="F16" s="9">
        <v>336.07290875641849</v>
      </c>
      <c r="G16" s="9">
        <v>327</v>
      </c>
      <c r="H16" s="9">
        <v>267</v>
      </c>
      <c r="J16" s="21">
        <v>12</v>
      </c>
      <c r="K16" s="27" t="s">
        <v>47</v>
      </c>
      <c r="L16" s="27" t="s">
        <v>30</v>
      </c>
      <c r="M16" s="27" t="s">
        <v>62</v>
      </c>
      <c r="N16" s="9">
        <v>98.571096107190115</v>
      </c>
      <c r="O16" s="9">
        <v>95.800586394712766</v>
      </c>
      <c r="P16" s="9">
        <v>101.09149413749807</v>
      </c>
      <c r="Q16" s="9">
        <v>100.45101339540294</v>
      </c>
      <c r="R16" s="9">
        <v>92.09200679245204</v>
      </c>
      <c r="T16" s="23">
        <v>12</v>
      </c>
      <c r="U16" s="28"/>
      <c r="V16" s="28"/>
      <c r="W16" s="28"/>
      <c r="X16" s="28"/>
      <c r="Y16" s="11"/>
      <c r="Z16" s="9"/>
      <c r="AA16" s="9"/>
      <c r="AB16" s="9"/>
      <c r="AC16" s="9"/>
      <c r="AE16" s="48" t="s">
        <v>14</v>
      </c>
      <c r="AF16" s="29">
        <f>600+(600-AF15)</f>
        <v>953</v>
      </c>
      <c r="AG16" s="29">
        <f>AG15</f>
        <v>689</v>
      </c>
      <c r="AH16" s="48" t="s">
        <v>14</v>
      </c>
      <c r="AI16" s="29">
        <f>600+(600-AI15)</f>
        <v>945</v>
      </c>
      <c r="AJ16" s="29">
        <f>AJ15</f>
        <v>728</v>
      </c>
      <c r="AK16" s="48" t="s">
        <v>14</v>
      </c>
      <c r="AL16" s="29">
        <f t="shared" ref="AL16" si="18">600+(600-AL15)</f>
        <v>920</v>
      </c>
      <c r="AM16" s="29">
        <f t="shared" ref="AM16" si="19">AM15</f>
        <v>694</v>
      </c>
      <c r="AN16" s="48" t="s">
        <v>14</v>
      </c>
      <c r="AO16" s="29">
        <f t="shared" ref="AO16" si="20">600+(600-AO15)</f>
        <v>968</v>
      </c>
      <c r="AP16" s="29">
        <f t="shared" ref="AP16" si="21">AP15</f>
        <v>699</v>
      </c>
      <c r="AQ16" s="48" t="s">
        <v>14</v>
      </c>
      <c r="AR16" s="29">
        <f t="shared" ref="AR16" si="22">600+(600-AR15)</f>
        <v>973</v>
      </c>
      <c r="AS16" s="29">
        <f t="shared" ref="AS16" si="23">AS15</f>
        <v>702</v>
      </c>
    </row>
    <row r="17" spans="1:45" ht="15.75" customHeight="1">
      <c r="A17" s="24">
        <v>13</v>
      </c>
      <c r="B17" s="19" t="s">
        <v>49</v>
      </c>
      <c r="C17" s="19" t="s">
        <v>37</v>
      </c>
      <c r="D17" s="11">
        <v>710.07041904306925</v>
      </c>
      <c r="E17" s="9">
        <v>658.12840692375528</v>
      </c>
      <c r="F17" s="9">
        <v>686.04664564444886</v>
      </c>
      <c r="G17" s="9">
        <v>676</v>
      </c>
      <c r="H17" s="9">
        <v>642</v>
      </c>
      <c r="J17" s="21">
        <v>13</v>
      </c>
      <c r="K17" s="27" t="s">
        <v>47</v>
      </c>
      <c r="L17" s="27" t="s">
        <v>48</v>
      </c>
      <c r="M17" s="27" t="s">
        <v>62</v>
      </c>
      <c r="N17" s="9">
        <v>56.861267975280185</v>
      </c>
      <c r="O17" s="9">
        <v>66.796846185341323</v>
      </c>
      <c r="P17" s="9">
        <v>62.163598410032037</v>
      </c>
      <c r="Q17" s="9">
        <v>71.523670336668474</v>
      </c>
      <c r="R17" s="9">
        <v>67.42265205811367</v>
      </c>
      <c r="T17" s="23">
        <v>13</v>
      </c>
      <c r="U17" s="28"/>
      <c r="V17" s="28"/>
      <c r="W17" s="28"/>
      <c r="X17" s="28"/>
      <c r="Y17" s="11"/>
      <c r="Z17" s="9"/>
      <c r="AA17" s="9"/>
      <c r="AB17" s="9"/>
      <c r="AC17" s="9"/>
      <c r="AE17" s="48" t="s">
        <v>15</v>
      </c>
      <c r="AF17" s="29">
        <v>186</v>
      </c>
      <c r="AG17" s="29">
        <v>699</v>
      </c>
      <c r="AH17" s="48" t="s">
        <v>15</v>
      </c>
      <c r="AI17" s="29">
        <v>165</v>
      </c>
      <c r="AJ17" s="29">
        <v>747</v>
      </c>
      <c r="AK17" s="48" t="s">
        <v>15</v>
      </c>
      <c r="AL17" s="29">
        <v>197</v>
      </c>
      <c r="AM17" s="29">
        <v>698</v>
      </c>
      <c r="AN17" s="48" t="s">
        <v>15</v>
      </c>
      <c r="AO17" s="29">
        <v>176</v>
      </c>
      <c r="AP17" s="29">
        <v>700</v>
      </c>
      <c r="AQ17" s="48" t="s">
        <v>15</v>
      </c>
      <c r="AR17" s="29">
        <v>141</v>
      </c>
      <c r="AS17" s="29">
        <v>406</v>
      </c>
    </row>
    <row r="18" spans="1:45">
      <c r="A18" s="24">
        <v>14</v>
      </c>
      <c r="B18" s="19" t="s">
        <v>49</v>
      </c>
      <c r="C18" s="19" t="s">
        <v>33</v>
      </c>
      <c r="D18" s="11">
        <v>859</v>
      </c>
      <c r="E18" s="9">
        <v>754.06631008154716</v>
      </c>
      <c r="F18" s="9">
        <v>803.06226408666475</v>
      </c>
      <c r="G18" s="9">
        <v>779</v>
      </c>
      <c r="H18" s="9">
        <v>770</v>
      </c>
      <c r="J18" s="21">
        <v>14</v>
      </c>
      <c r="K18" s="44" t="s">
        <v>48</v>
      </c>
      <c r="L18" s="44" t="s">
        <v>78</v>
      </c>
      <c r="M18" s="44" t="s">
        <v>79</v>
      </c>
      <c r="N18" s="11">
        <v>50.202099923974423</v>
      </c>
      <c r="O18" s="9">
        <v>32.150696708300266</v>
      </c>
      <c r="P18" s="9">
        <v>40.276818545755127</v>
      </c>
      <c r="Q18" s="9">
        <v>50.729751363739297</v>
      </c>
      <c r="R18" s="9">
        <v>33.63434582560231</v>
      </c>
      <c r="T18" s="23">
        <v>14</v>
      </c>
      <c r="U18" s="28"/>
      <c r="V18" s="28"/>
      <c r="W18" s="28"/>
      <c r="X18" s="28"/>
      <c r="Y18" s="11"/>
      <c r="Z18" s="9"/>
      <c r="AA18" s="9"/>
      <c r="AB18" s="9"/>
      <c r="AC18" s="9"/>
      <c r="AE18" s="48" t="s">
        <v>16</v>
      </c>
      <c r="AF18" s="29">
        <f>600+(600-AF17)</f>
        <v>1014</v>
      </c>
      <c r="AG18" s="29">
        <f>AG17</f>
        <v>699</v>
      </c>
      <c r="AH18" s="48" t="s">
        <v>16</v>
      </c>
      <c r="AI18" s="29">
        <f>600+(600-AI17)</f>
        <v>1035</v>
      </c>
      <c r="AJ18" s="29">
        <f>AJ17</f>
        <v>747</v>
      </c>
      <c r="AK18" s="48" t="s">
        <v>16</v>
      </c>
      <c r="AL18" s="29">
        <f t="shared" ref="AL18" si="24">600+(600-AL17)</f>
        <v>1003</v>
      </c>
      <c r="AM18" s="29">
        <f t="shared" ref="AM18" si="25">AM17</f>
        <v>698</v>
      </c>
      <c r="AN18" s="48" t="s">
        <v>16</v>
      </c>
      <c r="AO18" s="29">
        <f t="shared" ref="AO18" si="26">600+(600-AO17)</f>
        <v>1024</v>
      </c>
      <c r="AP18" s="29">
        <f t="shared" ref="AP18" si="27">AP17</f>
        <v>700</v>
      </c>
      <c r="AQ18" s="48" t="s">
        <v>16</v>
      </c>
      <c r="AR18" s="29">
        <f t="shared" ref="AR18" si="28">600+(600-AR17)</f>
        <v>1059</v>
      </c>
      <c r="AS18" s="29">
        <f t="shared" ref="AS18" si="29">AS17</f>
        <v>406</v>
      </c>
    </row>
    <row r="19" spans="1:45">
      <c r="A19" s="24">
        <v>15</v>
      </c>
      <c r="B19" s="19" t="s">
        <v>48</v>
      </c>
      <c r="C19" s="19" t="s">
        <v>34</v>
      </c>
      <c r="D19" s="11">
        <v>1071.0042016724303</v>
      </c>
      <c r="E19" s="9">
        <v>989.05055482518185</v>
      </c>
      <c r="F19" s="9">
        <v>1033.0484015766153</v>
      </c>
      <c r="G19" s="9">
        <v>1048</v>
      </c>
      <c r="H19" s="9">
        <v>1026</v>
      </c>
      <c r="J19" s="21">
        <v>15</v>
      </c>
      <c r="K19" s="44" t="s">
        <v>80</v>
      </c>
      <c r="L19" s="44" t="s">
        <v>78</v>
      </c>
      <c r="M19" s="44" t="s">
        <v>79</v>
      </c>
      <c r="N19" s="11">
        <v>28.429048833086149</v>
      </c>
      <c r="O19" s="9">
        <v>14.938135020111975</v>
      </c>
      <c r="P19" s="9">
        <v>19.814126954572579</v>
      </c>
      <c r="Q19" s="9">
        <v>26.850102454661812</v>
      </c>
      <c r="R19" s="9">
        <v>18.426483134521252</v>
      </c>
      <c r="T19" s="23">
        <v>15</v>
      </c>
      <c r="U19" s="28"/>
      <c r="V19" s="28"/>
      <c r="W19" s="28"/>
      <c r="X19" s="28"/>
      <c r="Y19" s="11"/>
      <c r="Z19" s="9"/>
      <c r="AA19" s="9"/>
      <c r="AB19" s="9"/>
      <c r="AC19" s="9"/>
      <c r="AE19" s="48" t="s">
        <v>17</v>
      </c>
      <c r="AF19" s="29">
        <v>289</v>
      </c>
      <c r="AG19" s="29">
        <v>135</v>
      </c>
      <c r="AH19" s="48" t="s">
        <v>17</v>
      </c>
      <c r="AI19" s="29">
        <v>251</v>
      </c>
      <c r="AJ19" s="29">
        <v>143</v>
      </c>
      <c r="AK19" s="48" t="s">
        <v>17</v>
      </c>
      <c r="AL19" s="29">
        <v>318</v>
      </c>
      <c r="AM19" s="29">
        <v>142</v>
      </c>
      <c r="AN19" s="48" t="s">
        <v>17</v>
      </c>
      <c r="AO19" s="29">
        <v>265</v>
      </c>
      <c r="AP19" s="29">
        <v>70</v>
      </c>
      <c r="AQ19" s="48" t="s">
        <v>17</v>
      </c>
      <c r="AR19" s="29">
        <v>220</v>
      </c>
      <c r="AS19" s="29">
        <v>108</v>
      </c>
    </row>
    <row r="20" spans="1:45">
      <c r="A20" s="24">
        <v>16</v>
      </c>
      <c r="B20" s="19" t="s">
        <v>50</v>
      </c>
      <c r="C20" s="19" t="s">
        <v>51</v>
      </c>
      <c r="D20" s="11">
        <v>57.140178508646613</v>
      </c>
      <c r="E20" s="9">
        <v>62.128898268036266</v>
      </c>
      <c r="F20" s="9">
        <v>62.393909959225986</v>
      </c>
      <c r="G20" s="9">
        <v>51.478150704935004</v>
      </c>
      <c r="H20" s="9">
        <v>20.808652046684813</v>
      </c>
      <c r="I20" s="3"/>
      <c r="J20" s="21">
        <v>16</v>
      </c>
      <c r="K20" s="44" t="s">
        <v>48</v>
      </c>
      <c r="L20" s="44" t="s">
        <v>81</v>
      </c>
      <c r="M20" s="44" t="s">
        <v>79</v>
      </c>
      <c r="N20" s="11">
        <v>117.41183792407496</v>
      </c>
      <c r="O20" s="9">
        <v>100.92817604110698</v>
      </c>
      <c r="P20" s="9">
        <v>107.14760780149858</v>
      </c>
      <c r="Q20" s="9">
        <v>169.42322974287615</v>
      </c>
      <c r="R20" s="9">
        <v>107.56714050711129</v>
      </c>
      <c r="T20" s="23">
        <v>16</v>
      </c>
      <c r="U20" s="28"/>
      <c r="V20" s="28"/>
      <c r="W20" s="28"/>
      <c r="X20" s="28"/>
      <c r="Y20" s="11"/>
      <c r="Z20" s="9"/>
      <c r="AA20" s="9"/>
      <c r="AB20" s="9"/>
      <c r="AC20" s="9"/>
      <c r="AE20" s="48" t="s">
        <v>18</v>
      </c>
      <c r="AF20" s="29">
        <v>603</v>
      </c>
      <c r="AG20" s="29">
        <v>109</v>
      </c>
      <c r="AH20" s="48" t="s">
        <v>18</v>
      </c>
      <c r="AI20" s="29">
        <v>590</v>
      </c>
      <c r="AJ20" s="29">
        <v>191</v>
      </c>
      <c r="AK20" s="48" t="s">
        <v>18</v>
      </c>
      <c r="AL20" s="29">
        <v>610</v>
      </c>
      <c r="AM20" s="29">
        <v>147</v>
      </c>
      <c r="AN20" s="48" t="s">
        <v>18</v>
      </c>
      <c r="AO20" s="29">
        <v>600</v>
      </c>
      <c r="AP20" s="29">
        <v>132</v>
      </c>
      <c r="AQ20" s="48" t="s">
        <v>18</v>
      </c>
      <c r="AR20" s="29">
        <v>600</v>
      </c>
      <c r="AS20" s="29">
        <v>154</v>
      </c>
    </row>
    <row r="21" spans="1:45">
      <c r="A21" s="24">
        <v>17</v>
      </c>
      <c r="B21" s="19" t="s">
        <v>65</v>
      </c>
      <c r="C21" s="19" t="s">
        <v>66</v>
      </c>
      <c r="D21" s="11">
        <v>212.02122535255756</v>
      </c>
      <c r="E21" s="9">
        <v>235</v>
      </c>
      <c r="F21" s="9">
        <v>230</v>
      </c>
      <c r="G21" s="9">
        <v>269</v>
      </c>
      <c r="H21" s="9">
        <v>256</v>
      </c>
      <c r="I21" s="3"/>
      <c r="J21" s="21">
        <v>17</v>
      </c>
      <c r="K21" s="44" t="s">
        <v>80</v>
      </c>
      <c r="L21" s="44" t="s">
        <v>81</v>
      </c>
      <c r="M21" s="44" t="s">
        <v>79</v>
      </c>
      <c r="N21" s="11">
        <v>33.872721550603202</v>
      </c>
      <c r="O21" s="9">
        <v>17.889739473204344</v>
      </c>
      <c r="P21" s="9">
        <v>25.094992222612095</v>
      </c>
      <c r="Q21" s="9">
        <v>86.696840821117462</v>
      </c>
      <c r="R21" s="9">
        <v>24.058964898700168</v>
      </c>
      <c r="T21" s="23">
        <v>17</v>
      </c>
      <c r="U21" s="28"/>
      <c r="V21" s="28"/>
      <c r="W21" s="28"/>
      <c r="X21" s="28"/>
      <c r="Y21" s="11"/>
      <c r="Z21" s="9"/>
      <c r="AA21" s="9"/>
      <c r="AB21" s="9"/>
      <c r="AC21" s="9"/>
      <c r="AE21" s="48" t="s">
        <v>19</v>
      </c>
      <c r="AF21" s="29">
        <f>600+(600-AF19)</f>
        <v>911</v>
      </c>
      <c r="AG21" s="29">
        <f>AG19</f>
        <v>135</v>
      </c>
      <c r="AH21" s="48" t="s">
        <v>19</v>
      </c>
      <c r="AI21" s="29">
        <f>600+(600-AI19)</f>
        <v>949</v>
      </c>
      <c r="AJ21" s="29">
        <f>AJ19</f>
        <v>143</v>
      </c>
      <c r="AK21" s="48" t="s">
        <v>19</v>
      </c>
      <c r="AL21" s="29">
        <f t="shared" ref="AL21" si="30">600+(600-AL19)</f>
        <v>882</v>
      </c>
      <c r="AM21" s="29">
        <f t="shared" ref="AM21" si="31">AM19</f>
        <v>142</v>
      </c>
      <c r="AN21" s="48" t="s">
        <v>19</v>
      </c>
      <c r="AO21" s="29">
        <f t="shared" ref="AO21" si="32">600+(600-AO19)</f>
        <v>935</v>
      </c>
      <c r="AP21" s="29">
        <f t="shared" ref="AP21" si="33">AP19</f>
        <v>70</v>
      </c>
      <c r="AQ21" s="48" t="s">
        <v>19</v>
      </c>
      <c r="AR21" s="29">
        <f t="shared" ref="AR21" si="34">600+(600-AR19)</f>
        <v>980</v>
      </c>
      <c r="AS21" s="29">
        <f t="shared" ref="AS21" si="35">AS19</f>
        <v>108</v>
      </c>
    </row>
    <row r="22" spans="1:45">
      <c r="A22" s="24">
        <v>18</v>
      </c>
      <c r="B22" s="19" t="s">
        <v>76</v>
      </c>
      <c r="C22" s="19" t="s">
        <v>75</v>
      </c>
      <c r="D22" s="11">
        <v>54</v>
      </c>
      <c r="E22" s="9">
        <v>37.013511046643494</v>
      </c>
      <c r="F22" s="9">
        <v>42.296571965113202</v>
      </c>
      <c r="G22" s="9">
        <v>111.82575731914361</v>
      </c>
      <c r="H22" s="9">
        <v>47.095647357266465</v>
      </c>
      <c r="I22" s="3"/>
      <c r="J22" s="21">
        <v>18</v>
      </c>
      <c r="K22" s="27"/>
      <c r="L22" s="27"/>
      <c r="M22" s="27"/>
      <c r="N22" s="11"/>
      <c r="O22" s="9"/>
      <c r="P22" s="9"/>
      <c r="Q22" s="9"/>
      <c r="R22" s="9"/>
      <c r="T22" s="23">
        <v>18</v>
      </c>
      <c r="U22" s="28"/>
      <c r="V22" s="28"/>
      <c r="W22" s="28"/>
      <c r="X22" s="28"/>
      <c r="Y22" s="11"/>
      <c r="Z22" s="9"/>
      <c r="AA22" s="9"/>
      <c r="AB22" s="9"/>
      <c r="AC22" s="9"/>
      <c r="AE22" s="48" t="s">
        <v>20</v>
      </c>
      <c r="AF22" s="29">
        <v>351</v>
      </c>
      <c r="AG22" s="29">
        <v>604</v>
      </c>
      <c r="AH22" s="48" t="s">
        <v>20</v>
      </c>
      <c r="AI22" s="29">
        <v>342</v>
      </c>
      <c r="AJ22" s="29">
        <v>609</v>
      </c>
      <c r="AK22" s="48" t="s">
        <v>20</v>
      </c>
      <c r="AL22" s="29">
        <v>357</v>
      </c>
      <c r="AM22" s="29">
        <v>583</v>
      </c>
      <c r="AN22" s="49" t="s">
        <v>20</v>
      </c>
      <c r="AO22" s="30">
        <v>355</v>
      </c>
      <c r="AP22" s="30">
        <v>577</v>
      </c>
      <c r="AQ22" s="48" t="s">
        <v>20</v>
      </c>
      <c r="AR22" s="29">
        <v>349</v>
      </c>
      <c r="AS22" s="29">
        <v>565</v>
      </c>
    </row>
    <row r="23" spans="1:45">
      <c r="A23" s="24">
        <v>19</v>
      </c>
      <c r="B23" s="19" t="s">
        <v>73</v>
      </c>
      <c r="C23" s="19" t="s">
        <v>74</v>
      </c>
      <c r="D23" s="11">
        <v>185.69060288555261</v>
      </c>
      <c r="E23" s="9">
        <v>229.68238939892626</v>
      </c>
      <c r="F23" s="9">
        <v>193.93297811357408</v>
      </c>
      <c r="G23" s="9">
        <v>207.40781084616847</v>
      </c>
      <c r="H23" s="9">
        <v>231.31147831441481</v>
      </c>
      <c r="I23" s="3"/>
      <c r="J23" s="21">
        <v>19</v>
      </c>
      <c r="K23" s="27"/>
      <c r="L23" s="27"/>
      <c r="M23" s="27"/>
      <c r="N23" s="11"/>
      <c r="O23" s="9"/>
      <c r="P23" s="9"/>
      <c r="Q23" s="9"/>
      <c r="R23" s="9"/>
      <c r="T23" s="23">
        <v>19</v>
      </c>
      <c r="U23" s="28"/>
      <c r="V23" s="28"/>
      <c r="W23" s="28"/>
      <c r="X23" s="28"/>
      <c r="Y23" s="11"/>
      <c r="Z23" s="9"/>
      <c r="AA23" s="9"/>
      <c r="AB23" s="9"/>
      <c r="AC23" s="9"/>
      <c r="AE23" s="48" t="s">
        <v>21</v>
      </c>
      <c r="AF23" s="29">
        <v>429</v>
      </c>
      <c r="AG23" s="29">
        <v>627</v>
      </c>
      <c r="AH23" s="49" t="s">
        <v>109</v>
      </c>
      <c r="AI23" s="30">
        <v>416</v>
      </c>
      <c r="AJ23" s="30">
        <v>623</v>
      </c>
      <c r="AK23" s="48" t="s">
        <v>21</v>
      </c>
      <c r="AL23" s="29">
        <v>425</v>
      </c>
      <c r="AM23" s="29">
        <v>602</v>
      </c>
      <c r="AN23" s="49" t="s">
        <v>21</v>
      </c>
      <c r="AO23" s="30">
        <v>439</v>
      </c>
      <c r="AP23" s="30">
        <v>589</v>
      </c>
      <c r="AQ23" s="48" t="s">
        <v>21</v>
      </c>
      <c r="AR23" s="29">
        <v>418</v>
      </c>
      <c r="AS23" s="29">
        <v>577</v>
      </c>
    </row>
    <row r="24" spans="1:45">
      <c r="A24" s="24">
        <v>20</v>
      </c>
      <c r="B24" s="19"/>
      <c r="C24" s="19"/>
      <c r="D24" s="11"/>
      <c r="E24" s="9"/>
      <c r="F24" s="9"/>
      <c r="G24" s="9"/>
      <c r="H24" s="9"/>
      <c r="I24" s="3"/>
      <c r="J24" s="21">
        <v>20</v>
      </c>
      <c r="K24" s="27"/>
      <c r="L24" s="27"/>
      <c r="M24" s="27"/>
      <c r="N24" s="11"/>
      <c r="O24" s="9"/>
      <c r="P24" s="9"/>
      <c r="Q24" s="9"/>
      <c r="R24" s="9"/>
      <c r="T24" s="23">
        <v>20</v>
      </c>
      <c r="U24" s="28"/>
      <c r="V24" s="28"/>
      <c r="W24" s="28"/>
      <c r="X24" s="28"/>
      <c r="Y24" s="11"/>
      <c r="Z24" s="9"/>
      <c r="AA24" s="9"/>
      <c r="AB24" s="9"/>
      <c r="AC24" s="9"/>
      <c r="AE24" s="48" t="s">
        <v>22</v>
      </c>
      <c r="AF24" s="29">
        <v>505</v>
      </c>
      <c r="AG24" s="29">
        <v>603</v>
      </c>
      <c r="AH24" s="49" t="s">
        <v>22</v>
      </c>
      <c r="AI24" s="30">
        <v>491</v>
      </c>
      <c r="AJ24" s="30">
        <v>599</v>
      </c>
      <c r="AK24" s="48" t="s">
        <v>22</v>
      </c>
      <c r="AL24" s="29">
        <v>500</v>
      </c>
      <c r="AM24" s="29">
        <v>587</v>
      </c>
      <c r="AN24" s="49" t="s">
        <v>22</v>
      </c>
      <c r="AO24" s="30">
        <v>503</v>
      </c>
      <c r="AP24" s="30">
        <v>571</v>
      </c>
      <c r="AQ24" s="48" t="s">
        <v>22</v>
      </c>
      <c r="AR24" s="29">
        <v>495</v>
      </c>
      <c r="AS24" s="29">
        <v>603</v>
      </c>
    </row>
    <row r="25" spans="1:45" ht="15.75" customHeight="1">
      <c r="A25" s="24">
        <v>21</v>
      </c>
      <c r="B25" s="19"/>
      <c r="C25" s="19"/>
      <c r="D25" s="9"/>
      <c r="E25" s="9"/>
      <c r="F25" s="9"/>
      <c r="G25" s="9"/>
      <c r="H25" s="9"/>
      <c r="I25" s="3"/>
      <c r="J25" s="21">
        <v>21</v>
      </c>
      <c r="K25" s="27"/>
      <c r="L25" s="27"/>
      <c r="M25" s="27"/>
      <c r="N25" s="11"/>
      <c r="O25" s="9"/>
      <c r="P25" s="9"/>
      <c r="Q25" s="9"/>
      <c r="R25" s="9"/>
      <c r="T25" s="23">
        <v>21</v>
      </c>
      <c r="U25" s="28"/>
      <c r="V25" s="28"/>
      <c r="W25" s="28"/>
      <c r="X25" s="28"/>
      <c r="Y25" s="11"/>
      <c r="Z25" s="9"/>
      <c r="AA25" s="9"/>
      <c r="AB25" s="9"/>
      <c r="AC25" s="9"/>
      <c r="AE25" s="48" t="s">
        <v>23</v>
      </c>
      <c r="AF25" s="29">
        <v>425</v>
      </c>
      <c r="AG25" s="29">
        <v>570</v>
      </c>
      <c r="AH25" s="49" t="s">
        <v>23</v>
      </c>
      <c r="AI25" s="30">
        <v>420</v>
      </c>
      <c r="AJ25" s="30">
        <v>561</v>
      </c>
      <c r="AK25" s="48" t="s">
        <v>23</v>
      </c>
      <c r="AL25" s="29">
        <v>432</v>
      </c>
      <c r="AM25" s="29">
        <v>540</v>
      </c>
      <c r="AN25" s="49" t="s">
        <v>23</v>
      </c>
      <c r="AO25" s="30">
        <v>446</v>
      </c>
      <c r="AP25" s="30">
        <v>538</v>
      </c>
      <c r="AQ25" s="48" t="s">
        <v>23</v>
      </c>
      <c r="AR25" s="29">
        <v>430</v>
      </c>
      <c r="AS25" s="29">
        <v>560</v>
      </c>
    </row>
    <row r="26" spans="1:45" ht="16.5" customHeight="1">
      <c r="A26" s="24">
        <v>22</v>
      </c>
      <c r="B26" s="19"/>
      <c r="C26" s="19"/>
      <c r="D26" s="9"/>
      <c r="E26" s="9"/>
      <c r="F26" s="9"/>
      <c r="G26" s="9"/>
      <c r="H26" s="9"/>
      <c r="I26" s="3"/>
      <c r="J26" s="21">
        <v>22</v>
      </c>
      <c r="K26" s="27"/>
      <c r="L26" s="27"/>
      <c r="M26" s="27"/>
      <c r="N26" s="11"/>
      <c r="O26" s="9"/>
      <c r="P26" s="9"/>
      <c r="Q26" s="9"/>
      <c r="R26" s="9"/>
      <c r="T26" s="23">
        <v>22</v>
      </c>
      <c r="U26" s="28"/>
      <c r="V26" s="28"/>
      <c r="W26" s="28"/>
      <c r="X26" s="28"/>
      <c r="Y26" s="11"/>
      <c r="Z26" s="9"/>
      <c r="AA26" s="9"/>
      <c r="AB26" s="9"/>
      <c r="AC26" s="9"/>
      <c r="AE26" s="48" t="s">
        <v>24</v>
      </c>
      <c r="AF26" s="31">
        <v>1180</v>
      </c>
      <c r="AG26" s="31">
        <v>1180</v>
      </c>
      <c r="AH26" s="49" t="s">
        <v>24</v>
      </c>
      <c r="AI26" s="30">
        <v>1180</v>
      </c>
      <c r="AJ26" s="30">
        <v>1180</v>
      </c>
      <c r="AK26" s="48" t="s">
        <v>24</v>
      </c>
      <c r="AL26" s="31">
        <v>1180</v>
      </c>
      <c r="AM26" s="31">
        <v>1180</v>
      </c>
      <c r="AN26" s="49" t="s">
        <v>24</v>
      </c>
      <c r="AO26" s="30">
        <v>1180</v>
      </c>
      <c r="AP26" s="30">
        <v>1180</v>
      </c>
      <c r="AQ26" s="32" t="s">
        <v>24</v>
      </c>
      <c r="AR26" s="31">
        <v>1180</v>
      </c>
      <c r="AS26" s="31">
        <v>1180</v>
      </c>
    </row>
    <row r="27" spans="1:45">
      <c r="A27" s="24">
        <v>23</v>
      </c>
      <c r="B27" s="19"/>
      <c r="C27" s="19"/>
      <c r="D27" s="9"/>
      <c r="E27" s="9"/>
      <c r="F27" s="9"/>
      <c r="G27" s="9"/>
      <c r="H27" s="9"/>
      <c r="J27" s="21">
        <v>23</v>
      </c>
      <c r="K27" s="27"/>
      <c r="L27" s="27"/>
      <c r="M27" s="27"/>
      <c r="N27" s="11"/>
      <c r="O27" s="9"/>
      <c r="P27" s="9"/>
      <c r="Q27" s="9"/>
      <c r="R27" s="9"/>
      <c r="T27" s="23">
        <v>23</v>
      </c>
      <c r="U27" s="28"/>
      <c r="V27" s="28"/>
      <c r="W27" s="28"/>
      <c r="X27" s="28"/>
      <c r="Y27" s="11"/>
      <c r="Z27" s="9"/>
      <c r="AA27" s="9"/>
      <c r="AB27" s="9"/>
      <c r="AC27" s="9"/>
      <c r="AE27" s="46" t="s">
        <v>67</v>
      </c>
      <c r="AF27" s="8">
        <v>600</v>
      </c>
      <c r="AG27" s="37">
        <v>0</v>
      </c>
      <c r="AH27" s="46" t="s">
        <v>67</v>
      </c>
      <c r="AI27" s="9">
        <v>600</v>
      </c>
      <c r="AJ27" s="38">
        <v>0</v>
      </c>
      <c r="AK27" s="46" t="s">
        <v>67</v>
      </c>
      <c r="AL27" s="8">
        <v>600</v>
      </c>
      <c r="AM27" s="37">
        <v>0</v>
      </c>
      <c r="AN27" s="46" t="s">
        <v>67</v>
      </c>
      <c r="AO27" s="9">
        <v>600</v>
      </c>
      <c r="AP27" s="38">
        <v>0</v>
      </c>
      <c r="AQ27" s="46" t="s">
        <v>67</v>
      </c>
      <c r="AR27" s="8">
        <v>600</v>
      </c>
      <c r="AS27" s="37">
        <v>0</v>
      </c>
    </row>
    <row r="28" spans="1:45" s="7" customFormat="1">
      <c r="A28" s="24">
        <v>24</v>
      </c>
      <c r="B28" s="19"/>
      <c r="C28" s="19"/>
      <c r="D28" s="9"/>
      <c r="E28" s="12"/>
      <c r="F28" s="12"/>
      <c r="G28" s="12"/>
      <c r="H28" s="12"/>
      <c r="J28" s="21">
        <v>24</v>
      </c>
      <c r="K28" s="27"/>
      <c r="L28" s="27"/>
      <c r="M28" s="27"/>
      <c r="N28" s="17"/>
      <c r="O28" s="12"/>
      <c r="P28" s="12"/>
      <c r="Q28" s="12"/>
      <c r="R28" s="12"/>
      <c r="T28" s="23">
        <v>24</v>
      </c>
      <c r="U28" s="28"/>
      <c r="V28" s="28"/>
      <c r="W28" s="28"/>
      <c r="X28" s="28"/>
      <c r="Y28" s="17"/>
      <c r="Z28" s="12"/>
      <c r="AA28" s="12"/>
      <c r="AB28" s="12"/>
      <c r="AC28" s="12"/>
      <c r="AE28" s="46" t="s">
        <v>68</v>
      </c>
      <c r="AF28" s="8">
        <v>417</v>
      </c>
      <c r="AG28" s="37">
        <v>434</v>
      </c>
      <c r="AH28" s="46" t="s">
        <v>68</v>
      </c>
      <c r="AI28" s="9">
        <v>408</v>
      </c>
      <c r="AJ28" s="38">
        <v>474</v>
      </c>
      <c r="AK28" s="46" t="s">
        <v>68</v>
      </c>
      <c r="AL28" s="8">
        <v>419</v>
      </c>
      <c r="AM28" s="37">
        <v>446</v>
      </c>
      <c r="AN28" s="46" t="s">
        <v>68</v>
      </c>
      <c r="AO28" s="9">
        <v>422</v>
      </c>
      <c r="AP28" s="38">
        <v>420</v>
      </c>
      <c r="AQ28" s="46" t="s">
        <v>68</v>
      </c>
      <c r="AR28" s="8">
        <v>431</v>
      </c>
      <c r="AS28" s="37">
        <v>394</v>
      </c>
    </row>
    <row r="29" spans="1:45">
      <c r="A29" s="24">
        <v>25</v>
      </c>
      <c r="B29" s="19"/>
      <c r="C29" s="19"/>
      <c r="D29" s="18"/>
      <c r="E29" s="13"/>
      <c r="F29" s="9"/>
      <c r="G29" s="9"/>
      <c r="H29" s="9"/>
      <c r="J29" s="21">
        <v>25</v>
      </c>
      <c r="K29" s="27"/>
      <c r="L29" s="27"/>
      <c r="M29" s="27"/>
      <c r="N29" s="11"/>
      <c r="O29" s="9"/>
      <c r="P29" s="9"/>
      <c r="Q29" s="9"/>
      <c r="R29" s="9"/>
      <c r="T29" s="23">
        <v>25</v>
      </c>
      <c r="U29" s="28"/>
      <c r="V29" s="28"/>
      <c r="W29" s="28"/>
      <c r="X29" s="28"/>
      <c r="Y29" s="11"/>
      <c r="Z29" s="9"/>
      <c r="AA29" s="9"/>
      <c r="AB29" s="9"/>
      <c r="AC29" s="9"/>
      <c r="AE29" s="46" t="s">
        <v>69</v>
      </c>
      <c r="AF29" s="8">
        <v>321</v>
      </c>
      <c r="AG29" s="37">
        <v>494</v>
      </c>
      <c r="AH29" s="46" t="s">
        <v>69</v>
      </c>
      <c r="AI29" s="9">
        <v>295</v>
      </c>
      <c r="AJ29" s="38">
        <v>548</v>
      </c>
      <c r="AK29" s="46" t="s">
        <v>69</v>
      </c>
      <c r="AL29" s="8">
        <v>316</v>
      </c>
      <c r="AM29" s="37">
        <v>506</v>
      </c>
      <c r="AN29" s="46" t="s">
        <v>69</v>
      </c>
      <c r="AO29" s="9">
        <v>320</v>
      </c>
      <c r="AP29" s="38">
        <v>471</v>
      </c>
      <c r="AQ29" s="46" t="s">
        <v>69</v>
      </c>
      <c r="AR29" s="8">
        <v>311</v>
      </c>
      <c r="AS29" s="37">
        <v>470</v>
      </c>
    </row>
    <row r="30" spans="1:45">
      <c r="A30" s="24">
        <v>26</v>
      </c>
      <c r="B30" s="19"/>
      <c r="C30" s="19"/>
      <c r="D30" s="11"/>
      <c r="E30" s="9"/>
      <c r="F30" s="9"/>
      <c r="G30" s="9"/>
      <c r="H30" s="9"/>
      <c r="J30" s="21">
        <v>26</v>
      </c>
      <c r="K30" s="27"/>
      <c r="L30" s="27"/>
      <c r="M30" s="27"/>
      <c r="N30" s="11"/>
      <c r="O30" s="9"/>
      <c r="P30" s="9"/>
      <c r="Q30" s="9"/>
      <c r="R30" s="9"/>
      <c r="T30" s="23">
        <v>26</v>
      </c>
      <c r="U30" s="28"/>
      <c r="V30" s="28"/>
      <c r="W30" s="28"/>
      <c r="X30" s="28"/>
      <c r="Y30" s="11"/>
      <c r="Z30" s="9"/>
      <c r="AA30" s="9"/>
      <c r="AB30" s="9"/>
      <c r="AC30" s="9"/>
      <c r="AE30" s="46" t="s">
        <v>70</v>
      </c>
      <c r="AF30" s="8">
        <v>505</v>
      </c>
      <c r="AG30" s="37">
        <v>469</v>
      </c>
      <c r="AH30" s="46" t="s">
        <v>70</v>
      </c>
      <c r="AI30" s="9">
        <v>522</v>
      </c>
      <c r="AJ30" s="38">
        <v>513</v>
      </c>
      <c r="AK30" s="46" t="s">
        <v>70</v>
      </c>
      <c r="AL30" s="8">
        <v>509</v>
      </c>
      <c r="AM30" s="37">
        <v>487</v>
      </c>
      <c r="AN30" s="46" t="s">
        <v>70</v>
      </c>
      <c r="AO30" s="9">
        <v>527</v>
      </c>
      <c r="AP30" s="38">
        <v>458</v>
      </c>
      <c r="AQ30" s="46" t="s">
        <v>70</v>
      </c>
      <c r="AR30" s="8">
        <v>539</v>
      </c>
      <c r="AS30" s="37">
        <v>431</v>
      </c>
    </row>
    <row r="31" spans="1:45">
      <c r="A31" s="24">
        <v>27</v>
      </c>
      <c r="B31" s="19"/>
      <c r="C31" s="19"/>
      <c r="D31" s="11"/>
      <c r="E31" s="9"/>
      <c r="F31" s="9"/>
      <c r="G31" s="9"/>
      <c r="H31" s="9"/>
      <c r="J31" s="21">
        <v>27</v>
      </c>
      <c r="K31" s="27"/>
      <c r="L31" s="27"/>
      <c r="M31" s="27"/>
      <c r="N31" s="11"/>
      <c r="O31" s="9"/>
      <c r="P31" s="9"/>
      <c r="Q31" s="9"/>
      <c r="R31" s="9"/>
      <c r="T31" s="23">
        <v>27</v>
      </c>
      <c r="U31" s="28"/>
      <c r="V31" s="28"/>
      <c r="W31" s="28"/>
      <c r="X31" s="28"/>
      <c r="Y31" s="11"/>
      <c r="Z31" s="9"/>
      <c r="AA31" s="9"/>
      <c r="AB31" s="9"/>
      <c r="AC31" s="9"/>
      <c r="AE31" s="46" t="s">
        <v>71</v>
      </c>
      <c r="AF31" s="8">
        <v>417</v>
      </c>
      <c r="AG31" s="37">
        <v>488</v>
      </c>
      <c r="AH31" s="46" t="s">
        <v>71</v>
      </c>
      <c r="AI31" s="9">
        <v>407</v>
      </c>
      <c r="AJ31" s="38">
        <v>511</v>
      </c>
      <c r="AK31" s="46" t="s">
        <v>71</v>
      </c>
      <c r="AL31" s="8">
        <v>414</v>
      </c>
      <c r="AM31" s="37">
        <v>488</v>
      </c>
      <c r="AN31" s="46" t="s">
        <v>71</v>
      </c>
      <c r="AO31" s="9">
        <v>521</v>
      </c>
      <c r="AP31" s="38">
        <v>472</v>
      </c>
      <c r="AQ31" s="46" t="s">
        <v>71</v>
      </c>
      <c r="AR31" s="8">
        <v>428</v>
      </c>
      <c r="AS31" s="37">
        <v>441</v>
      </c>
    </row>
    <row r="32" spans="1:45">
      <c r="A32" s="24">
        <v>28</v>
      </c>
      <c r="B32" s="19"/>
      <c r="C32" s="19"/>
      <c r="D32" s="11"/>
      <c r="E32" s="9"/>
      <c r="F32" s="9"/>
      <c r="G32" s="9"/>
      <c r="H32" s="9"/>
      <c r="J32" s="21">
        <v>28</v>
      </c>
      <c r="K32" s="27"/>
      <c r="L32" s="27"/>
      <c r="M32" s="27"/>
      <c r="N32" s="11"/>
      <c r="O32" s="9"/>
      <c r="P32" s="9"/>
      <c r="Q32" s="9"/>
      <c r="R32" s="9"/>
      <c r="T32" s="23">
        <v>28</v>
      </c>
      <c r="U32" s="28"/>
      <c r="V32" s="28"/>
      <c r="W32" s="28"/>
      <c r="X32" s="28"/>
      <c r="Y32" s="11"/>
      <c r="Z32" s="9"/>
      <c r="AA32" s="9"/>
      <c r="AB32" s="9"/>
      <c r="AC32" s="9"/>
      <c r="AE32" s="46"/>
      <c r="AF32" s="8"/>
      <c r="AG32" s="37"/>
      <c r="AH32" s="46"/>
      <c r="AI32" s="9"/>
      <c r="AJ32" s="38"/>
      <c r="AK32" s="46"/>
      <c r="AL32" s="8"/>
      <c r="AM32" s="37"/>
      <c r="AN32" s="46"/>
      <c r="AO32" s="9"/>
      <c r="AP32" s="38"/>
      <c r="AQ32" s="46"/>
      <c r="AR32" s="8"/>
      <c r="AS32" s="37"/>
    </row>
    <row r="33" spans="1:45">
      <c r="A33" s="24">
        <v>29</v>
      </c>
      <c r="B33" s="19"/>
      <c r="C33" s="19"/>
      <c r="D33" s="11"/>
      <c r="E33" s="9"/>
      <c r="F33" s="9"/>
      <c r="G33" s="9"/>
      <c r="H33" s="9"/>
      <c r="J33" s="21">
        <v>29</v>
      </c>
      <c r="K33" s="27"/>
      <c r="L33" s="27"/>
      <c r="M33" s="27"/>
      <c r="N33" s="11"/>
      <c r="O33" s="9"/>
      <c r="P33" s="9"/>
      <c r="Q33" s="9"/>
      <c r="R33" s="9"/>
      <c r="T33" s="23">
        <v>29</v>
      </c>
      <c r="U33" s="28"/>
      <c r="V33" s="28"/>
      <c r="W33" s="28"/>
      <c r="X33" s="28"/>
      <c r="Y33" s="11"/>
      <c r="Z33" s="9"/>
      <c r="AA33" s="9"/>
      <c r="AB33" s="9"/>
      <c r="AC33" s="9"/>
      <c r="AE33" s="46"/>
      <c r="AF33" s="8"/>
      <c r="AG33" s="37"/>
      <c r="AH33" s="47"/>
      <c r="AI33" s="9"/>
      <c r="AJ33" s="38"/>
      <c r="AK33" s="46"/>
      <c r="AL33" s="8"/>
      <c r="AM33" s="37"/>
      <c r="AN33" s="47"/>
      <c r="AO33" s="9"/>
      <c r="AP33" s="38"/>
      <c r="AQ33" s="46"/>
      <c r="AR33" s="8"/>
      <c r="AS33" s="37"/>
    </row>
    <row r="34" spans="1:45">
      <c r="A34" s="24">
        <v>30</v>
      </c>
      <c r="B34" s="19"/>
      <c r="C34" s="19"/>
      <c r="D34" s="11"/>
      <c r="E34" s="9"/>
      <c r="F34" s="9"/>
      <c r="G34" s="9"/>
      <c r="H34" s="9"/>
      <c r="J34" s="21">
        <v>30</v>
      </c>
      <c r="K34" s="27"/>
      <c r="L34" s="27"/>
      <c r="M34" s="27"/>
      <c r="N34" s="11"/>
      <c r="O34" s="9"/>
      <c r="P34" s="9"/>
      <c r="Q34" s="9"/>
      <c r="R34" s="9"/>
      <c r="T34" s="23">
        <v>30</v>
      </c>
      <c r="U34" s="28"/>
      <c r="V34" s="28"/>
      <c r="W34" s="28"/>
      <c r="X34" s="28"/>
      <c r="Y34" s="11"/>
      <c r="Z34" s="9"/>
      <c r="AA34" s="9"/>
      <c r="AB34" s="9"/>
      <c r="AC34" s="9"/>
      <c r="AE34" s="46"/>
      <c r="AF34" s="8"/>
      <c r="AG34" s="37"/>
      <c r="AH34" s="47"/>
      <c r="AI34" s="9"/>
      <c r="AJ34" s="38"/>
      <c r="AK34" s="46"/>
      <c r="AL34" s="8"/>
      <c r="AM34" s="37"/>
      <c r="AN34" s="47"/>
      <c r="AO34" s="9"/>
      <c r="AP34" s="38"/>
      <c r="AQ34" s="46"/>
      <c r="AR34" s="8"/>
      <c r="AS34" s="37"/>
    </row>
    <row r="35" spans="1:45">
      <c r="A35" s="25"/>
      <c r="B35" s="15"/>
      <c r="C35" s="15"/>
      <c r="D35" s="14"/>
      <c r="E35" s="14"/>
    </row>
    <row r="36" spans="1:45" ht="15.75" customHeight="1">
      <c r="A36" s="79" t="s">
        <v>64</v>
      </c>
      <c r="B36" s="79"/>
      <c r="C36" s="79"/>
      <c r="D36" s="79"/>
      <c r="E36" s="79"/>
      <c r="F36" s="79"/>
      <c r="G36" s="79"/>
      <c r="H36" s="79"/>
      <c r="I36" s="20"/>
      <c r="J36" s="79" t="s">
        <v>64</v>
      </c>
      <c r="K36" s="80"/>
      <c r="L36" s="80"/>
      <c r="M36" s="80"/>
      <c r="N36" s="80"/>
      <c r="O36" s="80"/>
      <c r="P36" s="80"/>
      <c r="Q36" s="80"/>
      <c r="R36" s="80"/>
      <c r="T36" s="79" t="s">
        <v>64</v>
      </c>
      <c r="U36" s="80"/>
      <c r="V36" s="80"/>
      <c r="W36" s="80"/>
      <c r="X36" s="80"/>
      <c r="Y36" s="80"/>
      <c r="Z36" s="80"/>
      <c r="AA36" s="80"/>
      <c r="AB36" s="80"/>
      <c r="AC36" s="80"/>
      <c r="AE36" s="80" t="s">
        <v>63</v>
      </c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</row>
    <row r="37" spans="1:45" ht="15.75" customHeight="1">
      <c r="A37" s="79"/>
      <c r="B37" s="79"/>
      <c r="C37" s="79"/>
      <c r="D37" s="79"/>
      <c r="E37" s="79"/>
      <c r="F37" s="79"/>
      <c r="G37" s="79"/>
      <c r="H37" s="79"/>
      <c r="I37" s="20"/>
      <c r="J37" s="80"/>
      <c r="K37" s="80"/>
      <c r="L37" s="80"/>
      <c r="M37" s="80"/>
      <c r="N37" s="80"/>
      <c r="O37" s="80"/>
      <c r="P37" s="80"/>
      <c r="Q37" s="80"/>
      <c r="R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</row>
    <row r="38" spans="1:45">
      <c r="A38" s="79"/>
      <c r="B38" s="79"/>
      <c r="C38" s="79"/>
      <c r="D38" s="79"/>
      <c r="E38" s="79"/>
      <c r="F38" s="79"/>
      <c r="G38" s="79"/>
      <c r="H38" s="79"/>
      <c r="J38" s="80"/>
      <c r="K38" s="80"/>
      <c r="L38" s="80"/>
      <c r="M38" s="80"/>
      <c r="N38" s="80"/>
      <c r="O38" s="80"/>
      <c r="P38" s="80"/>
      <c r="Q38" s="80"/>
      <c r="R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</row>
    <row r="39" spans="1:45">
      <c r="A39" s="25"/>
      <c r="B39" s="15"/>
      <c r="C39" s="15"/>
      <c r="D39" s="14"/>
      <c r="E39" s="14"/>
    </row>
    <row r="40" spans="1:45">
      <c r="A40" s="25"/>
      <c r="B40" s="15"/>
      <c r="C40" s="15"/>
      <c r="D40" s="14"/>
      <c r="E40" s="14"/>
    </row>
    <row r="41" spans="1:45">
      <c r="A41" s="25"/>
      <c r="B41" s="15"/>
      <c r="C41" s="15"/>
      <c r="D41" s="14"/>
      <c r="E41" s="14"/>
    </row>
    <row r="42" spans="1:45">
      <c r="A42" s="25"/>
      <c r="B42" s="15"/>
      <c r="C42" s="15"/>
      <c r="D42" s="14"/>
      <c r="E42" s="14"/>
    </row>
    <row r="43" spans="1:45">
      <c r="A43" s="25"/>
      <c r="B43" s="15"/>
      <c r="C43" s="15"/>
      <c r="D43" s="14"/>
      <c r="E43" s="14"/>
    </row>
    <row r="44" spans="1:45">
      <c r="A44" s="25"/>
      <c r="B44" s="15"/>
      <c r="C44" s="15"/>
      <c r="D44" s="14"/>
      <c r="E44" s="14"/>
    </row>
    <row r="45" spans="1:45">
      <c r="A45" s="25"/>
      <c r="B45" s="15"/>
      <c r="C45" s="15"/>
      <c r="D45" s="14"/>
      <c r="E45" s="14"/>
    </row>
    <row r="46" spans="1:45">
      <c r="A46" s="25"/>
      <c r="B46" s="15"/>
      <c r="C46" s="15"/>
      <c r="D46" s="14"/>
      <c r="E46" s="14"/>
    </row>
    <row r="47" spans="1:45">
      <c r="A47" s="25"/>
      <c r="B47" s="15"/>
      <c r="C47" s="15"/>
      <c r="D47" s="14"/>
      <c r="E47" s="14"/>
    </row>
    <row r="48" spans="1:45">
      <c r="A48" s="25"/>
      <c r="B48" s="15"/>
      <c r="C48" s="15"/>
      <c r="D48" s="14"/>
      <c r="E48" s="14"/>
    </row>
    <row r="49" spans="1:5">
      <c r="A49" s="25"/>
      <c r="B49" s="15"/>
      <c r="C49" s="15"/>
      <c r="D49" s="14"/>
      <c r="E49" s="14"/>
    </row>
    <row r="50" spans="1:5">
      <c r="A50" s="25"/>
      <c r="B50" s="15"/>
      <c r="C50" s="15"/>
      <c r="D50" s="14"/>
      <c r="E50" s="14"/>
    </row>
    <row r="51" spans="1:5">
      <c r="A51" s="25"/>
      <c r="B51" s="15"/>
      <c r="C51" s="15"/>
      <c r="D51" s="14"/>
      <c r="E51" s="14"/>
    </row>
    <row r="52" spans="1:5">
      <c r="A52" s="25"/>
      <c r="B52" s="15"/>
      <c r="C52" s="15"/>
      <c r="D52" s="14"/>
      <c r="E52" s="14"/>
    </row>
  </sheetData>
  <mergeCells count="27">
    <mergeCell ref="AK2:AM2"/>
    <mergeCell ref="A1:H1"/>
    <mergeCell ref="J1:R1"/>
    <mergeCell ref="T1:AC1"/>
    <mergeCell ref="AE1:AS1"/>
    <mergeCell ref="A2:C4"/>
    <mergeCell ref="D2:F3"/>
    <mergeCell ref="G2:H3"/>
    <mergeCell ref="J2:M4"/>
    <mergeCell ref="N2:P3"/>
    <mergeCell ref="Q2:R3"/>
    <mergeCell ref="A36:H38"/>
    <mergeCell ref="J36:R38"/>
    <mergeCell ref="T36:AC38"/>
    <mergeCell ref="AE36:AS38"/>
    <mergeCell ref="AN2:AP2"/>
    <mergeCell ref="AQ2:AS2"/>
    <mergeCell ref="AF3:AG3"/>
    <mergeCell ref="AI3:AJ3"/>
    <mergeCell ref="AL3:AM3"/>
    <mergeCell ref="AO3:AP3"/>
    <mergeCell ref="AR3:AS3"/>
    <mergeCell ref="T2:X4"/>
    <mergeCell ref="Y2:AA3"/>
    <mergeCell ref="AB2:AC3"/>
    <mergeCell ref="AE2:AG2"/>
    <mergeCell ref="AH2:AJ2"/>
  </mergeCells>
  <phoneticPr fontId="7" type="noConversion"/>
  <conditionalFormatting sqref="Y1:AC1 Y4:AC35 Y2 Y39:AC1048576">
    <cfRule type="cellIs" dxfId="25" priority="1" operator="lessThan">
      <formula>0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AS52"/>
  <sheetViews>
    <sheetView topLeftCell="S1" zoomScale="85" zoomScaleNormal="85" workbookViewId="0">
      <selection activeCell="AI3" sqref="AI3:AJ3"/>
    </sheetView>
  </sheetViews>
  <sheetFormatPr defaultColWidth="9" defaultRowHeight="15.5"/>
  <cols>
    <col min="1" max="1" width="3.58203125" style="22" customWidth="1"/>
    <col min="2" max="3" width="3.58203125" style="4" customWidth="1"/>
    <col min="4" max="8" width="10.58203125" style="10" customWidth="1"/>
    <col min="9" max="9" width="2.08203125" style="1" customWidth="1"/>
    <col min="10" max="10" width="3.58203125" style="22" customWidth="1"/>
    <col min="11" max="12" width="3.58203125" style="4" customWidth="1"/>
    <col min="13" max="13" width="3.08203125" style="4" bestFit="1" customWidth="1"/>
    <col min="14" max="18" width="10.58203125" style="10" customWidth="1"/>
    <col min="19" max="19" width="2.08203125" style="1" customWidth="1"/>
    <col min="20" max="20" width="3.58203125" style="22" customWidth="1"/>
    <col min="21" max="23" width="3.58203125" style="4" customWidth="1"/>
    <col min="24" max="24" width="3.08203125" style="4" bestFit="1" customWidth="1"/>
    <col min="25" max="29" width="10.58203125" style="10" customWidth="1"/>
    <col min="30" max="30" width="2.08203125" style="1" customWidth="1"/>
    <col min="31" max="31" width="7.58203125" style="4" customWidth="1"/>
    <col min="32" max="32" width="10.58203125" style="10" customWidth="1"/>
    <col min="33" max="33" width="10.58203125" style="1" customWidth="1"/>
    <col min="34" max="34" width="7.58203125" style="4" customWidth="1"/>
    <col min="35" max="35" width="10.58203125" style="10" customWidth="1"/>
    <col min="36" max="36" width="10.58203125" style="1" customWidth="1"/>
    <col min="37" max="37" width="7.58203125" style="4" customWidth="1"/>
    <col min="38" max="38" width="10.58203125" style="10" customWidth="1"/>
    <col min="39" max="39" width="10.58203125" style="1" customWidth="1"/>
    <col min="40" max="40" width="7.58203125" style="4" customWidth="1"/>
    <col min="41" max="41" width="10.58203125" style="10" customWidth="1"/>
    <col min="42" max="42" width="10.58203125" style="1" customWidth="1"/>
    <col min="43" max="16384" width="9" style="1"/>
  </cols>
  <sheetData>
    <row r="1" spans="1:45" ht="24" customHeight="1">
      <c r="A1" s="57" t="s">
        <v>58</v>
      </c>
      <c r="B1" s="57"/>
      <c r="C1" s="57"/>
      <c r="D1" s="57"/>
      <c r="E1" s="57"/>
      <c r="F1" s="57"/>
      <c r="G1" s="57"/>
      <c r="H1" s="58"/>
      <c r="J1" s="59" t="s">
        <v>60</v>
      </c>
      <c r="K1" s="59"/>
      <c r="L1" s="59"/>
      <c r="M1" s="59"/>
      <c r="N1" s="59"/>
      <c r="O1" s="59"/>
      <c r="P1" s="59"/>
      <c r="Q1" s="59"/>
      <c r="R1" s="59"/>
      <c r="T1" s="60" t="s">
        <v>59</v>
      </c>
      <c r="U1" s="60"/>
      <c r="V1" s="60"/>
      <c r="W1" s="60"/>
      <c r="X1" s="60"/>
      <c r="Y1" s="60"/>
      <c r="Z1" s="60"/>
      <c r="AA1" s="60"/>
      <c r="AB1" s="60"/>
      <c r="AC1" s="60"/>
      <c r="AE1" s="61" t="s">
        <v>179</v>
      </c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</row>
    <row r="2" spans="1:45" s="2" customFormat="1" ht="19.5" customHeight="1">
      <c r="A2" s="63" t="s">
        <v>55</v>
      </c>
      <c r="B2" s="63"/>
      <c r="C2" s="63"/>
      <c r="D2" s="65"/>
      <c r="E2" s="66"/>
      <c r="F2" s="67"/>
      <c r="G2" s="65"/>
      <c r="H2" s="67"/>
      <c r="J2" s="71" t="s">
        <v>56</v>
      </c>
      <c r="K2" s="71"/>
      <c r="L2" s="71"/>
      <c r="M2" s="71"/>
      <c r="N2" s="73"/>
      <c r="O2" s="74"/>
      <c r="P2" s="75"/>
      <c r="Q2" s="73"/>
      <c r="R2" s="75"/>
      <c r="T2" s="90" t="s">
        <v>57</v>
      </c>
      <c r="U2" s="90"/>
      <c r="V2" s="90"/>
      <c r="W2" s="90"/>
      <c r="X2" s="90"/>
      <c r="Y2" s="92"/>
      <c r="Z2" s="93"/>
      <c r="AA2" s="94"/>
      <c r="AB2" s="92"/>
      <c r="AC2" s="94"/>
      <c r="AE2" s="54" t="s">
        <v>110</v>
      </c>
      <c r="AF2" s="55"/>
      <c r="AG2" s="56"/>
      <c r="AH2" s="81" t="s">
        <v>111</v>
      </c>
      <c r="AI2" s="82"/>
      <c r="AJ2" s="83"/>
      <c r="AK2" s="54" t="s">
        <v>112</v>
      </c>
      <c r="AL2" s="55"/>
      <c r="AM2" s="56"/>
      <c r="AN2" s="81" t="s">
        <v>113</v>
      </c>
      <c r="AO2" s="82"/>
      <c r="AP2" s="83"/>
      <c r="AQ2" s="54" t="s">
        <v>114</v>
      </c>
      <c r="AR2" s="55"/>
      <c r="AS2" s="56"/>
    </row>
    <row r="3" spans="1:45" ht="16.5" customHeight="1">
      <c r="A3" s="63"/>
      <c r="B3" s="63"/>
      <c r="C3" s="63"/>
      <c r="D3" s="68"/>
      <c r="E3" s="69"/>
      <c r="F3" s="70"/>
      <c r="G3" s="68"/>
      <c r="H3" s="70"/>
      <c r="J3" s="71"/>
      <c r="K3" s="71"/>
      <c r="L3" s="71"/>
      <c r="M3" s="71"/>
      <c r="N3" s="76"/>
      <c r="O3" s="77"/>
      <c r="P3" s="78"/>
      <c r="Q3" s="76"/>
      <c r="R3" s="78"/>
      <c r="T3" s="90"/>
      <c r="U3" s="90"/>
      <c r="V3" s="90"/>
      <c r="W3" s="90"/>
      <c r="X3" s="90"/>
      <c r="Y3" s="95"/>
      <c r="Z3" s="96"/>
      <c r="AA3" s="97"/>
      <c r="AB3" s="95"/>
      <c r="AC3" s="97"/>
      <c r="AE3" s="48" t="s">
        <v>178</v>
      </c>
      <c r="AF3" s="85" t="s">
        <v>177</v>
      </c>
      <c r="AG3" s="85"/>
      <c r="AH3" s="52" t="s">
        <v>178</v>
      </c>
      <c r="AI3" s="85" t="s">
        <v>177</v>
      </c>
      <c r="AJ3" s="85"/>
      <c r="AK3" s="52" t="s">
        <v>178</v>
      </c>
      <c r="AL3" s="85" t="s">
        <v>177</v>
      </c>
      <c r="AM3" s="85"/>
      <c r="AN3" s="52" t="s">
        <v>178</v>
      </c>
      <c r="AO3" s="85" t="s">
        <v>177</v>
      </c>
      <c r="AP3" s="85"/>
      <c r="AQ3" s="52" t="s">
        <v>178</v>
      </c>
      <c r="AR3" s="85" t="s">
        <v>177</v>
      </c>
      <c r="AS3" s="85"/>
    </row>
    <row r="4" spans="1:45" s="4" customFormat="1" ht="15.75" customHeight="1">
      <c r="A4" s="63"/>
      <c r="B4" s="64"/>
      <c r="C4" s="64"/>
      <c r="D4" s="19" t="s">
        <v>25</v>
      </c>
      <c r="E4" s="19" t="s">
        <v>26</v>
      </c>
      <c r="F4" s="19" t="s">
        <v>27</v>
      </c>
      <c r="G4" s="19" t="s">
        <v>28</v>
      </c>
      <c r="H4" s="19" t="s">
        <v>29</v>
      </c>
      <c r="J4" s="71"/>
      <c r="K4" s="72"/>
      <c r="L4" s="72"/>
      <c r="M4" s="72"/>
      <c r="N4" s="27" t="s">
        <v>25</v>
      </c>
      <c r="O4" s="27" t="s">
        <v>26</v>
      </c>
      <c r="P4" s="27" t="s">
        <v>27</v>
      </c>
      <c r="Q4" s="27" t="s">
        <v>28</v>
      </c>
      <c r="R4" s="27" t="s">
        <v>29</v>
      </c>
      <c r="T4" s="90"/>
      <c r="U4" s="91"/>
      <c r="V4" s="91"/>
      <c r="W4" s="91"/>
      <c r="X4" s="91"/>
      <c r="Y4" s="28" t="s">
        <v>25</v>
      </c>
      <c r="Z4" s="28" t="s">
        <v>26</v>
      </c>
      <c r="AA4" s="28" t="s">
        <v>27</v>
      </c>
      <c r="AB4" s="28" t="s">
        <v>28</v>
      </c>
      <c r="AC4" s="28" t="s">
        <v>29</v>
      </c>
      <c r="AE4" s="48"/>
      <c r="AF4" s="48" t="s">
        <v>0</v>
      </c>
      <c r="AG4" s="48" t="s">
        <v>1</v>
      </c>
      <c r="AH4" s="48"/>
      <c r="AI4" s="48" t="s">
        <v>0</v>
      </c>
      <c r="AJ4" s="48" t="s">
        <v>1</v>
      </c>
      <c r="AK4" s="48" t="s">
        <v>2</v>
      </c>
      <c r="AL4" s="48" t="s">
        <v>0</v>
      </c>
      <c r="AM4" s="48" t="s">
        <v>1</v>
      </c>
      <c r="AN4" s="49" t="s">
        <v>2</v>
      </c>
      <c r="AO4" s="49" t="s">
        <v>0</v>
      </c>
      <c r="AP4" s="49" t="s">
        <v>1</v>
      </c>
      <c r="AQ4" s="48" t="s">
        <v>2</v>
      </c>
      <c r="AR4" s="48" t="s">
        <v>0</v>
      </c>
      <c r="AS4" s="48" t="s">
        <v>1</v>
      </c>
    </row>
    <row r="5" spans="1:45">
      <c r="A5" s="24">
        <v>1</v>
      </c>
      <c r="B5" s="19" t="s">
        <v>30</v>
      </c>
      <c r="C5" s="19" t="s">
        <v>32</v>
      </c>
      <c r="D5" s="11">
        <v>341</v>
      </c>
      <c r="E5" s="9">
        <v>359</v>
      </c>
      <c r="F5" s="9">
        <v>339</v>
      </c>
      <c r="G5" s="9">
        <v>287</v>
      </c>
      <c r="H5" s="9">
        <v>329</v>
      </c>
      <c r="J5" s="21">
        <v>1</v>
      </c>
      <c r="K5" s="27" t="s">
        <v>30</v>
      </c>
      <c r="L5" s="27" t="s">
        <v>35</v>
      </c>
      <c r="M5" s="27" t="s">
        <v>38</v>
      </c>
      <c r="N5" s="9">
        <v>68.360717357429749</v>
      </c>
      <c r="O5" s="9">
        <v>71.839191570811195</v>
      </c>
      <c r="P5" s="9">
        <v>71.265076014774067</v>
      </c>
      <c r="Q5" s="9">
        <v>66.697894188839058</v>
      </c>
      <c r="R5" s="9">
        <v>69.688981566838478</v>
      </c>
      <c r="T5" s="23">
        <v>1</v>
      </c>
      <c r="U5" s="28" t="s">
        <v>30</v>
      </c>
      <c r="V5" s="28" t="s">
        <v>35</v>
      </c>
      <c r="W5" s="28" t="s">
        <v>37</v>
      </c>
      <c r="X5" s="28" t="s">
        <v>38</v>
      </c>
      <c r="Y5" s="11">
        <v>41261</v>
      </c>
      <c r="Z5" s="9">
        <v>36977</v>
      </c>
      <c r="AA5" s="9">
        <v>32883</v>
      </c>
      <c r="AB5" s="9">
        <v>33005</v>
      </c>
      <c r="AC5" s="9">
        <v>37506</v>
      </c>
      <c r="AE5" s="48" t="s">
        <v>3</v>
      </c>
      <c r="AF5" s="29">
        <v>600</v>
      </c>
      <c r="AG5" s="29">
        <v>490</v>
      </c>
      <c r="AH5" s="48" t="s">
        <v>3</v>
      </c>
      <c r="AI5" s="29">
        <v>600</v>
      </c>
      <c r="AJ5" s="29">
        <v>494</v>
      </c>
      <c r="AK5" s="48" t="s">
        <v>3</v>
      </c>
      <c r="AL5" s="29">
        <v>600</v>
      </c>
      <c r="AM5" s="29">
        <v>482</v>
      </c>
      <c r="AN5" s="48" t="s">
        <v>3</v>
      </c>
      <c r="AO5" s="29">
        <v>600</v>
      </c>
      <c r="AP5" s="29">
        <v>503</v>
      </c>
      <c r="AQ5" s="48" t="s">
        <v>3</v>
      </c>
      <c r="AR5" s="29">
        <v>600</v>
      </c>
      <c r="AS5" s="29">
        <v>519</v>
      </c>
    </row>
    <row r="6" spans="1:45">
      <c r="A6" s="24">
        <v>2</v>
      </c>
      <c r="B6" s="19" t="s">
        <v>30</v>
      </c>
      <c r="C6" s="19" t="s">
        <v>33</v>
      </c>
      <c r="D6" s="11">
        <v>473</v>
      </c>
      <c r="E6" s="9">
        <v>471</v>
      </c>
      <c r="F6" s="9">
        <v>454</v>
      </c>
      <c r="G6" s="9">
        <v>420</v>
      </c>
      <c r="H6" s="9">
        <v>460</v>
      </c>
      <c r="J6" s="21">
        <v>2</v>
      </c>
      <c r="K6" s="27" t="s">
        <v>31</v>
      </c>
      <c r="L6" s="27" t="s">
        <v>41</v>
      </c>
      <c r="M6" s="27" t="s">
        <v>34</v>
      </c>
      <c r="N6" s="9">
        <v>87.336688438392201</v>
      </c>
      <c r="O6" s="9">
        <v>87.714810205882046</v>
      </c>
      <c r="P6" s="9">
        <v>87.515434186930989</v>
      </c>
      <c r="Q6" s="9">
        <v>88.038699596302877</v>
      </c>
      <c r="R6" s="9">
        <v>85.591606955750706</v>
      </c>
      <c r="T6" s="23">
        <v>2</v>
      </c>
      <c r="U6" s="28" t="s">
        <v>31</v>
      </c>
      <c r="V6" s="28" t="s">
        <v>41</v>
      </c>
      <c r="W6" s="28" t="s">
        <v>34</v>
      </c>
      <c r="X6" s="28" t="s">
        <v>42</v>
      </c>
      <c r="Y6" s="11">
        <v>235290</v>
      </c>
      <c r="Z6" s="9">
        <v>225008</v>
      </c>
      <c r="AA6" s="9">
        <v>240810</v>
      </c>
      <c r="AB6" s="9">
        <v>213932</v>
      </c>
      <c r="AC6" s="9">
        <v>223418</v>
      </c>
      <c r="AE6" s="48" t="s">
        <v>4</v>
      </c>
      <c r="AF6" s="29">
        <v>479</v>
      </c>
      <c r="AG6" s="29">
        <v>795</v>
      </c>
      <c r="AH6" s="48" t="s">
        <v>4</v>
      </c>
      <c r="AI6" s="29">
        <v>497</v>
      </c>
      <c r="AJ6" s="29">
        <v>808</v>
      </c>
      <c r="AK6" s="48" t="s">
        <v>4</v>
      </c>
      <c r="AL6" s="29">
        <v>503</v>
      </c>
      <c r="AM6" s="29">
        <v>768</v>
      </c>
      <c r="AN6" s="48" t="s">
        <v>4</v>
      </c>
      <c r="AO6" s="29">
        <v>485</v>
      </c>
      <c r="AP6" s="29">
        <v>770</v>
      </c>
      <c r="AQ6" s="48" t="s">
        <v>4</v>
      </c>
      <c r="AR6" s="29">
        <v>486</v>
      </c>
      <c r="AS6" s="29">
        <v>827</v>
      </c>
    </row>
    <row r="7" spans="1:45">
      <c r="A7" s="24">
        <v>3</v>
      </c>
      <c r="B7" s="19" t="s">
        <v>31</v>
      </c>
      <c r="C7" s="19" t="s">
        <v>34</v>
      </c>
      <c r="D7" s="11">
        <v>690</v>
      </c>
      <c r="E7" s="9">
        <v>686</v>
      </c>
      <c r="F7" s="9">
        <v>698</v>
      </c>
      <c r="G7" s="9">
        <v>677</v>
      </c>
      <c r="H7" s="9">
        <v>661</v>
      </c>
      <c r="J7" s="21">
        <v>3</v>
      </c>
      <c r="K7" s="27" t="s">
        <v>31</v>
      </c>
      <c r="L7" s="27" t="s">
        <v>44</v>
      </c>
      <c r="M7" s="27" t="s">
        <v>37</v>
      </c>
      <c r="N7" s="9">
        <v>49.246546387372689</v>
      </c>
      <c r="O7" s="9">
        <v>50.951184703549586</v>
      </c>
      <c r="P7" s="9">
        <v>46.090521223744297</v>
      </c>
      <c r="Q7" s="9">
        <v>31.483892341568172</v>
      </c>
      <c r="R7" s="9">
        <v>42.4501497659883</v>
      </c>
      <c r="T7" s="23">
        <v>3</v>
      </c>
      <c r="U7" s="28" t="s">
        <v>41</v>
      </c>
      <c r="V7" s="28" t="s">
        <v>39</v>
      </c>
      <c r="W7" s="28" t="s">
        <v>34</v>
      </c>
      <c r="X7" s="28" t="s">
        <v>42</v>
      </c>
      <c r="Y7" s="11">
        <v>84490</v>
      </c>
      <c r="Z7" s="9">
        <v>72959.5</v>
      </c>
      <c r="AA7" s="9">
        <v>83085</v>
      </c>
      <c r="AB7" s="9">
        <v>63504</v>
      </c>
      <c r="AC7" s="9">
        <v>70522</v>
      </c>
      <c r="AE7" s="48" t="s">
        <v>5</v>
      </c>
      <c r="AF7" s="29">
        <v>600</v>
      </c>
      <c r="AG7" s="29">
        <v>831</v>
      </c>
      <c r="AH7" s="48" t="s">
        <v>5</v>
      </c>
      <c r="AI7" s="29">
        <v>600</v>
      </c>
      <c r="AJ7" s="29">
        <v>853</v>
      </c>
      <c r="AK7" s="48" t="s">
        <v>5</v>
      </c>
      <c r="AL7" s="29">
        <v>600</v>
      </c>
      <c r="AM7" s="29">
        <v>821</v>
      </c>
      <c r="AN7" s="48" t="s">
        <v>5</v>
      </c>
      <c r="AO7" s="29">
        <v>600</v>
      </c>
      <c r="AP7" s="29">
        <v>790</v>
      </c>
      <c r="AQ7" s="48" t="s">
        <v>5</v>
      </c>
      <c r="AR7" s="29">
        <v>600</v>
      </c>
      <c r="AS7" s="29">
        <v>848</v>
      </c>
    </row>
    <row r="8" spans="1:45" ht="15.75" customHeight="1">
      <c r="A8" s="24">
        <v>4</v>
      </c>
      <c r="B8" s="19" t="s">
        <v>35</v>
      </c>
      <c r="C8" s="19" t="s">
        <v>38</v>
      </c>
      <c r="D8" s="11">
        <v>242</v>
      </c>
      <c r="E8" s="9">
        <v>206</v>
      </c>
      <c r="F8" s="9">
        <v>194</v>
      </c>
      <c r="G8" s="9">
        <v>230</v>
      </c>
      <c r="H8" s="9">
        <v>228</v>
      </c>
      <c r="J8" s="21">
        <v>4</v>
      </c>
      <c r="K8" s="27" t="s">
        <v>35</v>
      </c>
      <c r="L8" s="27" t="s">
        <v>37</v>
      </c>
      <c r="M8" s="27" t="s">
        <v>38</v>
      </c>
      <c r="N8" s="9">
        <v>146.8623416408019</v>
      </c>
      <c r="O8" s="9">
        <v>132.79962026416447</v>
      </c>
      <c r="P8" s="9">
        <v>122.69634309470248</v>
      </c>
      <c r="Q8" s="9">
        <v>160.26838611383127</v>
      </c>
      <c r="R8" s="9">
        <v>159.12504929776364</v>
      </c>
      <c r="T8" s="23">
        <v>4</v>
      </c>
      <c r="U8" s="28" t="s">
        <v>46</v>
      </c>
      <c r="V8" s="28" t="s">
        <v>43</v>
      </c>
      <c r="W8" s="28" t="s">
        <v>33</v>
      </c>
      <c r="X8" s="28" t="s">
        <v>47</v>
      </c>
      <c r="Y8" s="11">
        <v>418953</v>
      </c>
      <c r="Z8" s="9">
        <v>409101</v>
      </c>
      <c r="AA8" s="9">
        <v>453806</v>
      </c>
      <c r="AB8" s="9">
        <v>363225</v>
      </c>
      <c r="AC8" s="9">
        <v>496805</v>
      </c>
      <c r="AE8" s="48" t="s">
        <v>6</v>
      </c>
      <c r="AF8" s="29">
        <f>AF7+(AF7-AF6)</f>
        <v>721</v>
      </c>
      <c r="AG8" s="29">
        <f>AG6</f>
        <v>795</v>
      </c>
      <c r="AH8" s="48" t="s">
        <v>6</v>
      </c>
      <c r="AI8" s="29">
        <f>AI7+(AI7-AI6)</f>
        <v>703</v>
      </c>
      <c r="AJ8" s="29">
        <f>AJ6</f>
        <v>808</v>
      </c>
      <c r="AK8" s="48" t="s">
        <v>6</v>
      </c>
      <c r="AL8" s="29">
        <f t="shared" ref="AL8" si="0">AL7+(AL7-AL6)</f>
        <v>697</v>
      </c>
      <c r="AM8" s="29">
        <f t="shared" ref="AM8" si="1">AM6</f>
        <v>768</v>
      </c>
      <c r="AN8" s="48" t="s">
        <v>6</v>
      </c>
      <c r="AO8" s="29">
        <f t="shared" ref="AO8" si="2">AO7+(AO7-AO6)</f>
        <v>715</v>
      </c>
      <c r="AP8" s="29">
        <f t="shared" ref="AP8" si="3">AP6</f>
        <v>770</v>
      </c>
      <c r="AQ8" s="48" t="s">
        <v>6</v>
      </c>
      <c r="AR8" s="29">
        <f t="shared" ref="AR8" si="4">AR7+(AR7-AR6)</f>
        <v>714</v>
      </c>
      <c r="AS8" s="29">
        <f t="shared" ref="AS8" si="5">AS6</f>
        <v>827</v>
      </c>
    </row>
    <row r="9" spans="1:45" ht="15.75" customHeight="1">
      <c r="A9" s="24">
        <v>5</v>
      </c>
      <c r="B9" s="19" t="s">
        <v>36</v>
      </c>
      <c r="C9" s="19" t="s">
        <v>33</v>
      </c>
      <c r="D9" s="11">
        <v>132</v>
      </c>
      <c r="E9" s="9">
        <v>112</v>
      </c>
      <c r="F9" s="9">
        <v>115</v>
      </c>
      <c r="G9" s="9">
        <v>133</v>
      </c>
      <c r="H9" s="9">
        <v>131</v>
      </c>
      <c r="J9" s="21">
        <v>5</v>
      </c>
      <c r="K9" s="27" t="s">
        <v>39</v>
      </c>
      <c r="L9" s="27" t="s">
        <v>34</v>
      </c>
      <c r="M9" s="27" t="s">
        <v>61</v>
      </c>
      <c r="N9" s="9">
        <v>146.69978900279389</v>
      </c>
      <c r="O9" s="9">
        <v>149.48976259388445</v>
      </c>
      <c r="P9" s="9">
        <v>125.26357914222353</v>
      </c>
      <c r="Q9" s="9">
        <v>138.63183946410638</v>
      </c>
      <c r="R9" s="9">
        <v>9.1179342090273554</v>
      </c>
      <c r="T9" s="23">
        <v>5</v>
      </c>
      <c r="U9" s="28" t="s">
        <v>48</v>
      </c>
      <c r="V9" s="28" t="s">
        <v>43</v>
      </c>
      <c r="W9" s="28" t="s">
        <v>34</v>
      </c>
      <c r="X9" s="28" t="s">
        <v>44</v>
      </c>
      <c r="Y9" s="11">
        <v>382788</v>
      </c>
      <c r="Z9" s="9">
        <v>23188</v>
      </c>
      <c r="AA9" s="9">
        <v>391636</v>
      </c>
      <c r="AB9" s="9">
        <v>352685.5</v>
      </c>
      <c r="AC9" s="9">
        <v>430440</v>
      </c>
      <c r="AE9" s="48" t="s">
        <v>77</v>
      </c>
      <c r="AF9" s="29">
        <v>600</v>
      </c>
      <c r="AG9" s="29">
        <v>963</v>
      </c>
      <c r="AH9" s="48" t="s">
        <v>77</v>
      </c>
      <c r="AI9" s="29">
        <v>600</v>
      </c>
      <c r="AJ9" s="29">
        <v>965</v>
      </c>
      <c r="AK9" s="48" t="s">
        <v>77</v>
      </c>
      <c r="AL9" s="29">
        <v>600</v>
      </c>
      <c r="AM9" s="29">
        <v>936</v>
      </c>
      <c r="AN9" s="48" t="s">
        <v>77</v>
      </c>
      <c r="AO9" s="29">
        <v>600</v>
      </c>
      <c r="AP9" s="29">
        <v>923</v>
      </c>
      <c r="AQ9" s="48" t="s">
        <v>77</v>
      </c>
      <c r="AR9" s="29">
        <v>600</v>
      </c>
      <c r="AS9" s="29">
        <v>979</v>
      </c>
    </row>
    <row r="10" spans="1:45">
      <c r="A10" s="24">
        <v>6</v>
      </c>
      <c r="B10" s="19" t="s">
        <v>37</v>
      </c>
      <c r="C10" s="19" t="s">
        <v>34</v>
      </c>
      <c r="D10" s="11">
        <v>349</v>
      </c>
      <c r="E10" s="9">
        <v>327</v>
      </c>
      <c r="F10" s="9">
        <v>359</v>
      </c>
      <c r="G10" s="9">
        <v>390</v>
      </c>
      <c r="H10" s="9">
        <v>332</v>
      </c>
      <c r="J10" s="21">
        <v>6</v>
      </c>
      <c r="K10" s="27" t="s">
        <v>40</v>
      </c>
      <c r="L10" s="27" t="s">
        <v>34</v>
      </c>
      <c r="M10" s="27" t="s">
        <v>62</v>
      </c>
      <c r="N10" s="9">
        <v>16.650105498603043</v>
      </c>
      <c r="O10" s="9">
        <v>15.255118703057835</v>
      </c>
      <c r="P10" s="9">
        <v>27.368210428888204</v>
      </c>
      <c r="Q10" s="9">
        <v>20.684080267946758</v>
      </c>
      <c r="R10" s="9">
        <v>85.441032895486316</v>
      </c>
      <c r="T10" s="23">
        <v>6</v>
      </c>
      <c r="U10" s="28" t="s">
        <v>52</v>
      </c>
      <c r="V10" s="28" t="s">
        <v>53</v>
      </c>
      <c r="W10" s="28" t="s">
        <v>54</v>
      </c>
      <c r="X10" s="28" t="s">
        <v>50</v>
      </c>
      <c r="Y10" s="11">
        <v>4193</v>
      </c>
      <c r="Z10" s="9">
        <v>3555</v>
      </c>
      <c r="AA10" s="9">
        <v>3570</v>
      </c>
      <c r="AB10" s="9">
        <v>3435</v>
      </c>
      <c r="AC10" s="9">
        <v>3948.5</v>
      </c>
      <c r="AE10" s="48" t="s">
        <v>8</v>
      </c>
      <c r="AF10" s="29">
        <v>493</v>
      </c>
      <c r="AG10" s="29">
        <v>1148</v>
      </c>
      <c r="AH10" s="48" t="s">
        <v>8</v>
      </c>
      <c r="AI10" s="29">
        <v>501</v>
      </c>
      <c r="AJ10" s="29">
        <v>1153</v>
      </c>
      <c r="AK10" s="48" t="s">
        <v>8</v>
      </c>
      <c r="AL10" s="29">
        <v>515</v>
      </c>
      <c r="AM10" s="29">
        <v>1136</v>
      </c>
      <c r="AN10" s="48" t="s">
        <v>8</v>
      </c>
      <c r="AO10" s="29">
        <v>502</v>
      </c>
      <c r="AP10" s="29">
        <v>1143</v>
      </c>
      <c r="AQ10" s="48" t="s">
        <v>8</v>
      </c>
      <c r="AR10" s="29">
        <v>515</v>
      </c>
      <c r="AS10" s="29">
        <v>1156</v>
      </c>
    </row>
    <row r="11" spans="1:45">
      <c r="A11" s="24">
        <v>7</v>
      </c>
      <c r="B11" s="19" t="s">
        <v>39</v>
      </c>
      <c r="C11" s="19" t="s">
        <v>40</v>
      </c>
      <c r="D11" s="11">
        <v>214</v>
      </c>
      <c r="E11" s="9">
        <v>198</v>
      </c>
      <c r="F11" s="9">
        <v>170</v>
      </c>
      <c r="G11" s="9">
        <v>196</v>
      </c>
      <c r="H11" s="9">
        <v>170</v>
      </c>
      <c r="J11" s="21">
        <v>7</v>
      </c>
      <c r="K11" s="27" t="s">
        <v>41</v>
      </c>
      <c r="L11" s="27" t="s">
        <v>34</v>
      </c>
      <c r="M11" s="27" t="s">
        <v>62</v>
      </c>
      <c r="N11" s="9">
        <v>146.23245344144544</v>
      </c>
      <c r="O11" s="9">
        <v>147.99461679191648</v>
      </c>
      <c r="P11" s="9">
        <v>145.85249086025343</v>
      </c>
      <c r="Q11" s="9">
        <v>148.98294508375304</v>
      </c>
      <c r="R11" s="9">
        <v>146.94039703541929</v>
      </c>
      <c r="T11" s="23">
        <v>7</v>
      </c>
      <c r="U11" s="35" t="s">
        <v>76</v>
      </c>
      <c r="V11" s="35" t="s">
        <v>73</v>
      </c>
      <c r="W11" s="35" t="s">
        <v>75</v>
      </c>
      <c r="X11" s="35" t="s">
        <v>74</v>
      </c>
      <c r="Y11" s="11">
        <v>4052.5</v>
      </c>
      <c r="Z11" s="9">
        <v>3969</v>
      </c>
      <c r="AA11" s="9">
        <v>1400</v>
      </c>
      <c r="AB11" s="9">
        <v>3522</v>
      </c>
      <c r="AC11" s="9">
        <v>4723</v>
      </c>
      <c r="AE11" s="48" t="s">
        <v>9</v>
      </c>
      <c r="AF11" s="29">
        <v>600</v>
      </c>
      <c r="AG11" s="29">
        <v>1180</v>
      </c>
      <c r="AH11" s="48" t="s">
        <v>9</v>
      </c>
      <c r="AI11" s="29">
        <v>600</v>
      </c>
      <c r="AJ11" s="29">
        <v>1180</v>
      </c>
      <c r="AK11" s="48" t="s">
        <v>9</v>
      </c>
      <c r="AL11" s="29">
        <v>600</v>
      </c>
      <c r="AM11" s="29">
        <v>1180</v>
      </c>
      <c r="AN11" s="48" t="s">
        <v>9</v>
      </c>
      <c r="AO11" s="29">
        <v>600</v>
      </c>
      <c r="AP11" s="29">
        <v>1180</v>
      </c>
      <c r="AQ11" s="48" t="s">
        <v>9</v>
      </c>
      <c r="AR11" s="29">
        <v>600</v>
      </c>
      <c r="AS11" s="29">
        <v>1180</v>
      </c>
    </row>
    <row r="12" spans="1:45">
      <c r="A12" s="24">
        <v>8</v>
      </c>
      <c r="B12" s="19" t="s">
        <v>41</v>
      </c>
      <c r="C12" s="19" t="s">
        <v>42</v>
      </c>
      <c r="D12" s="11">
        <v>682</v>
      </c>
      <c r="E12" s="9">
        <v>656</v>
      </c>
      <c r="F12" s="9">
        <v>690</v>
      </c>
      <c r="G12" s="9">
        <v>632</v>
      </c>
      <c r="H12" s="9">
        <v>676</v>
      </c>
      <c r="J12" s="21">
        <v>8</v>
      </c>
      <c r="K12" s="27" t="s">
        <v>42</v>
      </c>
      <c r="L12" s="27" t="s">
        <v>34</v>
      </c>
      <c r="M12" s="27" t="s">
        <v>62</v>
      </c>
      <c r="N12" s="9">
        <v>33.767546558554542</v>
      </c>
      <c r="O12" s="9">
        <v>32.005383208083494</v>
      </c>
      <c r="P12" s="9">
        <v>34.147509139746589</v>
      </c>
      <c r="Q12" s="9">
        <v>31.017054916246963</v>
      </c>
      <c r="R12" s="9">
        <v>33.059602964580634</v>
      </c>
      <c r="T12" s="23">
        <v>8</v>
      </c>
      <c r="U12" s="28"/>
      <c r="V12" s="28"/>
      <c r="W12" s="28"/>
      <c r="X12" s="28"/>
      <c r="Y12" s="11"/>
      <c r="Z12" s="9"/>
      <c r="AA12" s="9"/>
      <c r="AB12" s="9"/>
      <c r="AC12" s="9"/>
      <c r="AE12" s="48" t="s">
        <v>10</v>
      </c>
      <c r="AF12" s="29">
        <f>AF11+(AF11-AF10)</f>
        <v>707</v>
      </c>
      <c r="AG12" s="29">
        <f>AG10</f>
        <v>1148</v>
      </c>
      <c r="AH12" s="48" t="s">
        <v>10</v>
      </c>
      <c r="AI12" s="29">
        <f>AI11+(AI11-AI10)</f>
        <v>699</v>
      </c>
      <c r="AJ12" s="29">
        <f>AJ10</f>
        <v>1153</v>
      </c>
      <c r="AK12" s="48" t="s">
        <v>10</v>
      </c>
      <c r="AL12" s="29">
        <f t="shared" ref="AL12" si="6">AL11+(AL11-AL10)</f>
        <v>685</v>
      </c>
      <c r="AM12" s="29">
        <f t="shared" ref="AM12" si="7">AM10</f>
        <v>1136</v>
      </c>
      <c r="AN12" s="48" t="s">
        <v>10</v>
      </c>
      <c r="AO12" s="29">
        <f t="shared" ref="AO12" si="8">AO11+(AO11-AO10)</f>
        <v>698</v>
      </c>
      <c r="AP12" s="29">
        <f t="shared" ref="AP12" si="9">AP10</f>
        <v>1143</v>
      </c>
      <c r="AQ12" s="48" t="s">
        <v>10</v>
      </c>
      <c r="AR12" s="29">
        <f t="shared" ref="AR12" si="10">AR11+(AR11-AR10)</f>
        <v>685</v>
      </c>
      <c r="AS12" s="29">
        <f t="shared" ref="AS12" si="11">AS10</f>
        <v>1156</v>
      </c>
    </row>
    <row r="13" spans="1:45">
      <c r="A13" s="24">
        <v>9</v>
      </c>
      <c r="B13" s="19" t="s">
        <v>43</v>
      </c>
      <c r="C13" s="19" t="s">
        <v>44</v>
      </c>
      <c r="D13" s="11">
        <v>744</v>
      </c>
      <c r="E13" s="9">
        <v>748</v>
      </c>
      <c r="F13" s="9">
        <v>788</v>
      </c>
      <c r="G13" s="9">
        <v>78.089692021418557</v>
      </c>
      <c r="H13" s="9">
        <v>844</v>
      </c>
      <c r="J13" s="21">
        <v>9</v>
      </c>
      <c r="K13" s="27" t="s">
        <v>43</v>
      </c>
      <c r="L13" s="27" t="s">
        <v>41</v>
      </c>
      <c r="M13" s="27" t="s">
        <v>34</v>
      </c>
      <c r="N13" s="9">
        <v>129.80708854771814</v>
      </c>
      <c r="O13" s="9">
        <v>131.81664007607955</v>
      </c>
      <c r="P13" s="9">
        <v>135.28033003102072</v>
      </c>
      <c r="Q13" s="9">
        <v>141.67596497955446</v>
      </c>
      <c r="R13" s="9">
        <v>141.70139485828003</v>
      </c>
      <c r="T13" s="23">
        <v>9</v>
      </c>
      <c r="U13" s="28"/>
      <c r="V13" s="28"/>
      <c r="W13" s="28"/>
      <c r="X13" s="28"/>
      <c r="Y13" s="11"/>
      <c r="Z13" s="9"/>
      <c r="AA13" s="9"/>
      <c r="AB13" s="9"/>
      <c r="AC13" s="9"/>
      <c r="AE13" s="48" t="s">
        <v>11</v>
      </c>
      <c r="AF13" s="29">
        <v>259</v>
      </c>
      <c r="AG13" s="29">
        <v>952</v>
      </c>
      <c r="AH13" s="48" t="s">
        <v>11</v>
      </c>
      <c r="AI13" s="29">
        <v>272</v>
      </c>
      <c r="AJ13" s="29">
        <v>975</v>
      </c>
      <c r="AK13" s="48" t="s">
        <v>11</v>
      </c>
      <c r="AL13" s="29">
        <v>255</v>
      </c>
      <c r="AM13" s="29">
        <v>946</v>
      </c>
      <c r="AN13" s="48" t="s">
        <v>11</v>
      </c>
      <c r="AO13" s="29">
        <v>284</v>
      </c>
      <c r="AP13" s="29">
        <v>990</v>
      </c>
      <c r="AQ13" s="48" t="s">
        <v>11</v>
      </c>
      <c r="AR13" s="29">
        <v>262</v>
      </c>
      <c r="AS13" s="29">
        <v>984</v>
      </c>
    </row>
    <row r="14" spans="1:45">
      <c r="A14" s="24">
        <v>10</v>
      </c>
      <c r="B14" s="19" t="s">
        <v>45</v>
      </c>
      <c r="C14" s="19" t="s">
        <v>43</v>
      </c>
      <c r="D14" s="11">
        <v>52.153619241621193</v>
      </c>
      <c r="E14" s="9">
        <v>57.078892771321343</v>
      </c>
      <c r="F14" s="9">
        <v>114.00438588054409</v>
      </c>
      <c r="G14" s="9">
        <v>71.028163428319047</v>
      </c>
      <c r="H14" s="9">
        <v>59.008473967727717</v>
      </c>
      <c r="J14" s="21">
        <v>10</v>
      </c>
      <c r="K14" s="27" t="s">
        <v>44</v>
      </c>
      <c r="L14" s="27" t="s">
        <v>32</v>
      </c>
      <c r="M14" s="27" t="s">
        <v>62</v>
      </c>
      <c r="N14" s="9">
        <v>55.850534912100393</v>
      </c>
      <c r="O14" s="9">
        <v>50.47204377146462</v>
      </c>
      <c r="P14" s="9">
        <v>49.225952966685867</v>
      </c>
      <c r="Q14" s="9">
        <v>149.7397988650913</v>
      </c>
      <c r="R14" s="9">
        <v>47.773156644948848</v>
      </c>
      <c r="T14" s="23">
        <v>10</v>
      </c>
      <c r="U14" s="28"/>
      <c r="V14" s="28"/>
      <c r="W14" s="28"/>
      <c r="X14" s="28"/>
      <c r="Y14" s="11"/>
      <c r="Z14" s="9"/>
      <c r="AA14" s="9"/>
      <c r="AB14" s="9"/>
      <c r="AC14" s="9"/>
      <c r="AE14" s="48" t="s">
        <v>12</v>
      </c>
      <c r="AF14" s="29">
        <f>600+(600-AF13)</f>
        <v>941</v>
      </c>
      <c r="AG14" s="29">
        <f>AG13</f>
        <v>952</v>
      </c>
      <c r="AH14" s="48" t="s">
        <v>12</v>
      </c>
      <c r="AI14" s="29">
        <f>600+(600-AI13)</f>
        <v>928</v>
      </c>
      <c r="AJ14" s="29">
        <f>AJ13</f>
        <v>975</v>
      </c>
      <c r="AK14" s="48" t="s">
        <v>12</v>
      </c>
      <c r="AL14" s="29">
        <f t="shared" ref="AL14" si="12">600+(600-AL13)</f>
        <v>945</v>
      </c>
      <c r="AM14" s="29">
        <f t="shared" ref="AM14" si="13">AM13</f>
        <v>946</v>
      </c>
      <c r="AN14" s="48" t="s">
        <v>12</v>
      </c>
      <c r="AO14" s="29">
        <f t="shared" ref="AO14" si="14">600+(600-AO13)</f>
        <v>916</v>
      </c>
      <c r="AP14" s="29">
        <f t="shared" ref="AP14" si="15">AP13</f>
        <v>990</v>
      </c>
      <c r="AQ14" s="48" t="s">
        <v>12</v>
      </c>
      <c r="AR14" s="29">
        <f t="shared" ref="AR14" si="16">600+(600-AR13)</f>
        <v>938</v>
      </c>
      <c r="AS14" s="29">
        <f t="shared" ref="AS14" si="17">AS13</f>
        <v>984</v>
      </c>
    </row>
    <row r="15" spans="1:45">
      <c r="A15" s="24">
        <v>11</v>
      </c>
      <c r="B15" s="19" t="s">
        <v>46</v>
      </c>
      <c r="C15" s="19" t="s">
        <v>47</v>
      </c>
      <c r="D15" s="11">
        <v>674</v>
      </c>
      <c r="E15" s="9">
        <v>660</v>
      </c>
      <c r="F15" s="9">
        <v>784</v>
      </c>
      <c r="G15" s="9">
        <v>754</v>
      </c>
      <c r="H15" s="9">
        <v>784</v>
      </c>
      <c r="J15" s="21">
        <v>11</v>
      </c>
      <c r="K15" s="27" t="s">
        <v>44</v>
      </c>
      <c r="L15" s="27" t="s">
        <v>33</v>
      </c>
      <c r="M15" s="27" t="s">
        <v>62</v>
      </c>
      <c r="N15" s="9">
        <v>59.768571251440932</v>
      </c>
      <c r="O15" s="9">
        <v>54.730549351124516</v>
      </c>
      <c r="P15" s="9">
        <v>54.056944274316201</v>
      </c>
      <c r="Q15" s="9">
        <v>174.78437736625813</v>
      </c>
      <c r="R15" s="9">
        <v>51.532296894922084</v>
      </c>
      <c r="T15" s="23">
        <v>11</v>
      </c>
      <c r="U15" s="28"/>
      <c r="V15" s="28"/>
      <c r="W15" s="28"/>
      <c r="X15" s="28"/>
      <c r="Y15" s="11"/>
      <c r="Z15" s="9"/>
      <c r="AA15" s="9"/>
      <c r="AB15" s="9"/>
      <c r="AC15" s="9"/>
      <c r="AE15" s="48" t="s">
        <v>13</v>
      </c>
      <c r="AF15" s="29">
        <v>228</v>
      </c>
      <c r="AG15" s="29">
        <v>659</v>
      </c>
      <c r="AH15" s="48" t="s">
        <v>13</v>
      </c>
      <c r="AI15" s="29">
        <v>226</v>
      </c>
      <c r="AJ15" s="29">
        <v>709</v>
      </c>
      <c r="AK15" s="48" t="s">
        <v>13</v>
      </c>
      <c r="AL15" s="29">
        <v>206</v>
      </c>
      <c r="AM15" s="29">
        <v>697</v>
      </c>
      <c r="AN15" s="48" t="s">
        <v>13</v>
      </c>
      <c r="AO15" s="29">
        <v>341</v>
      </c>
      <c r="AP15" s="29">
        <v>746</v>
      </c>
      <c r="AQ15" s="48" t="s">
        <v>13</v>
      </c>
      <c r="AR15" s="29">
        <v>178</v>
      </c>
      <c r="AS15" s="29">
        <v>711</v>
      </c>
    </row>
    <row r="16" spans="1:45" ht="15.75" customHeight="1">
      <c r="A16" s="24">
        <v>12</v>
      </c>
      <c r="B16" s="19" t="s">
        <v>48</v>
      </c>
      <c r="C16" s="19" t="s">
        <v>31</v>
      </c>
      <c r="D16" s="11">
        <v>339</v>
      </c>
      <c r="E16" s="9">
        <v>624</v>
      </c>
      <c r="F16" s="9">
        <v>296</v>
      </c>
      <c r="G16" s="9">
        <v>286</v>
      </c>
      <c r="H16" s="9">
        <v>359</v>
      </c>
      <c r="J16" s="21">
        <v>12</v>
      </c>
      <c r="K16" s="27" t="s">
        <v>47</v>
      </c>
      <c r="L16" s="27" t="s">
        <v>30</v>
      </c>
      <c r="M16" s="27" t="s">
        <v>62</v>
      </c>
      <c r="N16" s="9">
        <v>101.60346253729672</v>
      </c>
      <c r="O16" s="9">
        <v>100.40369415034256</v>
      </c>
      <c r="P16" s="9">
        <v>95.566102779828896</v>
      </c>
      <c r="Q16" s="9">
        <v>93.328802722381084</v>
      </c>
      <c r="R16" s="9">
        <v>97.737891849778634</v>
      </c>
      <c r="T16" s="23">
        <v>12</v>
      </c>
      <c r="U16" s="28"/>
      <c r="V16" s="28"/>
      <c r="W16" s="28"/>
      <c r="X16" s="28"/>
      <c r="Y16" s="11"/>
      <c r="Z16" s="9"/>
      <c r="AA16" s="9"/>
      <c r="AB16" s="9"/>
      <c r="AC16" s="9"/>
      <c r="AE16" s="48" t="s">
        <v>14</v>
      </c>
      <c r="AF16" s="29">
        <f>600+(600-AF15)</f>
        <v>972</v>
      </c>
      <c r="AG16" s="29">
        <f>AG15</f>
        <v>659</v>
      </c>
      <c r="AH16" s="48" t="s">
        <v>14</v>
      </c>
      <c r="AI16" s="29">
        <f>600+(600-AI15)</f>
        <v>974</v>
      </c>
      <c r="AJ16" s="29">
        <f>AJ15</f>
        <v>709</v>
      </c>
      <c r="AK16" s="48" t="s">
        <v>14</v>
      </c>
      <c r="AL16" s="29">
        <f t="shared" ref="AL16" si="18">600+(600-AL15)</f>
        <v>994</v>
      </c>
      <c r="AM16" s="29">
        <f t="shared" ref="AM16" si="19">AM15</f>
        <v>697</v>
      </c>
      <c r="AN16" s="48" t="s">
        <v>14</v>
      </c>
      <c r="AO16" s="29">
        <v>984</v>
      </c>
      <c r="AP16" s="29">
        <v>759</v>
      </c>
      <c r="AQ16" s="48" t="s">
        <v>14</v>
      </c>
      <c r="AR16" s="29">
        <f t="shared" ref="AR16" si="20">600+(600-AR15)</f>
        <v>1022</v>
      </c>
      <c r="AS16" s="29">
        <f t="shared" ref="AS16" si="21">AS15</f>
        <v>711</v>
      </c>
    </row>
    <row r="17" spans="1:45" ht="15.75" customHeight="1">
      <c r="A17" s="24">
        <v>13</v>
      </c>
      <c r="B17" s="19" t="s">
        <v>49</v>
      </c>
      <c r="C17" s="19" t="s">
        <v>37</v>
      </c>
      <c r="D17" s="11">
        <v>680</v>
      </c>
      <c r="E17" s="9">
        <v>265</v>
      </c>
      <c r="F17" s="9">
        <v>635</v>
      </c>
      <c r="G17" s="9">
        <v>573</v>
      </c>
      <c r="H17" s="9">
        <v>688</v>
      </c>
      <c r="J17" s="21">
        <v>13</v>
      </c>
      <c r="K17" s="27" t="s">
        <v>47</v>
      </c>
      <c r="L17" s="27" t="s">
        <v>48</v>
      </c>
      <c r="M17" s="27" t="s">
        <v>62</v>
      </c>
      <c r="N17" s="9">
        <v>75.067478604915635</v>
      </c>
      <c r="O17" s="9">
        <v>78.271816880269597</v>
      </c>
      <c r="P17" s="9">
        <v>74.04743675116444</v>
      </c>
      <c r="Q17" s="9">
        <v>70.483648148337593</v>
      </c>
      <c r="R17" s="9">
        <v>73.584179711605302</v>
      </c>
      <c r="T17" s="23">
        <v>13</v>
      </c>
      <c r="U17" s="28"/>
      <c r="V17" s="28"/>
      <c r="W17" s="28"/>
      <c r="X17" s="28"/>
      <c r="Y17" s="11"/>
      <c r="Z17" s="9"/>
      <c r="AA17" s="9"/>
      <c r="AB17" s="9"/>
      <c r="AC17" s="9"/>
      <c r="AE17" s="48" t="s">
        <v>15</v>
      </c>
      <c r="AF17" s="29">
        <v>176</v>
      </c>
      <c r="AG17" s="29">
        <v>655</v>
      </c>
      <c r="AH17" s="48" t="s">
        <v>15</v>
      </c>
      <c r="AI17" s="29">
        <v>169</v>
      </c>
      <c r="AJ17" s="29">
        <v>706</v>
      </c>
      <c r="AK17" s="48" t="s">
        <v>15</v>
      </c>
      <c r="AL17" s="29">
        <v>92</v>
      </c>
      <c r="AM17" s="29">
        <v>696</v>
      </c>
      <c r="AN17" s="48" t="s">
        <v>15</v>
      </c>
      <c r="AO17" s="29">
        <v>121</v>
      </c>
      <c r="AP17" s="29">
        <v>744</v>
      </c>
      <c r="AQ17" s="48" t="s">
        <v>15</v>
      </c>
      <c r="AR17" s="29">
        <v>119</v>
      </c>
      <c r="AS17" s="29">
        <v>710</v>
      </c>
    </row>
    <row r="18" spans="1:45">
      <c r="A18" s="24">
        <v>14</v>
      </c>
      <c r="B18" s="19" t="s">
        <v>49</v>
      </c>
      <c r="C18" s="19" t="s">
        <v>33</v>
      </c>
      <c r="D18" s="11">
        <v>812</v>
      </c>
      <c r="E18" s="9">
        <v>153</v>
      </c>
      <c r="F18" s="9">
        <v>750</v>
      </c>
      <c r="G18" s="9">
        <v>706</v>
      </c>
      <c r="H18" s="9">
        <v>819</v>
      </c>
      <c r="J18" s="21">
        <v>14</v>
      </c>
      <c r="K18" s="44" t="s">
        <v>48</v>
      </c>
      <c r="L18" s="44" t="s">
        <v>78</v>
      </c>
      <c r="M18" s="44" t="s">
        <v>79</v>
      </c>
      <c r="N18" s="11">
        <v>52.750819957001703</v>
      </c>
      <c r="O18" s="9">
        <v>78.433815539878722</v>
      </c>
      <c r="P18" s="9">
        <v>56.883299638162917</v>
      </c>
      <c r="Q18" s="9">
        <v>37.998017226001409</v>
      </c>
      <c r="R18" s="9">
        <v>42.818778707074905</v>
      </c>
      <c r="T18" s="23">
        <v>14</v>
      </c>
      <c r="U18" s="28"/>
      <c r="V18" s="28"/>
      <c r="W18" s="28"/>
      <c r="X18" s="28"/>
      <c r="Y18" s="11"/>
      <c r="Z18" s="9"/>
      <c r="AA18" s="9"/>
      <c r="AB18" s="9"/>
      <c r="AC18" s="9"/>
      <c r="AE18" s="48" t="s">
        <v>16</v>
      </c>
      <c r="AF18" s="29">
        <f>600+(600-AF17)</f>
        <v>1024</v>
      </c>
      <c r="AG18" s="29">
        <f>AG17</f>
        <v>655</v>
      </c>
      <c r="AH18" s="48" t="s">
        <v>16</v>
      </c>
      <c r="AI18" s="29">
        <f>600+(600-AI17)</f>
        <v>1031</v>
      </c>
      <c r="AJ18" s="29">
        <f>AJ17</f>
        <v>706</v>
      </c>
      <c r="AK18" s="48" t="s">
        <v>16</v>
      </c>
      <c r="AL18" s="29">
        <f t="shared" ref="AL18" si="22">600+(600-AL17)</f>
        <v>1108</v>
      </c>
      <c r="AM18" s="29">
        <f t="shared" ref="AM18" si="23">AM17</f>
        <v>696</v>
      </c>
      <c r="AN18" s="48" t="s">
        <v>16</v>
      </c>
      <c r="AO18" s="29">
        <f t="shared" ref="AO18" si="24">600+(600-AO17)</f>
        <v>1079</v>
      </c>
      <c r="AP18" s="29">
        <f t="shared" ref="AP18" si="25">AP17</f>
        <v>744</v>
      </c>
      <c r="AQ18" s="48" t="s">
        <v>16</v>
      </c>
      <c r="AR18" s="29">
        <f t="shared" ref="AR18" si="26">600+(600-AR17)</f>
        <v>1081</v>
      </c>
      <c r="AS18" s="29">
        <f t="shared" ref="AS18" si="27">AS17</f>
        <v>710</v>
      </c>
    </row>
    <row r="19" spans="1:45">
      <c r="A19" s="24">
        <v>15</v>
      </c>
      <c r="B19" s="19" t="s">
        <v>48</v>
      </c>
      <c r="C19" s="19" t="s">
        <v>34</v>
      </c>
      <c r="D19" s="11">
        <v>1029</v>
      </c>
      <c r="E19" s="9">
        <v>62</v>
      </c>
      <c r="F19" s="9">
        <v>994</v>
      </c>
      <c r="G19" s="9">
        <v>963</v>
      </c>
      <c r="H19" s="9">
        <v>1020</v>
      </c>
      <c r="J19" s="21">
        <v>15</v>
      </c>
      <c r="K19" s="44" t="s">
        <v>80</v>
      </c>
      <c r="L19" s="44" t="s">
        <v>78</v>
      </c>
      <c r="M19" s="44" t="s">
        <v>79</v>
      </c>
      <c r="N19" s="11">
        <v>20.430711077448951</v>
      </c>
      <c r="O19" s="9">
        <v>19.770726878386178</v>
      </c>
      <c r="P19" s="9">
        <v>18.116732869421309</v>
      </c>
      <c r="Q19" s="9">
        <v>17.362119547130462</v>
      </c>
      <c r="R19" s="9">
        <v>20.396645364501943</v>
      </c>
      <c r="T19" s="23">
        <v>15</v>
      </c>
      <c r="U19" s="28"/>
      <c r="V19" s="28"/>
      <c r="W19" s="28"/>
      <c r="X19" s="28"/>
      <c r="Y19" s="11"/>
      <c r="Z19" s="9"/>
      <c r="AA19" s="9"/>
      <c r="AB19" s="9"/>
      <c r="AC19" s="9"/>
      <c r="AE19" s="48" t="s">
        <v>17</v>
      </c>
      <c r="AF19" s="29">
        <v>263</v>
      </c>
      <c r="AG19" s="29">
        <v>64</v>
      </c>
      <c r="AH19" s="48" t="s">
        <v>17</v>
      </c>
      <c r="AI19" s="29">
        <v>270</v>
      </c>
      <c r="AJ19" s="29">
        <v>92</v>
      </c>
      <c r="AK19" s="48" t="s">
        <v>17</v>
      </c>
      <c r="AL19" s="29">
        <v>208</v>
      </c>
      <c r="AM19" s="29">
        <v>86</v>
      </c>
      <c r="AN19" s="48" t="s">
        <v>17</v>
      </c>
      <c r="AO19" s="29">
        <v>223</v>
      </c>
      <c r="AP19" s="29">
        <v>140</v>
      </c>
      <c r="AQ19" s="48" t="s">
        <v>17</v>
      </c>
      <c r="AR19" s="29">
        <v>208</v>
      </c>
      <c r="AS19" s="29">
        <v>68</v>
      </c>
    </row>
    <row r="20" spans="1:45">
      <c r="A20" s="24">
        <v>16</v>
      </c>
      <c r="B20" s="19" t="s">
        <v>50</v>
      </c>
      <c r="C20" s="19" t="s">
        <v>51</v>
      </c>
      <c r="D20" s="11">
        <v>54.230987451824994</v>
      </c>
      <c r="E20" s="9">
        <v>51.623637996561229</v>
      </c>
      <c r="F20" s="9">
        <v>51.009802979427398</v>
      </c>
      <c r="G20" s="9">
        <v>42.190046219457976</v>
      </c>
      <c r="H20" s="9">
        <v>112.0044641967453</v>
      </c>
      <c r="I20" s="3"/>
      <c r="J20" s="21">
        <v>16</v>
      </c>
      <c r="K20" s="44" t="s">
        <v>48</v>
      </c>
      <c r="L20" s="44" t="s">
        <v>81</v>
      </c>
      <c r="M20" s="44" t="s">
        <v>79</v>
      </c>
      <c r="N20" s="11">
        <v>105.24625578993164</v>
      </c>
      <c r="O20" s="9">
        <v>89.737572007016453</v>
      </c>
      <c r="P20" s="9">
        <v>116.09790853673528</v>
      </c>
      <c r="Q20" s="9">
        <v>106.54249474566318</v>
      </c>
      <c r="R20" s="9">
        <v>104.85861444792467</v>
      </c>
      <c r="T20" s="23">
        <v>16</v>
      </c>
      <c r="U20" s="28"/>
      <c r="V20" s="28"/>
      <c r="W20" s="28"/>
      <c r="X20" s="28"/>
      <c r="Y20" s="11"/>
      <c r="Z20" s="9"/>
      <c r="AA20" s="9"/>
      <c r="AB20" s="9"/>
      <c r="AC20" s="9"/>
      <c r="AE20" s="48" t="s">
        <v>18</v>
      </c>
      <c r="AF20" s="29">
        <v>600</v>
      </c>
      <c r="AG20" s="29">
        <v>151</v>
      </c>
      <c r="AH20" s="48" t="s">
        <v>18</v>
      </c>
      <c r="AI20" s="29">
        <v>600</v>
      </c>
      <c r="AJ20" s="29">
        <v>1118</v>
      </c>
      <c r="AK20" s="48" t="s">
        <v>18</v>
      </c>
      <c r="AL20" s="29">
        <v>600</v>
      </c>
      <c r="AM20" s="29">
        <v>186</v>
      </c>
      <c r="AN20" s="48" t="s">
        <v>18</v>
      </c>
      <c r="AO20" s="29">
        <v>600</v>
      </c>
      <c r="AP20" s="29">
        <v>83</v>
      </c>
      <c r="AQ20" s="48" t="s">
        <v>18</v>
      </c>
      <c r="AR20" s="29">
        <v>600</v>
      </c>
      <c r="AS20" s="29">
        <v>160</v>
      </c>
    </row>
    <row r="21" spans="1:45">
      <c r="A21" s="24">
        <v>17</v>
      </c>
      <c r="B21" s="19" t="s">
        <v>65</v>
      </c>
      <c r="C21" s="19" t="s">
        <v>66</v>
      </c>
      <c r="D21" s="11">
        <v>217</v>
      </c>
      <c r="E21" s="9">
        <v>215</v>
      </c>
      <c r="F21" s="9">
        <v>244</v>
      </c>
      <c r="G21" s="9">
        <v>257</v>
      </c>
      <c r="H21" s="9">
        <v>201</v>
      </c>
      <c r="I21" s="3"/>
      <c r="J21" s="21">
        <v>17</v>
      </c>
      <c r="K21" s="44" t="s">
        <v>80</v>
      </c>
      <c r="L21" s="44" t="s">
        <v>81</v>
      </c>
      <c r="M21" s="44" t="s">
        <v>79</v>
      </c>
      <c r="N21" s="11">
        <v>25.855981196553682</v>
      </c>
      <c r="O21" s="9">
        <v>26.083531779305829</v>
      </c>
      <c r="P21" s="9">
        <v>19.45570103053533</v>
      </c>
      <c r="Q21" s="9">
        <v>18.988831452271462</v>
      </c>
      <c r="R21" s="9">
        <v>25.371561753095936</v>
      </c>
      <c r="T21" s="23">
        <v>17</v>
      </c>
      <c r="U21" s="28"/>
      <c r="V21" s="28"/>
      <c r="W21" s="28"/>
      <c r="X21" s="28"/>
      <c r="Y21" s="11"/>
      <c r="Z21" s="9"/>
      <c r="AA21" s="9"/>
      <c r="AB21" s="9"/>
      <c r="AC21" s="9"/>
      <c r="AE21" s="48" t="s">
        <v>19</v>
      </c>
      <c r="AF21" s="29">
        <f>600+(600-AF19)</f>
        <v>937</v>
      </c>
      <c r="AG21" s="29">
        <f>AG19</f>
        <v>64</v>
      </c>
      <c r="AH21" s="48" t="s">
        <v>19</v>
      </c>
      <c r="AI21" s="29">
        <f>600+(600-AI19)</f>
        <v>930</v>
      </c>
      <c r="AJ21" s="29">
        <f>AJ19</f>
        <v>92</v>
      </c>
      <c r="AK21" s="48" t="s">
        <v>19</v>
      </c>
      <c r="AL21" s="29">
        <f t="shared" ref="AL21" si="28">600+(600-AL19)</f>
        <v>992</v>
      </c>
      <c r="AM21" s="29">
        <f t="shared" ref="AM21" si="29">AM19</f>
        <v>86</v>
      </c>
      <c r="AN21" s="48" t="s">
        <v>19</v>
      </c>
      <c r="AO21" s="29">
        <f t="shared" ref="AO21" si="30">600+(600-AO19)</f>
        <v>977</v>
      </c>
      <c r="AP21" s="29">
        <f t="shared" ref="AP21" si="31">AP19</f>
        <v>140</v>
      </c>
      <c r="AQ21" s="48" t="s">
        <v>19</v>
      </c>
      <c r="AR21" s="29">
        <f t="shared" ref="AR21" si="32">600+(600-AR19)</f>
        <v>992</v>
      </c>
      <c r="AS21" s="29">
        <f t="shared" ref="AS21" si="33">AS19</f>
        <v>68</v>
      </c>
    </row>
    <row r="22" spans="1:45">
      <c r="A22" s="24">
        <v>18</v>
      </c>
      <c r="B22" s="19" t="s">
        <v>76</v>
      </c>
      <c r="C22" s="19" t="s">
        <v>75</v>
      </c>
      <c r="D22" s="11">
        <v>42.720018726587654</v>
      </c>
      <c r="E22" s="9">
        <v>41.194659848091959</v>
      </c>
      <c r="F22" s="9">
        <v>23.259406699226016</v>
      </c>
      <c r="G22" s="9">
        <v>35.510561809129406</v>
      </c>
      <c r="H22" s="9">
        <v>48.083261120685229</v>
      </c>
      <c r="I22" s="3"/>
      <c r="J22" s="21">
        <v>18</v>
      </c>
      <c r="K22" s="27"/>
      <c r="L22" s="27"/>
      <c r="M22" s="27"/>
      <c r="N22" s="11"/>
      <c r="O22" s="9"/>
      <c r="P22" s="9"/>
      <c r="Q22" s="9"/>
      <c r="R22" s="9"/>
      <c r="T22" s="23">
        <v>18</v>
      </c>
      <c r="U22" s="28"/>
      <c r="V22" s="28"/>
      <c r="W22" s="28"/>
      <c r="X22" s="28"/>
      <c r="Y22" s="11"/>
      <c r="Z22" s="9"/>
      <c r="AA22" s="9"/>
      <c r="AB22" s="9"/>
      <c r="AC22" s="9"/>
      <c r="AE22" s="48" t="s">
        <v>20</v>
      </c>
      <c r="AF22" s="29">
        <v>346</v>
      </c>
      <c r="AG22" s="29">
        <v>585</v>
      </c>
      <c r="AH22" s="48" t="s">
        <v>20</v>
      </c>
      <c r="AI22" s="29">
        <v>377</v>
      </c>
      <c r="AJ22" s="29">
        <v>601</v>
      </c>
      <c r="AK22" s="48" t="s">
        <v>20</v>
      </c>
      <c r="AL22" s="29">
        <v>359</v>
      </c>
      <c r="AM22" s="29">
        <v>579</v>
      </c>
      <c r="AN22" s="49" t="s">
        <v>20</v>
      </c>
      <c r="AO22" s="30">
        <v>349</v>
      </c>
      <c r="AP22" s="30">
        <v>606</v>
      </c>
      <c r="AQ22" s="48" t="s">
        <v>20</v>
      </c>
      <c r="AR22" s="29">
        <v>325</v>
      </c>
      <c r="AS22" s="29">
        <v>600</v>
      </c>
    </row>
    <row r="23" spans="1:45">
      <c r="A23" s="24">
        <v>19</v>
      </c>
      <c r="B23" s="19" t="s">
        <v>73</v>
      </c>
      <c r="C23" s="19" t="s">
        <v>74</v>
      </c>
      <c r="D23" s="11">
        <v>197.57024067404484</v>
      </c>
      <c r="E23" s="9">
        <v>193.56910910576616</v>
      </c>
      <c r="F23" s="9">
        <v>130.18832512940628</v>
      </c>
      <c r="G23" s="9">
        <v>204.6264889988586</v>
      </c>
      <c r="H23" s="9">
        <v>209.34421415458323</v>
      </c>
      <c r="I23" s="3"/>
      <c r="J23" s="21">
        <v>19</v>
      </c>
      <c r="K23" s="27"/>
      <c r="L23" s="27"/>
      <c r="M23" s="27"/>
      <c r="N23" s="11"/>
      <c r="O23" s="9"/>
      <c r="P23" s="9"/>
      <c r="Q23" s="9"/>
      <c r="R23" s="9"/>
      <c r="T23" s="23">
        <v>19</v>
      </c>
      <c r="U23" s="28"/>
      <c r="V23" s="28"/>
      <c r="W23" s="28"/>
      <c r="X23" s="28"/>
      <c r="Y23" s="11"/>
      <c r="Z23" s="9"/>
      <c r="AA23" s="9"/>
      <c r="AB23" s="9"/>
      <c r="AC23" s="9"/>
      <c r="AE23" s="48" t="s">
        <v>21</v>
      </c>
      <c r="AF23" s="29">
        <v>428</v>
      </c>
      <c r="AG23" s="29">
        <v>618</v>
      </c>
      <c r="AH23" s="49" t="s">
        <v>21</v>
      </c>
      <c r="AI23" s="30">
        <v>443</v>
      </c>
      <c r="AJ23" s="30">
        <v>613</v>
      </c>
      <c r="AK23" s="48" t="s">
        <v>21</v>
      </c>
      <c r="AL23" s="29">
        <v>428</v>
      </c>
      <c r="AM23" s="29">
        <v>605</v>
      </c>
      <c r="AN23" s="49" t="s">
        <v>21</v>
      </c>
      <c r="AO23" s="30">
        <v>429</v>
      </c>
      <c r="AP23" s="30">
        <v>611</v>
      </c>
      <c r="AQ23" s="48" t="s">
        <v>21</v>
      </c>
      <c r="AR23" s="29">
        <v>502</v>
      </c>
      <c r="AS23" s="29">
        <v>627</v>
      </c>
    </row>
    <row r="24" spans="1:45">
      <c r="A24" s="24">
        <v>20</v>
      </c>
      <c r="B24" s="19"/>
      <c r="C24" s="19"/>
      <c r="D24" s="9"/>
      <c r="E24" s="9"/>
      <c r="F24" s="9"/>
      <c r="G24" s="9"/>
      <c r="H24" s="9"/>
      <c r="I24" s="3"/>
      <c r="J24" s="21">
        <v>20</v>
      </c>
      <c r="K24" s="27"/>
      <c r="L24" s="27"/>
      <c r="M24" s="27"/>
      <c r="N24" s="11"/>
      <c r="O24" s="9"/>
      <c r="P24" s="9"/>
      <c r="Q24" s="9"/>
      <c r="R24" s="9"/>
      <c r="T24" s="23">
        <v>20</v>
      </c>
      <c r="U24" s="28"/>
      <c r="V24" s="28"/>
      <c r="W24" s="28"/>
      <c r="X24" s="28"/>
      <c r="Y24" s="11"/>
      <c r="Z24" s="9"/>
      <c r="AA24" s="9"/>
      <c r="AB24" s="9"/>
      <c r="AC24" s="9"/>
      <c r="AE24" s="48" t="s">
        <v>22</v>
      </c>
      <c r="AF24" s="29">
        <v>500</v>
      </c>
      <c r="AG24" s="29">
        <v>599</v>
      </c>
      <c r="AH24" s="49" t="s">
        <v>22</v>
      </c>
      <c r="AI24" s="30">
        <v>515</v>
      </c>
      <c r="AJ24" s="30">
        <v>592</v>
      </c>
      <c r="AK24" s="48" t="s">
        <v>22</v>
      </c>
      <c r="AL24" s="29">
        <v>499</v>
      </c>
      <c r="AM24" s="29">
        <v>579</v>
      </c>
      <c r="AN24" s="49" t="s">
        <v>22</v>
      </c>
      <c r="AO24" s="30">
        <v>512</v>
      </c>
      <c r="AP24" s="30">
        <v>600</v>
      </c>
      <c r="AQ24" s="48" t="s">
        <v>22</v>
      </c>
      <c r="AR24" s="29">
        <v>492</v>
      </c>
      <c r="AS24" s="29">
        <v>615</v>
      </c>
    </row>
    <row r="25" spans="1:45" ht="15.75" customHeight="1">
      <c r="A25" s="24">
        <v>21</v>
      </c>
      <c r="B25" s="19"/>
      <c r="C25" s="19"/>
      <c r="D25" s="9"/>
      <c r="E25" s="9"/>
      <c r="F25" s="9"/>
      <c r="G25" s="9"/>
      <c r="H25" s="9"/>
      <c r="I25" s="3"/>
      <c r="J25" s="21">
        <v>21</v>
      </c>
      <c r="K25" s="27"/>
      <c r="L25" s="27"/>
      <c r="M25" s="27"/>
      <c r="N25" s="11"/>
      <c r="O25" s="9"/>
      <c r="P25" s="9"/>
      <c r="Q25" s="9"/>
      <c r="R25" s="9"/>
      <c r="T25" s="23">
        <v>21</v>
      </c>
      <c r="U25" s="28"/>
      <c r="V25" s="28"/>
      <c r="W25" s="28"/>
      <c r="X25" s="28"/>
      <c r="Y25" s="11"/>
      <c r="Z25" s="9"/>
      <c r="AA25" s="9"/>
      <c r="AB25" s="9"/>
      <c r="AC25" s="9"/>
      <c r="AE25" s="48" t="s">
        <v>23</v>
      </c>
      <c r="AF25" s="29">
        <v>433</v>
      </c>
      <c r="AG25" s="29">
        <v>564</v>
      </c>
      <c r="AH25" s="49" t="s">
        <v>23</v>
      </c>
      <c r="AI25" s="30">
        <v>435</v>
      </c>
      <c r="AJ25" s="30">
        <v>562</v>
      </c>
      <c r="AK25" s="48" t="s">
        <v>23</v>
      </c>
      <c r="AL25" s="29">
        <v>429</v>
      </c>
      <c r="AM25" s="29">
        <v>554</v>
      </c>
      <c r="AN25" s="49" t="s">
        <v>23</v>
      </c>
      <c r="AO25" s="30">
        <v>425</v>
      </c>
      <c r="AP25" s="30">
        <v>569</v>
      </c>
      <c r="AQ25" s="48" t="s">
        <v>23</v>
      </c>
      <c r="AR25" s="29">
        <v>405</v>
      </c>
      <c r="AS25" s="29">
        <v>571</v>
      </c>
    </row>
    <row r="26" spans="1:45" ht="16.5" customHeight="1">
      <c r="A26" s="24">
        <v>22</v>
      </c>
      <c r="B26" s="19"/>
      <c r="C26" s="19"/>
      <c r="D26" s="9"/>
      <c r="E26" s="9"/>
      <c r="F26" s="9"/>
      <c r="G26" s="9"/>
      <c r="H26" s="9"/>
      <c r="I26" s="3"/>
      <c r="J26" s="21">
        <v>22</v>
      </c>
      <c r="K26" s="27"/>
      <c r="L26" s="27"/>
      <c r="M26" s="27"/>
      <c r="N26" s="11"/>
      <c r="O26" s="9"/>
      <c r="P26" s="9"/>
      <c r="Q26" s="9"/>
      <c r="R26" s="9"/>
      <c r="T26" s="23">
        <v>22</v>
      </c>
      <c r="U26" s="28"/>
      <c r="V26" s="28"/>
      <c r="W26" s="28"/>
      <c r="X26" s="28"/>
      <c r="Y26" s="11"/>
      <c r="Z26" s="9"/>
      <c r="AA26" s="9"/>
      <c r="AB26" s="9"/>
      <c r="AC26" s="9"/>
      <c r="AE26" s="48" t="s">
        <v>24</v>
      </c>
      <c r="AF26" s="31">
        <v>1180</v>
      </c>
      <c r="AG26" s="31">
        <v>1180</v>
      </c>
      <c r="AH26" s="49" t="s">
        <v>24</v>
      </c>
      <c r="AI26" s="30">
        <v>1180</v>
      </c>
      <c r="AJ26" s="30">
        <v>1180</v>
      </c>
      <c r="AK26" s="48" t="s">
        <v>24</v>
      </c>
      <c r="AL26" s="31">
        <v>1180</v>
      </c>
      <c r="AM26" s="31">
        <v>1180</v>
      </c>
      <c r="AN26" s="49" t="s">
        <v>24</v>
      </c>
      <c r="AO26" s="30">
        <v>1180</v>
      </c>
      <c r="AP26" s="30">
        <v>1180</v>
      </c>
      <c r="AQ26" s="32" t="s">
        <v>24</v>
      </c>
      <c r="AR26" s="31">
        <v>1180</v>
      </c>
      <c r="AS26" s="31">
        <v>1180</v>
      </c>
    </row>
    <row r="27" spans="1:45">
      <c r="A27" s="24">
        <v>23</v>
      </c>
      <c r="B27" s="19"/>
      <c r="C27" s="19"/>
      <c r="D27" s="9"/>
      <c r="E27" s="9"/>
      <c r="F27" s="9"/>
      <c r="G27" s="9"/>
      <c r="H27" s="9"/>
      <c r="J27" s="21">
        <v>23</v>
      </c>
      <c r="K27" s="27"/>
      <c r="L27" s="27"/>
      <c r="M27" s="27"/>
      <c r="N27" s="11"/>
      <c r="O27" s="9"/>
      <c r="P27" s="9"/>
      <c r="Q27" s="9"/>
      <c r="R27" s="9"/>
      <c r="T27" s="23">
        <v>23</v>
      </c>
      <c r="U27" s="28"/>
      <c r="V27" s="28"/>
      <c r="W27" s="28"/>
      <c r="X27" s="28"/>
      <c r="Y27" s="11"/>
      <c r="Z27" s="9"/>
      <c r="AA27" s="9"/>
      <c r="AB27" s="9"/>
      <c r="AC27" s="9"/>
      <c r="AE27" s="46" t="s">
        <v>67</v>
      </c>
      <c r="AF27" s="8">
        <v>600</v>
      </c>
      <c r="AG27" s="37">
        <v>0</v>
      </c>
      <c r="AH27" s="46" t="s">
        <v>67</v>
      </c>
      <c r="AI27" s="9">
        <v>600</v>
      </c>
      <c r="AJ27" s="38">
        <v>0</v>
      </c>
      <c r="AK27" s="46" t="s">
        <v>67</v>
      </c>
      <c r="AL27" s="8">
        <v>600</v>
      </c>
      <c r="AM27" s="37">
        <v>0</v>
      </c>
      <c r="AN27" s="46" t="s">
        <v>67</v>
      </c>
      <c r="AO27" s="9">
        <v>600</v>
      </c>
      <c r="AP27" s="38">
        <v>0</v>
      </c>
      <c r="AQ27" s="46" t="s">
        <v>67</v>
      </c>
      <c r="AR27" s="8">
        <v>600</v>
      </c>
      <c r="AS27" s="37">
        <v>0</v>
      </c>
    </row>
    <row r="28" spans="1:45" s="7" customFormat="1">
      <c r="A28" s="24">
        <v>24</v>
      </c>
      <c r="B28" s="19"/>
      <c r="C28" s="19"/>
      <c r="D28" s="17"/>
      <c r="E28" s="12"/>
      <c r="F28" s="12"/>
      <c r="G28" s="12"/>
      <c r="H28" s="12"/>
      <c r="J28" s="21">
        <v>24</v>
      </c>
      <c r="K28" s="27"/>
      <c r="L28" s="27"/>
      <c r="M28" s="27"/>
      <c r="N28" s="17"/>
      <c r="O28" s="12"/>
      <c r="P28" s="12"/>
      <c r="Q28" s="12"/>
      <c r="R28" s="12"/>
      <c r="T28" s="23">
        <v>24</v>
      </c>
      <c r="U28" s="28"/>
      <c r="V28" s="28"/>
      <c r="W28" s="28"/>
      <c r="X28" s="28"/>
      <c r="Y28" s="17"/>
      <c r="Z28" s="12"/>
      <c r="AA28" s="12"/>
      <c r="AB28" s="12"/>
      <c r="AC28" s="12"/>
      <c r="AE28" s="46" t="s">
        <v>68</v>
      </c>
      <c r="AF28" s="8">
        <v>412</v>
      </c>
      <c r="AG28" s="37">
        <v>441</v>
      </c>
      <c r="AH28" s="46" t="s">
        <v>68</v>
      </c>
      <c r="AI28" s="9">
        <v>425</v>
      </c>
      <c r="AJ28" s="38">
        <v>459</v>
      </c>
      <c r="AK28" s="46" t="s">
        <v>68</v>
      </c>
      <c r="AL28" s="8">
        <v>416</v>
      </c>
      <c r="AM28" s="37">
        <v>454</v>
      </c>
      <c r="AN28" s="46" t="s">
        <v>68</v>
      </c>
      <c r="AO28" s="9">
        <v>421</v>
      </c>
      <c r="AP28" s="38">
        <v>462</v>
      </c>
      <c r="AQ28" s="46" t="s">
        <v>68</v>
      </c>
      <c r="AR28" s="8">
        <v>412</v>
      </c>
      <c r="AS28" s="37">
        <v>457</v>
      </c>
    </row>
    <row r="29" spans="1:45">
      <c r="A29" s="24">
        <v>25</v>
      </c>
      <c r="B29" s="19"/>
      <c r="C29" s="19"/>
      <c r="D29" s="18"/>
      <c r="E29" s="13"/>
      <c r="F29" s="9"/>
      <c r="G29" s="9"/>
      <c r="H29" s="9"/>
      <c r="J29" s="21">
        <v>25</v>
      </c>
      <c r="K29" s="27"/>
      <c r="L29" s="27"/>
      <c r="M29" s="27"/>
      <c r="N29" s="11"/>
      <c r="O29" s="9"/>
      <c r="P29" s="9"/>
      <c r="Q29" s="9"/>
      <c r="R29" s="9"/>
      <c r="T29" s="23">
        <v>25</v>
      </c>
      <c r="U29" s="28"/>
      <c r="V29" s="28"/>
      <c r="W29" s="28"/>
      <c r="X29" s="28"/>
      <c r="Y29" s="11"/>
      <c r="Z29" s="9"/>
      <c r="AA29" s="9"/>
      <c r="AB29" s="9"/>
      <c r="AC29" s="9"/>
      <c r="AE29" s="46" t="s">
        <v>69</v>
      </c>
      <c r="AF29" s="8">
        <v>297</v>
      </c>
      <c r="AG29" s="37">
        <v>470</v>
      </c>
      <c r="AH29" s="46" t="s">
        <v>69</v>
      </c>
      <c r="AI29" s="9">
        <v>324</v>
      </c>
      <c r="AJ29" s="38">
        <v>525</v>
      </c>
      <c r="AK29" s="46" t="s">
        <v>69</v>
      </c>
      <c r="AL29" s="8">
        <v>345</v>
      </c>
      <c r="AM29" s="37">
        <v>465</v>
      </c>
      <c r="AN29" s="46" t="s">
        <v>69</v>
      </c>
      <c r="AO29" s="9">
        <v>319</v>
      </c>
      <c r="AP29" s="38">
        <v>511</v>
      </c>
      <c r="AQ29" s="46" t="s">
        <v>69</v>
      </c>
      <c r="AR29" s="8">
        <v>300</v>
      </c>
      <c r="AS29" s="37">
        <v>515</v>
      </c>
    </row>
    <row r="30" spans="1:45">
      <c r="A30" s="24">
        <v>26</v>
      </c>
      <c r="B30" s="19"/>
      <c r="C30" s="19"/>
      <c r="D30" s="11"/>
      <c r="E30" s="9"/>
      <c r="F30" s="9"/>
      <c r="G30" s="9"/>
      <c r="H30" s="9"/>
      <c r="J30" s="21">
        <v>26</v>
      </c>
      <c r="K30" s="27"/>
      <c r="L30" s="27"/>
      <c r="M30" s="27"/>
      <c r="N30" s="11"/>
      <c r="O30" s="9"/>
      <c r="P30" s="9"/>
      <c r="Q30" s="9"/>
      <c r="R30" s="9"/>
      <c r="T30" s="23">
        <v>26</v>
      </c>
      <c r="U30" s="28"/>
      <c r="V30" s="28"/>
      <c r="W30" s="28"/>
      <c r="X30" s="28"/>
      <c r="Y30" s="11"/>
      <c r="Z30" s="9"/>
      <c r="AA30" s="9"/>
      <c r="AB30" s="9"/>
      <c r="AC30" s="9"/>
      <c r="AE30" s="46" t="s">
        <v>70</v>
      </c>
      <c r="AF30" s="8">
        <v>494</v>
      </c>
      <c r="AG30" s="37">
        <v>485</v>
      </c>
      <c r="AH30" s="46" t="s">
        <v>70</v>
      </c>
      <c r="AI30" s="9">
        <v>514</v>
      </c>
      <c r="AJ30" s="38">
        <v>488</v>
      </c>
      <c r="AK30" s="46" t="s">
        <v>70</v>
      </c>
      <c r="AL30" s="8">
        <v>475</v>
      </c>
      <c r="AM30" s="37">
        <v>472</v>
      </c>
      <c r="AN30" s="46" t="s">
        <v>70</v>
      </c>
      <c r="AO30" s="9">
        <v>523</v>
      </c>
      <c r="AP30" s="38">
        <v>495</v>
      </c>
      <c r="AQ30" s="46" t="s">
        <v>70</v>
      </c>
      <c r="AR30" s="8">
        <v>509</v>
      </c>
      <c r="AS30" s="37">
        <v>503</v>
      </c>
    </row>
    <row r="31" spans="1:45">
      <c r="A31" s="24">
        <v>27</v>
      </c>
      <c r="B31" s="19"/>
      <c r="C31" s="19"/>
      <c r="D31" s="11"/>
      <c r="E31" s="9"/>
      <c r="F31" s="9"/>
      <c r="G31" s="9"/>
      <c r="H31" s="9"/>
      <c r="J31" s="21">
        <v>27</v>
      </c>
      <c r="K31" s="27"/>
      <c r="L31" s="27"/>
      <c r="M31" s="27"/>
      <c r="N31" s="11"/>
      <c r="O31" s="9"/>
      <c r="P31" s="9"/>
      <c r="Q31" s="9"/>
      <c r="R31" s="9"/>
      <c r="T31" s="23">
        <v>27</v>
      </c>
      <c r="U31" s="28"/>
      <c r="V31" s="28"/>
      <c r="W31" s="28"/>
      <c r="X31" s="28"/>
      <c r="Y31" s="11"/>
      <c r="Z31" s="9"/>
      <c r="AA31" s="9"/>
      <c r="AB31" s="9"/>
      <c r="AC31" s="9"/>
      <c r="AE31" s="46" t="s">
        <v>71</v>
      </c>
      <c r="AF31" s="8">
        <v>397</v>
      </c>
      <c r="AG31" s="37">
        <v>481</v>
      </c>
      <c r="AH31" s="46" t="s">
        <v>71</v>
      </c>
      <c r="AI31" s="9">
        <v>429</v>
      </c>
      <c r="AJ31" s="38">
        <v>500</v>
      </c>
      <c r="AK31" s="46" t="s">
        <v>71</v>
      </c>
      <c r="AL31" s="8">
        <v>406</v>
      </c>
      <c r="AM31" s="37">
        <v>475</v>
      </c>
      <c r="AN31" s="46" t="s">
        <v>71</v>
      </c>
      <c r="AO31" s="9">
        <v>415</v>
      </c>
      <c r="AP31" s="38">
        <v>497</v>
      </c>
      <c r="AQ31" s="46" t="s">
        <v>71</v>
      </c>
      <c r="AR31" s="8">
        <v>398</v>
      </c>
      <c r="AS31" s="37">
        <v>503</v>
      </c>
    </row>
    <row r="32" spans="1:45">
      <c r="A32" s="24">
        <v>28</v>
      </c>
      <c r="B32" s="19"/>
      <c r="C32" s="19"/>
      <c r="D32" s="11"/>
      <c r="E32" s="9"/>
      <c r="F32" s="9"/>
      <c r="G32" s="9"/>
      <c r="H32" s="9"/>
      <c r="J32" s="21">
        <v>28</v>
      </c>
      <c r="K32" s="27"/>
      <c r="L32" s="27"/>
      <c r="M32" s="27"/>
      <c r="N32" s="11"/>
      <c r="O32" s="9"/>
      <c r="P32" s="9"/>
      <c r="Q32" s="9"/>
      <c r="R32" s="9"/>
      <c r="T32" s="23">
        <v>28</v>
      </c>
      <c r="U32" s="28"/>
      <c r="V32" s="28"/>
      <c r="W32" s="28"/>
      <c r="X32" s="28"/>
      <c r="Y32" s="11"/>
      <c r="Z32" s="9"/>
      <c r="AA32" s="9"/>
      <c r="AB32" s="9"/>
      <c r="AC32" s="9"/>
      <c r="AE32" s="46"/>
      <c r="AF32" s="8"/>
      <c r="AG32" s="37"/>
      <c r="AH32" s="46"/>
      <c r="AI32" s="9"/>
      <c r="AJ32" s="38"/>
      <c r="AK32" s="46"/>
      <c r="AL32" s="8"/>
      <c r="AM32" s="37"/>
      <c r="AN32" s="46"/>
      <c r="AO32" s="9"/>
      <c r="AP32" s="38"/>
      <c r="AQ32" s="46"/>
      <c r="AR32" s="8"/>
      <c r="AS32" s="37"/>
    </row>
    <row r="33" spans="1:45">
      <c r="A33" s="24">
        <v>29</v>
      </c>
      <c r="B33" s="19"/>
      <c r="C33" s="19"/>
      <c r="D33" s="11"/>
      <c r="E33" s="9"/>
      <c r="F33" s="9"/>
      <c r="G33" s="9"/>
      <c r="H33" s="9"/>
      <c r="J33" s="21">
        <v>29</v>
      </c>
      <c r="K33" s="27"/>
      <c r="L33" s="27"/>
      <c r="M33" s="27"/>
      <c r="N33" s="11"/>
      <c r="O33" s="9"/>
      <c r="P33" s="9"/>
      <c r="Q33" s="9"/>
      <c r="R33" s="9"/>
      <c r="T33" s="23">
        <v>29</v>
      </c>
      <c r="U33" s="28"/>
      <c r="V33" s="28"/>
      <c r="W33" s="28"/>
      <c r="X33" s="28"/>
      <c r="Y33" s="11"/>
      <c r="Z33" s="9"/>
      <c r="AA33" s="9"/>
      <c r="AB33" s="9"/>
      <c r="AC33" s="9"/>
      <c r="AE33" s="46"/>
      <c r="AF33" s="8"/>
      <c r="AG33" s="37"/>
      <c r="AH33" s="47"/>
      <c r="AI33" s="9"/>
      <c r="AJ33" s="38"/>
      <c r="AK33" s="46"/>
      <c r="AL33" s="8"/>
      <c r="AM33" s="37"/>
      <c r="AN33" s="47"/>
      <c r="AO33" s="9"/>
      <c r="AP33" s="38"/>
      <c r="AQ33" s="46"/>
      <c r="AR33" s="8"/>
      <c r="AS33" s="37"/>
    </row>
    <row r="34" spans="1:45">
      <c r="A34" s="24">
        <v>30</v>
      </c>
      <c r="B34" s="19"/>
      <c r="C34" s="19"/>
      <c r="D34" s="11"/>
      <c r="E34" s="9"/>
      <c r="F34" s="9"/>
      <c r="G34" s="9"/>
      <c r="H34" s="9"/>
      <c r="J34" s="21">
        <v>30</v>
      </c>
      <c r="K34" s="27"/>
      <c r="L34" s="27"/>
      <c r="M34" s="27"/>
      <c r="N34" s="11"/>
      <c r="O34" s="9"/>
      <c r="P34" s="9"/>
      <c r="Q34" s="9"/>
      <c r="R34" s="9"/>
      <c r="T34" s="23">
        <v>30</v>
      </c>
      <c r="U34" s="28"/>
      <c r="V34" s="28"/>
      <c r="W34" s="28"/>
      <c r="X34" s="28"/>
      <c r="Y34" s="11"/>
      <c r="Z34" s="9"/>
      <c r="AA34" s="9"/>
      <c r="AB34" s="9"/>
      <c r="AC34" s="9"/>
      <c r="AE34" s="26"/>
      <c r="AF34" s="8"/>
      <c r="AG34" s="6"/>
      <c r="AH34" s="5"/>
      <c r="AI34" s="9"/>
      <c r="AJ34" s="16"/>
      <c r="AK34" s="26"/>
      <c r="AL34" s="8"/>
      <c r="AM34" s="6"/>
      <c r="AN34" s="5"/>
      <c r="AO34" s="9"/>
      <c r="AP34" s="16"/>
      <c r="AQ34" s="26"/>
      <c r="AR34" s="8"/>
      <c r="AS34" s="6"/>
    </row>
    <row r="35" spans="1:45">
      <c r="A35" s="25"/>
      <c r="B35" s="15"/>
      <c r="C35" s="15"/>
      <c r="D35" s="14"/>
      <c r="E35" s="14"/>
    </row>
    <row r="36" spans="1:45" ht="15.75" customHeight="1">
      <c r="A36" s="79" t="s">
        <v>64</v>
      </c>
      <c r="B36" s="79"/>
      <c r="C36" s="79"/>
      <c r="D36" s="79"/>
      <c r="E36" s="79"/>
      <c r="F36" s="79"/>
      <c r="G36" s="79"/>
      <c r="H36" s="79"/>
      <c r="I36" s="20"/>
      <c r="J36" s="79" t="s">
        <v>64</v>
      </c>
      <c r="K36" s="80"/>
      <c r="L36" s="80"/>
      <c r="M36" s="80"/>
      <c r="N36" s="80"/>
      <c r="O36" s="80"/>
      <c r="P36" s="80"/>
      <c r="Q36" s="80"/>
      <c r="R36" s="80"/>
      <c r="T36" s="79" t="s">
        <v>64</v>
      </c>
      <c r="U36" s="80"/>
      <c r="V36" s="80"/>
      <c r="W36" s="80"/>
      <c r="X36" s="80"/>
      <c r="Y36" s="80"/>
      <c r="Z36" s="80"/>
      <c r="AA36" s="80"/>
      <c r="AB36" s="80"/>
      <c r="AC36" s="80"/>
      <c r="AE36" s="80" t="s">
        <v>63</v>
      </c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</row>
    <row r="37" spans="1:45" ht="15.75" customHeight="1">
      <c r="A37" s="79"/>
      <c r="B37" s="79"/>
      <c r="C37" s="79"/>
      <c r="D37" s="79"/>
      <c r="E37" s="79"/>
      <c r="F37" s="79"/>
      <c r="G37" s="79"/>
      <c r="H37" s="79"/>
      <c r="I37" s="20"/>
      <c r="J37" s="80"/>
      <c r="K37" s="80"/>
      <c r="L37" s="80"/>
      <c r="M37" s="80"/>
      <c r="N37" s="80"/>
      <c r="O37" s="80"/>
      <c r="P37" s="80"/>
      <c r="Q37" s="80"/>
      <c r="R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</row>
    <row r="38" spans="1:45">
      <c r="A38" s="79"/>
      <c r="B38" s="79"/>
      <c r="C38" s="79"/>
      <c r="D38" s="79"/>
      <c r="E38" s="79"/>
      <c r="F38" s="79"/>
      <c r="G38" s="79"/>
      <c r="H38" s="79"/>
      <c r="J38" s="80"/>
      <c r="K38" s="80"/>
      <c r="L38" s="80"/>
      <c r="M38" s="80"/>
      <c r="N38" s="80"/>
      <c r="O38" s="80"/>
      <c r="P38" s="80"/>
      <c r="Q38" s="80"/>
      <c r="R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</row>
    <row r="39" spans="1:45">
      <c r="A39" s="25"/>
      <c r="B39" s="15"/>
      <c r="C39" s="15"/>
      <c r="D39" s="14"/>
      <c r="E39" s="14"/>
    </row>
    <row r="40" spans="1:45">
      <c r="A40" s="25"/>
      <c r="B40" s="15"/>
      <c r="C40" s="15"/>
      <c r="D40" s="14"/>
      <c r="E40" s="14"/>
    </row>
    <row r="41" spans="1:45">
      <c r="A41" s="25"/>
      <c r="B41" s="15"/>
      <c r="C41" s="15"/>
      <c r="D41" s="14"/>
      <c r="E41" s="14"/>
    </row>
    <row r="42" spans="1:45">
      <c r="A42" s="25"/>
      <c r="B42" s="15"/>
      <c r="C42" s="15"/>
      <c r="D42" s="14"/>
      <c r="E42" s="14"/>
    </row>
    <row r="43" spans="1:45">
      <c r="A43" s="25"/>
      <c r="B43" s="15"/>
      <c r="C43" s="15"/>
      <c r="D43" s="14"/>
      <c r="E43" s="14"/>
    </row>
    <row r="44" spans="1:45">
      <c r="A44" s="25"/>
      <c r="B44" s="15"/>
      <c r="C44" s="15"/>
      <c r="D44" s="14"/>
      <c r="E44" s="14"/>
    </row>
    <row r="45" spans="1:45">
      <c r="A45" s="25"/>
      <c r="B45" s="15"/>
      <c r="C45" s="15"/>
      <c r="D45" s="14"/>
      <c r="E45" s="14"/>
    </row>
    <row r="46" spans="1:45">
      <c r="A46" s="25"/>
      <c r="B46" s="15"/>
      <c r="C46" s="15"/>
      <c r="D46" s="14"/>
      <c r="E46" s="14"/>
    </row>
    <row r="47" spans="1:45">
      <c r="A47" s="25"/>
      <c r="B47" s="15"/>
      <c r="C47" s="15"/>
      <c r="D47" s="14"/>
      <c r="E47" s="14"/>
    </row>
    <row r="48" spans="1:45">
      <c r="A48" s="25"/>
      <c r="B48" s="15"/>
      <c r="C48" s="15"/>
      <c r="D48" s="14"/>
      <c r="E48" s="14"/>
    </row>
    <row r="49" spans="1:5">
      <c r="A49" s="25"/>
      <c r="B49" s="15"/>
      <c r="C49" s="15"/>
      <c r="D49" s="14"/>
      <c r="E49" s="14"/>
    </row>
    <row r="50" spans="1:5">
      <c r="A50" s="25"/>
      <c r="B50" s="15"/>
      <c r="C50" s="15"/>
      <c r="D50" s="14"/>
      <c r="E50" s="14"/>
    </row>
    <row r="51" spans="1:5">
      <c r="A51" s="25"/>
      <c r="B51" s="15"/>
      <c r="C51" s="15"/>
      <c r="D51" s="14"/>
      <c r="E51" s="14"/>
    </row>
    <row r="52" spans="1:5">
      <c r="A52" s="25"/>
      <c r="B52" s="15"/>
      <c r="C52" s="15"/>
      <c r="D52" s="14"/>
      <c r="E52" s="14"/>
    </row>
  </sheetData>
  <mergeCells count="27">
    <mergeCell ref="AK2:AM2"/>
    <mergeCell ref="A1:H1"/>
    <mergeCell ref="J1:R1"/>
    <mergeCell ref="T1:AC1"/>
    <mergeCell ref="AE1:AS1"/>
    <mergeCell ref="A2:C4"/>
    <mergeCell ref="D2:F3"/>
    <mergeCell ref="G2:H3"/>
    <mergeCell ref="J2:M4"/>
    <mergeCell ref="N2:P3"/>
    <mergeCell ref="Q2:R3"/>
    <mergeCell ref="A36:H38"/>
    <mergeCell ref="J36:R38"/>
    <mergeCell ref="T36:AC38"/>
    <mergeCell ref="AE36:AS38"/>
    <mergeCell ref="AN2:AP2"/>
    <mergeCell ref="AQ2:AS2"/>
    <mergeCell ref="AF3:AG3"/>
    <mergeCell ref="AI3:AJ3"/>
    <mergeCell ref="AL3:AM3"/>
    <mergeCell ref="AO3:AP3"/>
    <mergeCell ref="AR3:AS3"/>
    <mergeCell ref="T2:X4"/>
    <mergeCell ref="Y2:AA3"/>
    <mergeCell ref="AB2:AC3"/>
    <mergeCell ref="AE2:AG2"/>
    <mergeCell ref="AH2:AJ2"/>
  </mergeCells>
  <phoneticPr fontId="7" type="noConversion"/>
  <conditionalFormatting sqref="Y1:AC1 Y4:AC35 Y2 Y39:AC1048576">
    <cfRule type="cellIs" dxfId="24" priority="1" operator="lessThan">
      <formula>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1:AS52"/>
  <sheetViews>
    <sheetView topLeftCell="P1" zoomScale="70" zoomScaleNormal="70" workbookViewId="0">
      <selection activeCell="AI3" sqref="AI3:AJ3"/>
    </sheetView>
  </sheetViews>
  <sheetFormatPr defaultColWidth="9" defaultRowHeight="15.5"/>
  <cols>
    <col min="1" max="1" width="3.58203125" style="22" customWidth="1"/>
    <col min="2" max="3" width="3.58203125" style="4" customWidth="1"/>
    <col min="4" max="8" width="10.58203125" style="10" customWidth="1"/>
    <col min="9" max="9" width="2.08203125" style="1" customWidth="1"/>
    <col min="10" max="10" width="3.58203125" style="22" customWidth="1"/>
    <col min="11" max="12" width="3.58203125" style="4" customWidth="1"/>
    <col min="13" max="13" width="3.08203125" style="4" bestFit="1" customWidth="1"/>
    <col min="14" max="18" width="10.58203125" style="10" customWidth="1"/>
    <col min="19" max="19" width="2.08203125" style="1" customWidth="1"/>
    <col min="20" max="20" width="3.58203125" style="22" customWidth="1"/>
    <col min="21" max="23" width="3.58203125" style="4" customWidth="1"/>
    <col min="24" max="24" width="3.08203125" style="4" bestFit="1" customWidth="1"/>
    <col min="25" max="29" width="10.58203125" style="10" customWidth="1"/>
    <col min="30" max="30" width="2.08203125" style="1" customWidth="1"/>
    <col min="31" max="31" width="7.58203125" style="4" customWidth="1"/>
    <col min="32" max="32" width="10.58203125" style="10" customWidth="1"/>
    <col min="33" max="33" width="10.58203125" style="1" customWidth="1"/>
    <col min="34" max="34" width="7.58203125" style="4" customWidth="1"/>
    <col min="35" max="35" width="10.58203125" style="10" customWidth="1"/>
    <col min="36" max="36" width="10.58203125" style="1" customWidth="1"/>
    <col min="37" max="37" width="7.58203125" style="4" customWidth="1"/>
    <col min="38" max="38" width="10.58203125" style="10" customWidth="1"/>
    <col min="39" max="39" width="10.58203125" style="1" customWidth="1"/>
    <col min="40" max="40" width="7.58203125" style="4" customWidth="1"/>
    <col min="41" max="41" width="10.58203125" style="10" customWidth="1"/>
    <col min="42" max="42" width="10.58203125" style="1" customWidth="1"/>
    <col min="43" max="16384" width="9" style="1"/>
  </cols>
  <sheetData>
    <row r="1" spans="1:45" ht="24" customHeight="1">
      <c r="A1" s="57" t="s">
        <v>58</v>
      </c>
      <c r="B1" s="57"/>
      <c r="C1" s="57"/>
      <c r="D1" s="57"/>
      <c r="E1" s="57"/>
      <c r="F1" s="57"/>
      <c r="G1" s="57"/>
      <c r="H1" s="58"/>
      <c r="J1" s="59" t="s">
        <v>60</v>
      </c>
      <c r="K1" s="59"/>
      <c r="L1" s="59"/>
      <c r="M1" s="59"/>
      <c r="N1" s="59"/>
      <c r="O1" s="59"/>
      <c r="P1" s="59"/>
      <c r="Q1" s="59"/>
      <c r="R1" s="59"/>
      <c r="T1" s="60" t="s">
        <v>59</v>
      </c>
      <c r="U1" s="60"/>
      <c r="V1" s="60"/>
      <c r="W1" s="60"/>
      <c r="X1" s="60"/>
      <c r="Y1" s="60"/>
      <c r="Z1" s="60"/>
      <c r="AA1" s="60"/>
      <c r="AB1" s="60"/>
      <c r="AC1" s="60"/>
      <c r="AE1" s="61" t="s">
        <v>179</v>
      </c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</row>
    <row r="2" spans="1:45" s="2" customFormat="1" ht="19.5" customHeight="1">
      <c r="A2" s="63" t="s">
        <v>55</v>
      </c>
      <c r="B2" s="63"/>
      <c r="C2" s="63"/>
      <c r="D2" s="65"/>
      <c r="E2" s="66"/>
      <c r="F2" s="67"/>
      <c r="G2" s="65"/>
      <c r="H2" s="67"/>
      <c r="J2" s="71" t="s">
        <v>56</v>
      </c>
      <c r="K2" s="71"/>
      <c r="L2" s="71"/>
      <c r="M2" s="71"/>
      <c r="N2" s="73"/>
      <c r="O2" s="74"/>
      <c r="P2" s="75"/>
      <c r="Q2" s="73"/>
      <c r="R2" s="75"/>
      <c r="T2" s="90" t="s">
        <v>57</v>
      </c>
      <c r="U2" s="90"/>
      <c r="V2" s="90"/>
      <c r="W2" s="90"/>
      <c r="X2" s="90"/>
      <c r="Y2" s="92"/>
      <c r="Z2" s="93"/>
      <c r="AA2" s="94"/>
      <c r="AB2" s="92"/>
      <c r="AC2" s="94"/>
      <c r="AE2" s="54" t="s">
        <v>115</v>
      </c>
      <c r="AF2" s="55"/>
      <c r="AG2" s="56"/>
      <c r="AH2" s="81" t="s">
        <v>116</v>
      </c>
      <c r="AI2" s="82"/>
      <c r="AJ2" s="83"/>
      <c r="AK2" s="54" t="s">
        <v>117</v>
      </c>
      <c r="AL2" s="55"/>
      <c r="AM2" s="56"/>
      <c r="AN2" s="81" t="s">
        <v>118</v>
      </c>
      <c r="AO2" s="82"/>
      <c r="AP2" s="83"/>
      <c r="AQ2" s="54" t="s">
        <v>119</v>
      </c>
      <c r="AR2" s="55"/>
      <c r="AS2" s="56"/>
    </row>
    <row r="3" spans="1:45" ht="16.5" customHeight="1">
      <c r="A3" s="63"/>
      <c r="B3" s="63"/>
      <c r="C3" s="63"/>
      <c r="D3" s="68"/>
      <c r="E3" s="69"/>
      <c r="F3" s="70"/>
      <c r="G3" s="68"/>
      <c r="H3" s="70"/>
      <c r="J3" s="71"/>
      <c r="K3" s="71"/>
      <c r="L3" s="71"/>
      <c r="M3" s="71"/>
      <c r="N3" s="76"/>
      <c r="O3" s="77"/>
      <c r="P3" s="78"/>
      <c r="Q3" s="76"/>
      <c r="R3" s="78"/>
      <c r="T3" s="90"/>
      <c r="U3" s="90"/>
      <c r="V3" s="90"/>
      <c r="W3" s="90"/>
      <c r="X3" s="90"/>
      <c r="Y3" s="95"/>
      <c r="Z3" s="96"/>
      <c r="AA3" s="97"/>
      <c r="AB3" s="95"/>
      <c r="AC3" s="97"/>
      <c r="AE3" s="48" t="s">
        <v>178</v>
      </c>
      <c r="AF3" s="85" t="s">
        <v>177</v>
      </c>
      <c r="AG3" s="85"/>
      <c r="AH3" s="52" t="s">
        <v>178</v>
      </c>
      <c r="AI3" s="85" t="s">
        <v>177</v>
      </c>
      <c r="AJ3" s="85"/>
      <c r="AK3" s="52" t="s">
        <v>178</v>
      </c>
      <c r="AL3" s="85" t="s">
        <v>177</v>
      </c>
      <c r="AM3" s="85"/>
      <c r="AN3" s="52" t="s">
        <v>178</v>
      </c>
      <c r="AO3" s="85" t="s">
        <v>177</v>
      </c>
      <c r="AP3" s="85"/>
      <c r="AQ3" s="52" t="s">
        <v>178</v>
      </c>
      <c r="AR3" s="85" t="s">
        <v>177</v>
      </c>
      <c r="AS3" s="85"/>
    </row>
    <row r="4" spans="1:45" s="4" customFormat="1" ht="15.75" customHeight="1">
      <c r="A4" s="63"/>
      <c r="B4" s="64"/>
      <c r="C4" s="64"/>
      <c r="D4" s="19" t="s">
        <v>25</v>
      </c>
      <c r="E4" s="19" t="s">
        <v>26</v>
      </c>
      <c r="F4" s="19" t="s">
        <v>27</v>
      </c>
      <c r="G4" s="19" t="s">
        <v>28</v>
      </c>
      <c r="H4" s="19" t="s">
        <v>29</v>
      </c>
      <c r="J4" s="71"/>
      <c r="K4" s="72"/>
      <c r="L4" s="72"/>
      <c r="M4" s="72"/>
      <c r="N4" s="27" t="s">
        <v>25</v>
      </c>
      <c r="O4" s="27" t="s">
        <v>26</v>
      </c>
      <c r="P4" s="27" t="s">
        <v>27</v>
      </c>
      <c r="Q4" s="27" t="s">
        <v>28</v>
      </c>
      <c r="R4" s="27" t="s">
        <v>29</v>
      </c>
      <c r="T4" s="90"/>
      <c r="U4" s="91"/>
      <c r="V4" s="91"/>
      <c r="W4" s="91"/>
      <c r="X4" s="91"/>
      <c r="Y4" s="28" t="s">
        <v>25</v>
      </c>
      <c r="Z4" s="28" t="s">
        <v>26</v>
      </c>
      <c r="AA4" s="28" t="s">
        <v>27</v>
      </c>
      <c r="AB4" s="28" t="s">
        <v>28</v>
      </c>
      <c r="AC4" s="28" t="s">
        <v>29</v>
      </c>
      <c r="AE4" s="48"/>
      <c r="AF4" s="48" t="s">
        <v>0</v>
      </c>
      <c r="AG4" s="48" t="s">
        <v>1</v>
      </c>
      <c r="AH4" s="48"/>
      <c r="AI4" s="48" t="s">
        <v>0</v>
      </c>
      <c r="AJ4" s="48" t="s">
        <v>1</v>
      </c>
      <c r="AK4" s="48" t="s">
        <v>2</v>
      </c>
      <c r="AL4" s="48" t="s">
        <v>0</v>
      </c>
      <c r="AM4" s="48" t="s">
        <v>1</v>
      </c>
      <c r="AN4" s="49" t="s">
        <v>2</v>
      </c>
      <c r="AO4" s="49" t="s">
        <v>0</v>
      </c>
      <c r="AP4" s="49" t="s">
        <v>1</v>
      </c>
      <c r="AQ4" s="48" t="s">
        <v>2</v>
      </c>
      <c r="AR4" s="48" t="s">
        <v>0</v>
      </c>
      <c r="AS4" s="48" t="s">
        <v>1</v>
      </c>
    </row>
    <row r="5" spans="1:45">
      <c r="A5" s="24">
        <v>1</v>
      </c>
      <c r="B5" s="19" t="s">
        <v>30</v>
      </c>
      <c r="C5" s="19" t="s">
        <v>32</v>
      </c>
      <c r="D5" s="11">
        <v>337</v>
      </c>
      <c r="E5" s="9">
        <v>368</v>
      </c>
      <c r="F5" s="9">
        <v>317</v>
      </c>
      <c r="G5" s="9">
        <v>327</v>
      </c>
      <c r="H5" s="9">
        <v>332</v>
      </c>
      <c r="J5" s="21">
        <v>1</v>
      </c>
      <c r="K5" s="27" t="s">
        <v>30</v>
      </c>
      <c r="L5" s="27" t="s">
        <v>35</v>
      </c>
      <c r="M5" s="27" t="s">
        <v>38</v>
      </c>
      <c r="N5" s="9">
        <v>69.766630873437322</v>
      </c>
      <c r="O5" s="9">
        <v>69.9739109058834</v>
      </c>
      <c r="P5" s="9">
        <v>66.057350283463109</v>
      </c>
      <c r="Q5" s="9">
        <v>68.673781580857423</v>
      </c>
      <c r="R5" s="9">
        <v>71.090562815170841</v>
      </c>
      <c r="T5" s="23">
        <v>1</v>
      </c>
      <c r="U5" s="28" t="s">
        <v>30</v>
      </c>
      <c r="V5" s="28" t="s">
        <v>35</v>
      </c>
      <c r="W5" s="28" t="s">
        <v>37</v>
      </c>
      <c r="X5" s="28" t="s">
        <v>38</v>
      </c>
      <c r="Y5" s="11">
        <v>38755</v>
      </c>
      <c r="Z5" s="9">
        <v>43056</v>
      </c>
      <c r="AA5" s="9">
        <v>37723</v>
      </c>
      <c r="AB5" s="9">
        <v>37278</v>
      </c>
      <c r="AC5" s="9">
        <v>32868</v>
      </c>
      <c r="AE5" s="48" t="s">
        <v>3</v>
      </c>
      <c r="AF5" s="29">
        <v>600</v>
      </c>
      <c r="AG5" s="29">
        <v>465</v>
      </c>
      <c r="AH5" s="48" t="s">
        <v>3</v>
      </c>
      <c r="AI5" s="29">
        <v>600</v>
      </c>
      <c r="AJ5" s="29">
        <v>470</v>
      </c>
      <c r="AK5" s="48" t="s">
        <v>3</v>
      </c>
      <c r="AL5" s="29">
        <v>600</v>
      </c>
      <c r="AM5" s="29">
        <v>484</v>
      </c>
      <c r="AN5" s="48" t="s">
        <v>3</v>
      </c>
      <c r="AO5" s="29">
        <v>600</v>
      </c>
      <c r="AP5" s="29">
        <v>482</v>
      </c>
      <c r="AQ5" s="48" t="s">
        <v>3</v>
      </c>
      <c r="AR5" s="29">
        <v>600</v>
      </c>
      <c r="AS5" s="29">
        <v>480</v>
      </c>
    </row>
    <row r="6" spans="1:45">
      <c r="A6" s="24">
        <v>2</v>
      </c>
      <c r="B6" s="19" t="s">
        <v>30</v>
      </c>
      <c r="C6" s="19" t="s">
        <v>33</v>
      </c>
      <c r="D6" s="11">
        <v>483</v>
      </c>
      <c r="E6" s="9">
        <v>465</v>
      </c>
      <c r="F6" s="9">
        <v>415</v>
      </c>
      <c r="G6" s="9">
        <v>450</v>
      </c>
      <c r="H6" s="9">
        <v>456</v>
      </c>
      <c r="J6" s="21">
        <v>2</v>
      </c>
      <c r="K6" s="27" t="s">
        <v>31</v>
      </c>
      <c r="L6" s="27" t="s">
        <v>41</v>
      </c>
      <c r="M6" s="27" t="s">
        <v>34</v>
      </c>
      <c r="N6" s="9">
        <v>95.378262881964844</v>
      </c>
      <c r="O6" s="9">
        <v>86.054115438143384</v>
      </c>
      <c r="P6" s="9">
        <v>86.130160178311698</v>
      </c>
      <c r="Q6" s="9">
        <v>89.03564675451517</v>
      </c>
      <c r="R6" s="9">
        <v>97.010746973682089</v>
      </c>
      <c r="T6" s="23">
        <v>2</v>
      </c>
      <c r="U6" s="28" t="s">
        <v>31</v>
      </c>
      <c r="V6" s="28" t="s">
        <v>41</v>
      </c>
      <c r="W6" s="28" t="s">
        <v>34</v>
      </c>
      <c r="X6" s="28" t="s">
        <v>42</v>
      </c>
      <c r="Y6" s="11">
        <v>218790</v>
      </c>
      <c r="Z6" s="9">
        <v>247790</v>
      </c>
      <c r="AA6" s="9">
        <v>242208</v>
      </c>
      <c r="AB6" s="9">
        <v>231038</v>
      </c>
      <c r="AC6" s="9">
        <v>203700</v>
      </c>
      <c r="AE6" s="48" t="s">
        <v>4</v>
      </c>
      <c r="AF6" s="29">
        <v>485</v>
      </c>
      <c r="AG6" s="29">
        <v>777</v>
      </c>
      <c r="AH6" s="48" t="s">
        <v>4</v>
      </c>
      <c r="AI6" s="29">
        <v>483</v>
      </c>
      <c r="AJ6" s="29">
        <v>791</v>
      </c>
      <c r="AK6" s="48" t="s">
        <v>4</v>
      </c>
      <c r="AL6" s="29">
        <v>481</v>
      </c>
      <c r="AM6" s="29">
        <v>752</v>
      </c>
      <c r="AN6" s="48" t="s">
        <v>4</v>
      </c>
      <c r="AO6" s="29">
        <v>486</v>
      </c>
      <c r="AP6" s="29">
        <v>774</v>
      </c>
      <c r="AQ6" s="48" t="s">
        <v>4</v>
      </c>
      <c r="AR6" s="29">
        <v>501</v>
      </c>
      <c r="AS6" s="29">
        <v>769</v>
      </c>
    </row>
    <row r="7" spans="1:45">
      <c r="A7" s="24">
        <v>3</v>
      </c>
      <c r="B7" s="19" t="s">
        <v>31</v>
      </c>
      <c r="C7" s="19" t="s">
        <v>34</v>
      </c>
      <c r="D7" s="11">
        <v>715</v>
      </c>
      <c r="E7" s="9">
        <v>710</v>
      </c>
      <c r="F7" s="9">
        <v>696</v>
      </c>
      <c r="G7" s="9">
        <v>698</v>
      </c>
      <c r="H7" s="9">
        <v>700</v>
      </c>
      <c r="J7" s="21">
        <v>3</v>
      </c>
      <c r="K7" s="27" t="s">
        <v>31</v>
      </c>
      <c r="L7" s="27" t="s">
        <v>44</v>
      </c>
      <c r="M7" s="27" t="s">
        <v>37</v>
      </c>
      <c r="N7" s="9">
        <v>49.607729976333189</v>
      </c>
      <c r="O7" s="9">
        <v>46.442235233755106</v>
      </c>
      <c r="P7" s="9">
        <v>41.515813447873185</v>
      </c>
      <c r="Q7" s="9">
        <v>45.821945875628394</v>
      </c>
      <c r="R7" s="9">
        <v>48.475126095512245</v>
      </c>
      <c r="T7" s="23">
        <v>3</v>
      </c>
      <c r="U7" s="28" t="s">
        <v>41</v>
      </c>
      <c r="V7" s="28" t="s">
        <v>39</v>
      </c>
      <c r="W7" s="28" t="s">
        <v>34</v>
      </c>
      <c r="X7" s="28" t="s">
        <v>42</v>
      </c>
      <c r="Y7" s="11">
        <v>84260.5</v>
      </c>
      <c r="Z7" s="9">
        <v>80211.5</v>
      </c>
      <c r="AA7" s="9">
        <v>86758</v>
      </c>
      <c r="AB7" s="9">
        <v>84723</v>
      </c>
      <c r="AC7" s="9">
        <v>73612.5</v>
      </c>
      <c r="AE7" s="48" t="s">
        <v>5</v>
      </c>
      <c r="AF7" s="29">
        <v>600</v>
      </c>
      <c r="AG7" s="29">
        <v>802</v>
      </c>
      <c r="AH7" s="48" t="s">
        <v>5</v>
      </c>
      <c r="AI7" s="29">
        <v>600</v>
      </c>
      <c r="AJ7" s="29">
        <v>838</v>
      </c>
      <c r="AK7" s="48" t="s">
        <v>5</v>
      </c>
      <c r="AL7" s="29">
        <v>600</v>
      </c>
      <c r="AM7" s="29">
        <v>801</v>
      </c>
      <c r="AN7" s="48" t="s">
        <v>5</v>
      </c>
      <c r="AO7" s="29">
        <v>600</v>
      </c>
      <c r="AP7" s="29">
        <v>809</v>
      </c>
      <c r="AQ7" s="48" t="s">
        <v>5</v>
      </c>
      <c r="AR7" s="29">
        <v>600</v>
      </c>
      <c r="AS7" s="29">
        <v>812</v>
      </c>
    </row>
    <row r="8" spans="1:45" ht="15.75" customHeight="1">
      <c r="A8" s="24">
        <v>4</v>
      </c>
      <c r="B8" s="19" t="s">
        <v>35</v>
      </c>
      <c r="C8" s="19" t="s">
        <v>38</v>
      </c>
      <c r="D8" s="11">
        <v>230</v>
      </c>
      <c r="E8" s="9">
        <v>234</v>
      </c>
      <c r="F8" s="9">
        <v>238</v>
      </c>
      <c r="G8" s="9">
        <v>228</v>
      </c>
      <c r="H8" s="9">
        <v>198</v>
      </c>
      <c r="J8" s="21">
        <v>4</v>
      </c>
      <c r="K8" s="27" t="s">
        <v>35</v>
      </c>
      <c r="L8" s="27" t="s">
        <v>37</v>
      </c>
      <c r="M8" s="27" t="s">
        <v>38</v>
      </c>
      <c r="N8" s="9">
        <v>155.47045254421519</v>
      </c>
      <c r="O8" s="9">
        <v>136.22841596665367</v>
      </c>
      <c r="P8" s="9">
        <v>135.23972989608089</v>
      </c>
      <c r="Q8" s="9">
        <v>145.86519036307121</v>
      </c>
      <c r="R8" s="9">
        <v>133.04520021581413</v>
      </c>
      <c r="T8" s="23">
        <v>4</v>
      </c>
      <c r="U8" s="28" t="s">
        <v>46</v>
      </c>
      <c r="V8" s="28" t="s">
        <v>43</v>
      </c>
      <c r="W8" s="28" t="s">
        <v>33</v>
      </c>
      <c r="X8" s="28" t="s">
        <v>47</v>
      </c>
      <c r="Y8" s="11">
        <v>434870.5</v>
      </c>
      <c r="Z8" s="9">
        <v>454732</v>
      </c>
      <c r="AA8" s="9">
        <v>480889.5</v>
      </c>
      <c r="AB8" s="9">
        <v>381005.5</v>
      </c>
      <c r="AC8" s="9">
        <v>412843.5</v>
      </c>
      <c r="AE8" s="48" t="s">
        <v>6</v>
      </c>
      <c r="AF8" s="29">
        <f>AF7+(AF7-AF6)</f>
        <v>715</v>
      </c>
      <c r="AG8" s="29">
        <f>AG6</f>
        <v>777</v>
      </c>
      <c r="AH8" s="48" t="s">
        <v>6</v>
      </c>
      <c r="AI8" s="29">
        <f>AI7+(AI7-AI6)</f>
        <v>717</v>
      </c>
      <c r="AJ8" s="29">
        <f>AJ6</f>
        <v>791</v>
      </c>
      <c r="AK8" s="48" t="s">
        <v>6</v>
      </c>
      <c r="AL8" s="29">
        <f t="shared" ref="AL8" si="0">AL7+(AL7-AL6)</f>
        <v>719</v>
      </c>
      <c r="AM8" s="29">
        <f t="shared" ref="AM8" si="1">AM6</f>
        <v>752</v>
      </c>
      <c r="AN8" s="48" t="s">
        <v>6</v>
      </c>
      <c r="AO8" s="29">
        <f t="shared" ref="AO8" si="2">AO7+(AO7-AO6)</f>
        <v>714</v>
      </c>
      <c r="AP8" s="29">
        <f t="shared" ref="AP8" si="3">AP6</f>
        <v>774</v>
      </c>
      <c r="AQ8" s="48" t="s">
        <v>6</v>
      </c>
      <c r="AR8" s="29">
        <f t="shared" ref="AR8" si="4">AR7+(AR7-AR6)</f>
        <v>699</v>
      </c>
      <c r="AS8" s="29">
        <f t="shared" ref="AS8" si="5">AS6</f>
        <v>769</v>
      </c>
    </row>
    <row r="9" spans="1:45" ht="15.75" customHeight="1">
      <c r="A9" s="24">
        <v>5</v>
      </c>
      <c r="B9" s="19" t="s">
        <v>36</v>
      </c>
      <c r="C9" s="19" t="s">
        <v>33</v>
      </c>
      <c r="D9" s="11">
        <v>146</v>
      </c>
      <c r="E9" s="9">
        <v>97</v>
      </c>
      <c r="F9" s="9">
        <v>98</v>
      </c>
      <c r="G9" s="9">
        <v>123</v>
      </c>
      <c r="H9" s="9">
        <v>124</v>
      </c>
      <c r="J9" s="21">
        <v>5</v>
      </c>
      <c r="K9" s="27" t="s">
        <v>39</v>
      </c>
      <c r="L9" s="27" t="s">
        <v>34</v>
      </c>
      <c r="M9" s="27" t="s">
        <v>61</v>
      </c>
      <c r="N9" s="9">
        <v>156.27121909743778</v>
      </c>
      <c r="O9" s="9">
        <v>152.38496196759738</v>
      </c>
      <c r="P9" s="9">
        <v>156.89798547494945</v>
      </c>
      <c r="Q9" s="9">
        <v>156.77702715222301</v>
      </c>
      <c r="R9" s="9">
        <v>129.89804436711424</v>
      </c>
      <c r="T9" s="23">
        <v>5</v>
      </c>
      <c r="U9" s="28" t="s">
        <v>48</v>
      </c>
      <c r="V9" s="28" t="s">
        <v>43</v>
      </c>
      <c r="W9" s="28" t="s">
        <v>34</v>
      </c>
      <c r="X9" s="28" t="s">
        <v>44</v>
      </c>
      <c r="Y9" s="11">
        <v>350574</v>
      </c>
      <c r="Z9" s="9">
        <v>435484</v>
      </c>
      <c r="AA9" s="9">
        <v>427868</v>
      </c>
      <c r="AB9" s="9">
        <v>381640</v>
      </c>
      <c r="AC9" s="9">
        <v>343469</v>
      </c>
      <c r="AE9" s="48" t="s">
        <v>77</v>
      </c>
      <c r="AF9" s="29">
        <v>600</v>
      </c>
      <c r="AG9" s="29">
        <v>948</v>
      </c>
      <c r="AH9" s="48" t="s">
        <v>77</v>
      </c>
      <c r="AI9" s="29">
        <v>600</v>
      </c>
      <c r="AJ9" s="29">
        <v>935</v>
      </c>
      <c r="AK9" s="48" t="s">
        <v>77</v>
      </c>
      <c r="AL9" s="29">
        <v>600</v>
      </c>
      <c r="AM9" s="29">
        <v>899</v>
      </c>
      <c r="AN9" s="48" t="s">
        <v>77</v>
      </c>
      <c r="AO9" s="29">
        <v>600</v>
      </c>
      <c r="AP9" s="29">
        <v>932</v>
      </c>
      <c r="AQ9" s="48" t="s">
        <v>77</v>
      </c>
      <c r="AR9" s="29">
        <v>600</v>
      </c>
      <c r="AS9" s="29">
        <v>936</v>
      </c>
    </row>
    <row r="10" spans="1:45">
      <c r="A10" s="24">
        <v>6</v>
      </c>
      <c r="B10" s="19" t="s">
        <v>37</v>
      </c>
      <c r="C10" s="19" t="s">
        <v>34</v>
      </c>
      <c r="D10" s="11">
        <v>378</v>
      </c>
      <c r="E10" s="9">
        <v>342</v>
      </c>
      <c r="F10" s="9">
        <v>379</v>
      </c>
      <c r="G10" s="9">
        <v>371</v>
      </c>
      <c r="H10" s="9">
        <v>368</v>
      </c>
      <c r="J10" s="21">
        <v>6</v>
      </c>
      <c r="K10" s="27" t="s">
        <v>40</v>
      </c>
      <c r="L10" s="27" t="s">
        <v>34</v>
      </c>
      <c r="M10" s="27" t="s">
        <v>62</v>
      </c>
      <c r="N10" s="9">
        <v>11.864390451281086</v>
      </c>
      <c r="O10" s="9">
        <v>13.807519016201343</v>
      </c>
      <c r="P10" s="9">
        <v>11.551007262525216</v>
      </c>
      <c r="Q10" s="9">
        <v>11.611486423888515</v>
      </c>
      <c r="R10" s="9">
        <v>25.050977816442881</v>
      </c>
      <c r="T10" s="23">
        <v>6</v>
      </c>
      <c r="U10" s="28" t="s">
        <v>52</v>
      </c>
      <c r="V10" s="28" t="s">
        <v>53</v>
      </c>
      <c r="W10" s="28" t="s">
        <v>54</v>
      </c>
      <c r="X10" s="28" t="s">
        <v>50</v>
      </c>
      <c r="Y10" s="11">
        <v>5868</v>
      </c>
      <c r="Z10" s="9">
        <v>5543</v>
      </c>
      <c r="AA10" s="9">
        <v>4011.5</v>
      </c>
      <c r="AB10" s="9">
        <v>4198.5</v>
      </c>
      <c r="AC10" s="9">
        <v>4030</v>
      </c>
      <c r="AE10" s="48" t="s">
        <v>8</v>
      </c>
      <c r="AF10" s="29">
        <v>481</v>
      </c>
      <c r="AG10" s="29">
        <v>1155</v>
      </c>
      <c r="AH10" s="48" t="s">
        <v>8</v>
      </c>
      <c r="AI10" s="29">
        <v>482</v>
      </c>
      <c r="AJ10" s="29">
        <v>1151</v>
      </c>
      <c r="AK10" s="48" t="s">
        <v>8</v>
      </c>
      <c r="AL10" s="29">
        <v>463</v>
      </c>
      <c r="AM10" s="29">
        <v>1152</v>
      </c>
      <c r="AN10" s="48" t="s">
        <v>8</v>
      </c>
      <c r="AO10" s="29">
        <v>454</v>
      </c>
      <c r="AP10" s="29">
        <v>1150</v>
      </c>
      <c r="AQ10" s="48" t="s">
        <v>8</v>
      </c>
      <c r="AR10" s="29">
        <v>508</v>
      </c>
      <c r="AS10" s="29">
        <v>1137</v>
      </c>
    </row>
    <row r="11" spans="1:45">
      <c r="A11" s="24">
        <v>7</v>
      </c>
      <c r="B11" s="19" t="s">
        <v>39</v>
      </c>
      <c r="C11" s="19" t="s">
        <v>40</v>
      </c>
      <c r="D11" s="11">
        <v>238</v>
      </c>
      <c r="E11" s="9">
        <v>236</v>
      </c>
      <c r="F11" s="9">
        <v>274</v>
      </c>
      <c r="G11" s="9">
        <v>292</v>
      </c>
      <c r="H11" s="9">
        <v>184</v>
      </c>
      <c r="J11" s="21">
        <v>7</v>
      </c>
      <c r="K11" s="27" t="s">
        <v>41</v>
      </c>
      <c r="L11" s="27" t="s">
        <v>34</v>
      </c>
      <c r="M11" s="27" t="s">
        <v>62</v>
      </c>
      <c r="N11" s="9">
        <v>141.77667881525738</v>
      </c>
      <c r="O11" s="9">
        <v>149.08455355724789</v>
      </c>
      <c r="P11" s="9">
        <v>147.69958448959736</v>
      </c>
      <c r="Q11" s="9">
        <v>146.15044567782775</v>
      </c>
      <c r="R11" s="9">
        <v>140.83949231151749</v>
      </c>
      <c r="T11" s="23">
        <v>7</v>
      </c>
      <c r="U11" s="35" t="s">
        <v>76</v>
      </c>
      <c r="V11" s="35" t="s">
        <v>73</v>
      </c>
      <c r="W11" s="35" t="s">
        <v>75</v>
      </c>
      <c r="X11" s="35" t="s">
        <v>74</v>
      </c>
      <c r="Y11" s="11">
        <v>5411</v>
      </c>
      <c r="Z11" s="9">
        <v>3478</v>
      </c>
      <c r="AA11" s="9">
        <v>2310.5</v>
      </c>
      <c r="AB11" s="9">
        <v>3868</v>
      </c>
      <c r="AC11" s="9">
        <v>3289.5</v>
      </c>
      <c r="AE11" s="48" t="s">
        <v>9</v>
      </c>
      <c r="AF11" s="29">
        <v>600</v>
      </c>
      <c r="AG11" s="29">
        <v>1180</v>
      </c>
      <c r="AH11" s="48" t="s">
        <v>9</v>
      </c>
      <c r="AI11" s="29">
        <v>600</v>
      </c>
      <c r="AJ11" s="29">
        <v>1180</v>
      </c>
      <c r="AK11" s="48" t="s">
        <v>9</v>
      </c>
      <c r="AL11" s="29">
        <v>600</v>
      </c>
      <c r="AM11" s="29">
        <v>1180</v>
      </c>
      <c r="AN11" s="48" t="s">
        <v>9</v>
      </c>
      <c r="AO11" s="29">
        <v>600</v>
      </c>
      <c r="AP11" s="29">
        <v>1180</v>
      </c>
      <c r="AQ11" s="48" t="s">
        <v>9</v>
      </c>
      <c r="AR11" s="29">
        <v>600</v>
      </c>
      <c r="AS11" s="29">
        <v>1180</v>
      </c>
    </row>
    <row r="12" spans="1:45">
      <c r="A12" s="24">
        <v>8</v>
      </c>
      <c r="B12" s="19" t="s">
        <v>41</v>
      </c>
      <c r="C12" s="19" t="s">
        <v>42</v>
      </c>
      <c r="D12" s="11">
        <v>612</v>
      </c>
      <c r="E12" s="9">
        <v>698</v>
      </c>
      <c r="F12" s="9">
        <v>696</v>
      </c>
      <c r="G12" s="9">
        <v>662</v>
      </c>
      <c r="H12" s="9">
        <v>582</v>
      </c>
      <c r="J12" s="21">
        <v>8</v>
      </c>
      <c r="K12" s="27" t="s">
        <v>42</v>
      </c>
      <c r="L12" s="27" t="s">
        <v>34</v>
      </c>
      <c r="M12" s="27" t="s">
        <v>62</v>
      </c>
      <c r="N12" s="9">
        <v>38.223321184742616</v>
      </c>
      <c r="O12" s="9">
        <v>30.915446442752096</v>
      </c>
      <c r="P12" s="9">
        <v>32.30041551040263</v>
      </c>
      <c r="Q12" s="9">
        <v>33.849554322172203</v>
      </c>
      <c r="R12" s="9">
        <v>39.160507688482539</v>
      </c>
      <c r="T12" s="23">
        <v>8</v>
      </c>
      <c r="U12" s="28"/>
      <c r="V12" s="28"/>
      <c r="W12" s="28"/>
      <c r="X12" s="28"/>
      <c r="Y12" s="11"/>
      <c r="Z12" s="9"/>
      <c r="AA12" s="9"/>
      <c r="AB12" s="9"/>
      <c r="AC12" s="9"/>
      <c r="AE12" s="48" t="s">
        <v>10</v>
      </c>
      <c r="AF12" s="29">
        <f>AF11+(AF11-AF10)</f>
        <v>719</v>
      </c>
      <c r="AG12" s="29">
        <f>AG10</f>
        <v>1155</v>
      </c>
      <c r="AH12" s="48" t="s">
        <v>10</v>
      </c>
      <c r="AI12" s="29">
        <f>AI11+(AI11-AI10)</f>
        <v>718</v>
      </c>
      <c r="AJ12" s="29">
        <f>AJ10</f>
        <v>1151</v>
      </c>
      <c r="AK12" s="48" t="s">
        <v>10</v>
      </c>
      <c r="AL12" s="29">
        <f t="shared" ref="AL12" si="6">AL11+(AL11-AL10)</f>
        <v>737</v>
      </c>
      <c r="AM12" s="29">
        <f t="shared" ref="AM12" si="7">AM10</f>
        <v>1152</v>
      </c>
      <c r="AN12" s="48" t="s">
        <v>10</v>
      </c>
      <c r="AO12" s="29">
        <f t="shared" ref="AO12" si="8">AO11+(AO11-AO10)</f>
        <v>746</v>
      </c>
      <c r="AP12" s="29">
        <f t="shared" ref="AP12" si="9">AP10</f>
        <v>1150</v>
      </c>
      <c r="AQ12" s="48" t="s">
        <v>10</v>
      </c>
      <c r="AR12" s="29">
        <f t="shared" ref="AR12" si="10">AR11+(AR11-AR10)</f>
        <v>692</v>
      </c>
      <c r="AS12" s="29">
        <f t="shared" ref="AS12" si="11">AS10</f>
        <v>1137</v>
      </c>
    </row>
    <row r="13" spans="1:45">
      <c r="A13" s="24">
        <v>9</v>
      </c>
      <c r="B13" s="19" t="s">
        <v>43</v>
      </c>
      <c r="C13" s="19" t="s">
        <v>44</v>
      </c>
      <c r="D13" s="11">
        <v>714</v>
      </c>
      <c r="E13" s="9">
        <v>824</v>
      </c>
      <c r="F13" s="9">
        <v>826</v>
      </c>
      <c r="G13" s="9">
        <v>752</v>
      </c>
      <c r="H13" s="9">
        <v>706</v>
      </c>
      <c r="J13" s="21">
        <v>9</v>
      </c>
      <c r="K13" s="27" t="s">
        <v>43</v>
      </c>
      <c r="L13" s="27" t="s">
        <v>41</v>
      </c>
      <c r="M13" s="27" t="s">
        <v>34</v>
      </c>
      <c r="N13" s="9">
        <v>139.84391711825489</v>
      </c>
      <c r="O13" s="9">
        <v>136.49184652333608</v>
      </c>
      <c r="P13" s="9">
        <v>135.93352909939446</v>
      </c>
      <c r="Q13" s="9">
        <v>134.34103133450384</v>
      </c>
      <c r="R13" s="9">
        <v>145.24659275910329</v>
      </c>
      <c r="T13" s="23">
        <v>9</v>
      </c>
      <c r="U13" s="28"/>
      <c r="V13" s="28"/>
      <c r="W13" s="28"/>
      <c r="X13" s="28"/>
      <c r="Y13" s="11"/>
      <c r="Z13" s="9"/>
      <c r="AA13" s="9"/>
      <c r="AB13" s="9"/>
      <c r="AC13" s="9"/>
      <c r="AE13" s="48" t="s">
        <v>11</v>
      </c>
      <c r="AF13" s="29">
        <v>294</v>
      </c>
      <c r="AG13" s="29">
        <v>939</v>
      </c>
      <c r="AH13" s="48" t="s">
        <v>11</v>
      </c>
      <c r="AI13" s="29">
        <v>251</v>
      </c>
      <c r="AJ13" s="29">
        <v>971</v>
      </c>
      <c r="AK13" s="48" t="s">
        <v>11</v>
      </c>
      <c r="AL13" s="29">
        <v>252</v>
      </c>
      <c r="AM13" s="29">
        <v>960</v>
      </c>
      <c r="AN13" s="48" t="s">
        <v>11</v>
      </c>
      <c r="AO13" s="29">
        <v>269</v>
      </c>
      <c r="AP13" s="29">
        <v>958</v>
      </c>
      <c r="AQ13" s="48" t="s">
        <v>11</v>
      </c>
      <c r="AR13" s="29">
        <v>309</v>
      </c>
      <c r="AS13" s="29">
        <v>943</v>
      </c>
    </row>
    <row r="14" spans="1:45">
      <c r="A14" s="24">
        <v>10</v>
      </c>
      <c r="B14" s="19" t="s">
        <v>45</v>
      </c>
      <c r="C14" s="19" t="s">
        <v>43</v>
      </c>
      <c r="D14" s="11">
        <v>74.330343736592525</v>
      </c>
      <c r="E14" s="9">
        <v>76.105190361761785</v>
      </c>
      <c r="F14" s="9">
        <v>83.096329642168911</v>
      </c>
      <c r="G14" s="9">
        <v>80.02499609497022</v>
      </c>
      <c r="H14" s="9">
        <v>66.098411478642959</v>
      </c>
      <c r="J14" s="21">
        <v>10</v>
      </c>
      <c r="K14" s="27" t="s">
        <v>44</v>
      </c>
      <c r="L14" s="27" t="s">
        <v>32</v>
      </c>
      <c r="M14" s="27" t="s">
        <v>62</v>
      </c>
      <c r="N14" s="9">
        <v>50.36500065243149</v>
      </c>
      <c r="O14" s="9">
        <v>43.246034281761958</v>
      </c>
      <c r="P14" s="9">
        <v>47.947066626893822</v>
      </c>
      <c r="Q14" s="9">
        <v>46.64146819444084</v>
      </c>
      <c r="R14" s="9">
        <v>45.779605733312394</v>
      </c>
      <c r="T14" s="23">
        <v>10</v>
      </c>
      <c r="U14" s="28"/>
      <c r="V14" s="28"/>
      <c r="W14" s="28"/>
      <c r="X14" s="28"/>
      <c r="Y14" s="11"/>
      <c r="Z14" s="9"/>
      <c r="AA14" s="9"/>
      <c r="AB14" s="9"/>
      <c r="AC14" s="9"/>
      <c r="AE14" s="48" t="s">
        <v>12</v>
      </c>
      <c r="AF14" s="29">
        <f>600+(600-AF13)</f>
        <v>906</v>
      </c>
      <c r="AG14" s="29">
        <f>AG13</f>
        <v>939</v>
      </c>
      <c r="AH14" s="48" t="s">
        <v>12</v>
      </c>
      <c r="AI14" s="29">
        <f>600+(600-AI13)</f>
        <v>949</v>
      </c>
      <c r="AJ14" s="29">
        <f>AJ13</f>
        <v>971</v>
      </c>
      <c r="AK14" s="48" t="s">
        <v>12</v>
      </c>
      <c r="AL14" s="29">
        <f t="shared" ref="AL14" si="12">600+(600-AL13)</f>
        <v>948</v>
      </c>
      <c r="AM14" s="29">
        <f t="shared" ref="AM14" si="13">AM13</f>
        <v>960</v>
      </c>
      <c r="AN14" s="48" t="s">
        <v>12</v>
      </c>
      <c r="AO14" s="29">
        <f t="shared" ref="AO14" si="14">600+(600-AO13)</f>
        <v>931</v>
      </c>
      <c r="AP14" s="29">
        <f t="shared" ref="AP14" si="15">AP13</f>
        <v>958</v>
      </c>
      <c r="AQ14" s="48" t="s">
        <v>12</v>
      </c>
      <c r="AR14" s="29">
        <f t="shared" ref="AR14" si="16">600+(600-AR13)</f>
        <v>891</v>
      </c>
      <c r="AS14" s="29">
        <f t="shared" ref="AS14" si="17">AS13</f>
        <v>943</v>
      </c>
    </row>
    <row r="15" spans="1:45">
      <c r="A15" s="24">
        <v>11</v>
      </c>
      <c r="B15" s="19" t="s">
        <v>46</v>
      </c>
      <c r="C15" s="19" t="s">
        <v>47</v>
      </c>
      <c r="D15" s="11">
        <v>704</v>
      </c>
      <c r="E15" s="9">
        <v>680</v>
      </c>
      <c r="F15" s="9">
        <v>786</v>
      </c>
      <c r="G15" s="9">
        <v>658</v>
      </c>
      <c r="H15" s="9">
        <v>692</v>
      </c>
      <c r="J15" s="21">
        <v>11</v>
      </c>
      <c r="K15" s="27" t="s">
        <v>44</v>
      </c>
      <c r="L15" s="27" t="s">
        <v>33</v>
      </c>
      <c r="M15" s="27" t="s">
        <v>62</v>
      </c>
      <c r="N15" s="9">
        <v>57.551068582024698</v>
      </c>
      <c r="O15" s="9">
        <v>47.657366771650103</v>
      </c>
      <c r="P15" s="9">
        <v>52.469904748447775</v>
      </c>
      <c r="Q15" s="9">
        <v>53.141316931692899</v>
      </c>
      <c r="R15" s="9">
        <v>53.324072672309747</v>
      </c>
      <c r="T15" s="23">
        <v>11</v>
      </c>
      <c r="U15" s="28"/>
      <c r="V15" s="28"/>
      <c r="W15" s="28"/>
      <c r="X15" s="28"/>
      <c r="Y15" s="11"/>
      <c r="Z15" s="9"/>
      <c r="AA15" s="9"/>
      <c r="AB15" s="9"/>
      <c r="AC15" s="9"/>
      <c r="AE15" s="48" t="s">
        <v>13</v>
      </c>
      <c r="AF15" s="29">
        <v>243</v>
      </c>
      <c r="AG15" s="29">
        <v>691</v>
      </c>
      <c r="AH15" s="48" t="s">
        <v>13</v>
      </c>
      <c r="AI15" s="29">
        <v>188</v>
      </c>
      <c r="AJ15" s="29">
        <v>745</v>
      </c>
      <c r="AK15" s="48" t="s">
        <v>13</v>
      </c>
      <c r="AL15" s="29">
        <v>187</v>
      </c>
      <c r="AM15" s="29">
        <v>692</v>
      </c>
      <c r="AN15" s="48" t="s">
        <v>13</v>
      </c>
      <c r="AO15" s="29">
        <v>224</v>
      </c>
      <c r="AP15" s="29">
        <v>715</v>
      </c>
      <c r="AQ15" s="48" t="s">
        <v>13</v>
      </c>
      <c r="AR15" s="29">
        <v>247</v>
      </c>
      <c r="AS15" s="29">
        <v>728</v>
      </c>
    </row>
    <row r="16" spans="1:45" ht="15.75" customHeight="1">
      <c r="A16" s="24">
        <v>12</v>
      </c>
      <c r="B16" s="19" t="s">
        <v>48</v>
      </c>
      <c r="C16" s="19" t="s">
        <v>31</v>
      </c>
      <c r="D16" s="11">
        <v>267</v>
      </c>
      <c r="E16" s="9">
        <v>347</v>
      </c>
      <c r="F16" s="9">
        <v>340</v>
      </c>
      <c r="G16" s="9">
        <v>317</v>
      </c>
      <c r="H16" s="9">
        <v>273</v>
      </c>
      <c r="J16" s="21">
        <v>12</v>
      </c>
      <c r="K16" s="27" t="s">
        <v>47</v>
      </c>
      <c r="L16" s="27" t="s">
        <v>30</v>
      </c>
      <c r="M16" s="27" t="s">
        <v>62</v>
      </c>
      <c r="N16" s="9">
        <v>101.11915231645297</v>
      </c>
      <c r="O16" s="9">
        <v>102.2259059856182</v>
      </c>
      <c r="P16" s="9">
        <v>99.376066679620365</v>
      </c>
      <c r="Q16" s="9">
        <v>97.532469081704335</v>
      </c>
      <c r="R16" s="9">
        <v>99.707729689849586</v>
      </c>
      <c r="T16" s="23">
        <v>12</v>
      </c>
      <c r="U16" s="28"/>
      <c r="V16" s="28"/>
      <c r="W16" s="28"/>
      <c r="X16" s="28"/>
      <c r="Y16" s="11"/>
      <c r="Z16" s="9"/>
      <c r="AA16" s="9"/>
      <c r="AB16" s="9"/>
      <c r="AC16" s="9"/>
      <c r="AE16" s="48" t="s">
        <v>14</v>
      </c>
      <c r="AF16" s="29">
        <f>600+(600-AF15)</f>
        <v>957</v>
      </c>
      <c r="AG16" s="29">
        <f>AG15</f>
        <v>691</v>
      </c>
      <c r="AH16" s="48" t="s">
        <v>14</v>
      </c>
      <c r="AI16" s="29">
        <f>600+(600-AI15)</f>
        <v>1012</v>
      </c>
      <c r="AJ16" s="29">
        <f>AJ15</f>
        <v>745</v>
      </c>
      <c r="AK16" s="48" t="s">
        <v>14</v>
      </c>
      <c r="AL16" s="29">
        <f t="shared" ref="AL16" si="18">600+(600-AL15)</f>
        <v>1013</v>
      </c>
      <c r="AM16" s="29">
        <f t="shared" ref="AM16" si="19">AM15</f>
        <v>692</v>
      </c>
      <c r="AN16" s="48" t="s">
        <v>14</v>
      </c>
      <c r="AO16" s="29">
        <f t="shared" ref="AO16" si="20">600+(600-AO15)</f>
        <v>976</v>
      </c>
      <c r="AP16" s="29">
        <f t="shared" ref="AP16" si="21">AP15</f>
        <v>715</v>
      </c>
      <c r="AQ16" s="48" t="s">
        <v>14</v>
      </c>
      <c r="AR16" s="29">
        <f t="shared" ref="AR16" si="22">600+(600-AR15)</f>
        <v>953</v>
      </c>
      <c r="AS16" s="29">
        <f t="shared" ref="AS16" si="23">AS15</f>
        <v>728</v>
      </c>
    </row>
    <row r="17" spans="1:45" ht="15.75" customHeight="1">
      <c r="A17" s="24">
        <v>13</v>
      </c>
      <c r="B17" s="19" t="s">
        <v>49</v>
      </c>
      <c r="C17" s="19" t="s">
        <v>37</v>
      </c>
      <c r="D17" s="11">
        <v>604</v>
      </c>
      <c r="E17" s="9">
        <v>715</v>
      </c>
      <c r="F17" s="9">
        <v>657</v>
      </c>
      <c r="G17" s="9">
        <v>644</v>
      </c>
      <c r="H17" s="9">
        <v>605</v>
      </c>
      <c r="J17" s="21">
        <v>13</v>
      </c>
      <c r="K17" s="27" t="s">
        <v>47</v>
      </c>
      <c r="L17" s="27" t="s">
        <v>48</v>
      </c>
      <c r="M17" s="27" t="s">
        <v>62</v>
      </c>
      <c r="N17" s="9">
        <v>83.198425778172677</v>
      </c>
      <c r="O17" s="9">
        <v>74.48593930995014</v>
      </c>
      <c r="P17" s="9">
        <v>77.06848745216854</v>
      </c>
      <c r="Q17" s="9">
        <v>67.01547196705404</v>
      </c>
      <c r="R17" s="9">
        <v>79.793391879333626</v>
      </c>
      <c r="T17" s="23">
        <v>13</v>
      </c>
      <c r="U17" s="28"/>
      <c r="V17" s="28"/>
      <c r="W17" s="28"/>
      <c r="X17" s="28"/>
      <c r="Y17" s="11"/>
      <c r="Z17" s="9"/>
      <c r="AA17" s="9"/>
      <c r="AB17" s="9"/>
      <c r="AC17" s="9"/>
      <c r="AE17" s="48" t="s">
        <v>15</v>
      </c>
      <c r="AF17" s="29">
        <v>172</v>
      </c>
      <c r="AG17" s="29">
        <v>713</v>
      </c>
      <c r="AH17" s="48" t="s">
        <v>15</v>
      </c>
      <c r="AI17" s="29">
        <v>112</v>
      </c>
      <c r="AJ17" s="29">
        <v>741</v>
      </c>
      <c r="AK17" s="48" t="s">
        <v>15</v>
      </c>
      <c r="AL17" s="29">
        <v>104</v>
      </c>
      <c r="AM17" s="29">
        <v>688</v>
      </c>
      <c r="AN17" s="48" t="s">
        <v>15</v>
      </c>
      <c r="AO17" s="29">
        <v>144</v>
      </c>
      <c r="AP17" s="29">
        <v>713</v>
      </c>
      <c r="AQ17" s="48" t="s">
        <v>15</v>
      </c>
      <c r="AR17" s="29">
        <v>184</v>
      </c>
      <c r="AS17" s="29">
        <v>708</v>
      </c>
    </row>
    <row r="18" spans="1:45">
      <c r="A18" s="24">
        <v>14</v>
      </c>
      <c r="B18" s="19" t="s">
        <v>49</v>
      </c>
      <c r="C18" s="19" t="s">
        <v>33</v>
      </c>
      <c r="D18" s="11">
        <v>750</v>
      </c>
      <c r="E18" s="9">
        <v>812</v>
      </c>
      <c r="F18" s="9">
        <v>755</v>
      </c>
      <c r="G18" s="9">
        <v>767</v>
      </c>
      <c r="H18" s="9">
        <v>729</v>
      </c>
      <c r="J18" s="21">
        <v>14</v>
      </c>
      <c r="K18" s="44" t="s">
        <v>48</v>
      </c>
      <c r="L18" s="44" t="s">
        <v>78</v>
      </c>
      <c r="M18" s="44" t="s">
        <v>79</v>
      </c>
      <c r="N18" s="11">
        <v>39.009777223907243</v>
      </c>
      <c r="O18" s="9">
        <v>34.196197781059084</v>
      </c>
      <c r="P18" s="9">
        <v>57.84753849502799</v>
      </c>
      <c r="Q18" s="9">
        <v>48.388394748766629</v>
      </c>
      <c r="R18" s="9">
        <v>30.650212856617483</v>
      </c>
      <c r="T18" s="23">
        <v>14</v>
      </c>
      <c r="U18" s="28"/>
      <c r="V18" s="28"/>
      <c r="W18" s="28"/>
      <c r="X18" s="28"/>
      <c r="Y18" s="11"/>
      <c r="Z18" s="9"/>
      <c r="AA18" s="9"/>
      <c r="AB18" s="9"/>
      <c r="AC18" s="9"/>
      <c r="AE18" s="48" t="s">
        <v>16</v>
      </c>
      <c r="AF18" s="29">
        <f>600+(600-AF17)</f>
        <v>1028</v>
      </c>
      <c r="AG18" s="29">
        <f>AG17</f>
        <v>713</v>
      </c>
      <c r="AH18" s="48" t="s">
        <v>16</v>
      </c>
      <c r="AI18" s="29">
        <f>600+(600-AI17)</f>
        <v>1088</v>
      </c>
      <c r="AJ18" s="29">
        <f>AJ17</f>
        <v>741</v>
      </c>
      <c r="AK18" s="48" t="s">
        <v>16</v>
      </c>
      <c r="AL18" s="29">
        <f t="shared" ref="AL18" si="24">600+(600-AL17)</f>
        <v>1096</v>
      </c>
      <c r="AM18" s="29">
        <f t="shared" ref="AM18" si="25">AM17</f>
        <v>688</v>
      </c>
      <c r="AN18" s="48" t="s">
        <v>16</v>
      </c>
      <c r="AO18" s="29">
        <f t="shared" ref="AO18" si="26">600+(600-AO17)</f>
        <v>1056</v>
      </c>
      <c r="AP18" s="29">
        <f t="shared" ref="AP18" si="27">AP17</f>
        <v>713</v>
      </c>
      <c r="AQ18" s="48" t="s">
        <v>16</v>
      </c>
      <c r="AR18" s="29">
        <f t="shared" ref="AR18" si="28">600+(600-AR17)</f>
        <v>1016</v>
      </c>
      <c r="AS18" s="29">
        <f t="shared" ref="AS18" si="29">AS17</f>
        <v>708</v>
      </c>
    </row>
    <row r="19" spans="1:45">
      <c r="A19" s="24">
        <v>15</v>
      </c>
      <c r="B19" s="19" t="s">
        <v>48</v>
      </c>
      <c r="C19" s="19" t="s">
        <v>34</v>
      </c>
      <c r="D19" s="11">
        <v>982</v>
      </c>
      <c r="E19" s="9">
        <v>1057</v>
      </c>
      <c r="F19" s="9">
        <v>1036</v>
      </c>
      <c r="G19" s="9">
        <v>1015</v>
      </c>
      <c r="H19" s="9">
        <v>973</v>
      </c>
      <c r="J19" s="21">
        <v>15</v>
      </c>
      <c r="K19" s="44" t="s">
        <v>80</v>
      </c>
      <c r="L19" s="44" t="s">
        <v>78</v>
      </c>
      <c r="M19" s="44" t="s">
        <v>79</v>
      </c>
      <c r="N19" s="11">
        <v>19.874388561311488</v>
      </c>
      <c r="O19" s="9">
        <v>8.6557859201506471</v>
      </c>
      <c r="P19" s="9">
        <v>20.316847402904166</v>
      </c>
      <c r="Q19" s="9">
        <v>19.101053179506803</v>
      </c>
      <c r="R19" s="9">
        <v>14.563174330883145</v>
      </c>
      <c r="T19" s="23">
        <v>15</v>
      </c>
      <c r="U19" s="28"/>
      <c r="V19" s="28"/>
      <c r="W19" s="28"/>
      <c r="X19" s="28"/>
      <c r="Y19" s="11"/>
      <c r="Z19" s="9"/>
      <c r="AA19" s="9"/>
      <c r="AB19" s="9"/>
      <c r="AC19" s="9"/>
      <c r="AE19" s="48" t="s">
        <v>17</v>
      </c>
      <c r="AF19" s="29">
        <v>248</v>
      </c>
      <c r="AG19" s="29">
        <v>43</v>
      </c>
      <c r="AH19" s="48" t="s">
        <v>17</v>
      </c>
      <c r="AI19" s="29">
        <v>260</v>
      </c>
      <c r="AJ19" s="29">
        <v>43</v>
      </c>
      <c r="AK19" s="48" t="s">
        <v>17</v>
      </c>
      <c r="AL19" s="29">
        <v>207</v>
      </c>
      <c r="AM19" s="29">
        <v>29</v>
      </c>
      <c r="AN19" s="48" t="s">
        <v>17</v>
      </c>
      <c r="AO19" s="29">
        <v>271</v>
      </c>
      <c r="AP19" s="29">
        <v>126</v>
      </c>
      <c r="AQ19" s="48" t="s">
        <v>17</v>
      </c>
      <c r="AR19" s="29">
        <v>254</v>
      </c>
      <c r="AS19" s="29">
        <v>77</v>
      </c>
    </row>
    <row r="20" spans="1:45">
      <c r="A20" s="24">
        <v>16</v>
      </c>
      <c r="B20" s="19" t="s">
        <v>50</v>
      </c>
      <c r="C20" s="19" t="s">
        <v>51</v>
      </c>
      <c r="D20" s="11">
        <v>72.560319734686942</v>
      </c>
      <c r="E20" s="9">
        <v>65.30696746902278</v>
      </c>
      <c r="F20" s="9">
        <v>57.035076926396798</v>
      </c>
      <c r="G20" s="9">
        <v>53.084837759947987</v>
      </c>
      <c r="H20" s="9">
        <v>53.150729063673246</v>
      </c>
      <c r="I20" s="3"/>
      <c r="J20" s="21">
        <v>16</v>
      </c>
      <c r="K20" s="44" t="s">
        <v>48</v>
      </c>
      <c r="L20" s="44" t="s">
        <v>81</v>
      </c>
      <c r="M20" s="44" t="s">
        <v>79</v>
      </c>
      <c r="N20" s="11">
        <v>97.531438575858175</v>
      </c>
      <c r="O20" s="9">
        <v>105.19905631438077</v>
      </c>
      <c r="P20" s="9">
        <v>108.5648182587333</v>
      </c>
      <c r="Q20" s="9">
        <v>93.09209895238665</v>
      </c>
      <c r="R20" s="9">
        <v>103.87404743194311</v>
      </c>
      <c r="T20" s="23">
        <v>16</v>
      </c>
      <c r="U20" s="28"/>
      <c r="V20" s="28"/>
      <c r="W20" s="28"/>
      <c r="X20" s="28"/>
      <c r="Y20" s="11"/>
      <c r="Z20" s="9"/>
      <c r="AA20" s="9"/>
      <c r="AB20" s="9"/>
      <c r="AC20" s="9"/>
      <c r="AE20" s="48" t="s">
        <v>18</v>
      </c>
      <c r="AF20" s="29">
        <v>600</v>
      </c>
      <c r="AG20" s="29">
        <v>198</v>
      </c>
      <c r="AH20" s="48" t="s">
        <v>18</v>
      </c>
      <c r="AI20" s="29">
        <v>600</v>
      </c>
      <c r="AJ20" s="29">
        <v>123</v>
      </c>
      <c r="AK20" s="48" t="s">
        <v>18</v>
      </c>
      <c r="AL20" s="29">
        <v>600</v>
      </c>
      <c r="AM20" s="29">
        <v>144</v>
      </c>
      <c r="AN20" s="48" t="s">
        <v>18</v>
      </c>
      <c r="AO20" s="29">
        <v>600</v>
      </c>
      <c r="AP20" s="29">
        <v>165</v>
      </c>
      <c r="AQ20" s="48" t="s">
        <v>18</v>
      </c>
      <c r="AR20" s="29">
        <v>600</v>
      </c>
      <c r="AS20" s="29">
        <v>207</v>
      </c>
    </row>
    <row r="21" spans="1:45">
      <c r="A21" s="24">
        <v>17</v>
      </c>
      <c r="B21" s="19" t="s">
        <v>65</v>
      </c>
      <c r="C21" s="19" t="s">
        <v>66</v>
      </c>
      <c r="D21" s="11">
        <v>232</v>
      </c>
      <c r="E21" s="9">
        <v>245</v>
      </c>
      <c r="F21" s="9">
        <v>281</v>
      </c>
      <c r="G21" s="9">
        <v>248</v>
      </c>
      <c r="H21" s="9">
        <v>244</v>
      </c>
      <c r="I21" s="3"/>
      <c r="J21" s="21">
        <v>17</v>
      </c>
      <c r="K21" s="44" t="s">
        <v>80</v>
      </c>
      <c r="L21" s="44" t="s">
        <v>81</v>
      </c>
      <c r="M21" s="44" t="s">
        <v>79</v>
      </c>
      <c r="N21" s="11">
        <v>24.949838926396851</v>
      </c>
      <c r="O21" s="9">
        <v>17.700427788667184</v>
      </c>
      <c r="P21" s="9">
        <v>20.582534251220512</v>
      </c>
      <c r="Q21" s="9">
        <v>19.246031801487558</v>
      </c>
      <c r="R21" s="9">
        <v>16.519313307175779</v>
      </c>
      <c r="T21" s="23">
        <v>17</v>
      </c>
      <c r="U21" s="28"/>
      <c r="V21" s="28"/>
      <c r="W21" s="28"/>
      <c r="X21" s="28"/>
      <c r="Y21" s="11"/>
      <c r="Z21" s="9"/>
      <c r="AA21" s="9"/>
      <c r="AB21" s="9"/>
      <c r="AC21" s="9"/>
      <c r="AE21" s="48" t="s">
        <v>19</v>
      </c>
      <c r="AF21" s="29">
        <f>600+(600-AF19)</f>
        <v>952</v>
      </c>
      <c r="AG21" s="29">
        <f>AG19</f>
        <v>43</v>
      </c>
      <c r="AH21" s="48" t="s">
        <v>19</v>
      </c>
      <c r="AI21" s="29">
        <f>600+(600-AI19)</f>
        <v>940</v>
      </c>
      <c r="AJ21" s="29">
        <f>AJ19</f>
        <v>43</v>
      </c>
      <c r="AK21" s="48" t="s">
        <v>19</v>
      </c>
      <c r="AL21" s="29">
        <f t="shared" ref="AL21" si="30">600+(600-AL19)</f>
        <v>993</v>
      </c>
      <c r="AM21" s="29">
        <f t="shared" ref="AM21" si="31">AM19</f>
        <v>29</v>
      </c>
      <c r="AN21" s="48" t="s">
        <v>19</v>
      </c>
      <c r="AO21" s="29">
        <f t="shared" ref="AO21" si="32">600+(600-AO19)</f>
        <v>929</v>
      </c>
      <c r="AP21" s="29">
        <f t="shared" ref="AP21" si="33">AP19</f>
        <v>126</v>
      </c>
      <c r="AQ21" s="48" t="s">
        <v>19</v>
      </c>
      <c r="AR21" s="29">
        <f t="shared" ref="AR21" si="34">600+(600-AR19)</f>
        <v>946</v>
      </c>
      <c r="AS21" s="29">
        <f t="shared" ref="AS21" si="35">AS19</f>
        <v>77</v>
      </c>
    </row>
    <row r="22" spans="1:45">
      <c r="A22" s="24">
        <v>18</v>
      </c>
      <c r="B22" s="19" t="s">
        <v>76</v>
      </c>
      <c r="C22" s="19" t="s">
        <v>75</v>
      </c>
      <c r="D22" s="11">
        <v>48.041648597857254</v>
      </c>
      <c r="E22" s="9">
        <v>34</v>
      </c>
      <c r="F22" s="9">
        <v>29.068883707497267</v>
      </c>
      <c r="G22" s="9">
        <v>37.656340767525464</v>
      </c>
      <c r="H22" s="9">
        <v>31.256999216175569</v>
      </c>
      <c r="I22" s="3"/>
      <c r="J22" s="21">
        <v>18</v>
      </c>
      <c r="K22" s="27"/>
      <c r="L22" s="27"/>
      <c r="M22" s="27"/>
      <c r="N22" s="11"/>
      <c r="O22" s="9"/>
      <c r="P22" s="9"/>
      <c r="Q22" s="9"/>
      <c r="R22" s="9"/>
      <c r="T22" s="23">
        <v>18</v>
      </c>
      <c r="U22" s="28"/>
      <c r="V22" s="28"/>
      <c r="W22" s="28"/>
      <c r="X22" s="28"/>
      <c r="Y22" s="11"/>
      <c r="Z22" s="9"/>
      <c r="AA22" s="9"/>
      <c r="AB22" s="9"/>
      <c r="AC22" s="9"/>
      <c r="AE22" s="48" t="s">
        <v>20</v>
      </c>
      <c r="AF22" s="29">
        <v>350</v>
      </c>
      <c r="AG22" s="29">
        <v>556</v>
      </c>
      <c r="AH22" s="48" t="s">
        <v>20</v>
      </c>
      <c r="AI22" s="29">
        <v>330</v>
      </c>
      <c r="AJ22" s="29">
        <v>593</v>
      </c>
      <c r="AK22" s="48" t="s">
        <v>20</v>
      </c>
      <c r="AL22" s="29">
        <v>341</v>
      </c>
      <c r="AM22" s="29">
        <v>561</v>
      </c>
      <c r="AN22" s="49" t="s">
        <v>20</v>
      </c>
      <c r="AO22" s="30">
        <v>341</v>
      </c>
      <c r="AP22" s="30">
        <v>575</v>
      </c>
      <c r="AQ22" s="48" t="s">
        <v>20</v>
      </c>
      <c r="AR22" s="29">
        <v>352</v>
      </c>
      <c r="AS22" s="29">
        <v>564</v>
      </c>
    </row>
    <row r="23" spans="1:45">
      <c r="A23" s="24">
        <v>19</v>
      </c>
      <c r="B23" s="19" t="s">
        <v>73</v>
      </c>
      <c r="C23" s="19" t="s">
        <v>74</v>
      </c>
      <c r="D23" s="11">
        <v>225.26872841120226</v>
      </c>
      <c r="E23" s="9">
        <v>252.30140705116966</v>
      </c>
      <c r="F23" s="9">
        <v>159.07859692617356</v>
      </c>
      <c r="G23" s="9">
        <v>207.29206448873049</v>
      </c>
      <c r="H23" s="9">
        <v>210.48990474604713</v>
      </c>
      <c r="I23" s="3"/>
      <c r="J23" s="21">
        <v>19</v>
      </c>
      <c r="K23" s="27"/>
      <c r="L23" s="27"/>
      <c r="M23" s="27"/>
      <c r="N23" s="11"/>
      <c r="O23" s="9"/>
      <c r="P23" s="9"/>
      <c r="Q23" s="9"/>
      <c r="R23" s="9"/>
      <c r="T23" s="23">
        <v>19</v>
      </c>
      <c r="U23" s="28"/>
      <c r="V23" s="28"/>
      <c r="W23" s="28"/>
      <c r="X23" s="28"/>
      <c r="Y23" s="11"/>
      <c r="Z23" s="9"/>
      <c r="AA23" s="9"/>
      <c r="AB23" s="9"/>
      <c r="AC23" s="9"/>
      <c r="AE23" s="48" t="s">
        <v>21</v>
      </c>
      <c r="AF23" s="29">
        <v>426</v>
      </c>
      <c r="AG23" s="29">
        <v>575</v>
      </c>
      <c r="AH23" s="49" t="s">
        <v>21</v>
      </c>
      <c r="AI23" s="30">
        <v>416</v>
      </c>
      <c r="AJ23" s="30">
        <v>608</v>
      </c>
      <c r="AK23" s="48" t="s">
        <v>109</v>
      </c>
      <c r="AL23" s="29">
        <v>411</v>
      </c>
      <c r="AM23" s="29">
        <v>585</v>
      </c>
      <c r="AN23" s="49" t="s">
        <v>21</v>
      </c>
      <c r="AO23" s="30">
        <v>428</v>
      </c>
      <c r="AP23" s="30">
        <v>597</v>
      </c>
      <c r="AQ23" s="48" t="s">
        <v>21</v>
      </c>
      <c r="AR23" s="29">
        <v>425</v>
      </c>
      <c r="AS23" s="29">
        <v>572</v>
      </c>
    </row>
    <row r="24" spans="1:45">
      <c r="A24" s="24">
        <v>20</v>
      </c>
      <c r="B24" s="19"/>
      <c r="C24" s="19"/>
      <c r="D24" s="9"/>
      <c r="E24" s="9"/>
      <c r="F24" s="9"/>
      <c r="G24" s="9"/>
      <c r="H24" s="9"/>
      <c r="I24" s="3"/>
      <c r="J24" s="21">
        <v>20</v>
      </c>
      <c r="K24" s="27"/>
      <c r="L24" s="27"/>
      <c r="M24" s="27"/>
      <c r="N24" s="11"/>
      <c r="O24" s="9"/>
      <c r="P24" s="9"/>
      <c r="Q24" s="9"/>
      <c r="R24" s="9"/>
      <c r="T24" s="23">
        <v>20</v>
      </c>
      <c r="U24" s="28"/>
      <c r="V24" s="28"/>
      <c r="W24" s="28"/>
      <c r="X24" s="28"/>
      <c r="Y24" s="11"/>
      <c r="Z24" s="9"/>
      <c r="AA24" s="9"/>
      <c r="AB24" s="9"/>
      <c r="AC24" s="9"/>
      <c r="AE24" s="48" t="s">
        <v>22</v>
      </c>
      <c r="AF24" s="29">
        <v>512</v>
      </c>
      <c r="AG24" s="29">
        <v>564</v>
      </c>
      <c r="AH24" s="49" t="s">
        <v>22</v>
      </c>
      <c r="AI24" s="30">
        <v>502</v>
      </c>
      <c r="AJ24" s="30">
        <v>599</v>
      </c>
      <c r="AK24" s="48" t="s">
        <v>22</v>
      </c>
      <c r="AL24" s="29">
        <v>482</v>
      </c>
      <c r="AM24" s="29">
        <v>568</v>
      </c>
      <c r="AN24" s="49" t="s">
        <v>22</v>
      </c>
      <c r="AO24" s="30">
        <v>500</v>
      </c>
      <c r="AP24" s="30">
        <v>585</v>
      </c>
      <c r="AQ24" s="48" t="s">
        <v>22</v>
      </c>
      <c r="AR24" s="29">
        <v>504</v>
      </c>
      <c r="AS24" s="29">
        <v>565</v>
      </c>
    </row>
    <row r="25" spans="1:45" ht="15.75" customHeight="1">
      <c r="A25" s="24">
        <v>21</v>
      </c>
      <c r="B25" s="19"/>
      <c r="C25" s="19"/>
      <c r="D25" s="9"/>
      <c r="E25" s="9"/>
      <c r="F25" s="9"/>
      <c r="G25" s="9"/>
      <c r="H25" s="9"/>
      <c r="I25" s="3"/>
      <c r="J25" s="21">
        <v>21</v>
      </c>
      <c r="K25" s="27"/>
      <c r="L25" s="27"/>
      <c r="M25" s="27"/>
      <c r="N25" s="11"/>
      <c r="O25" s="9"/>
      <c r="P25" s="9"/>
      <c r="Q25" s="9"/>
      <c r="R25" s="9"/>
      <c r="T25" s="23">
        <v>21</v>
      </c>
      <c r="U25" s="28"/>
      <c r="V25" s="28"/>
      <c r="W25" s="28"/>
      <c r="X25" s="28"/>
      <c r="Y25" s="11"/>
      <c r="Z25" s="9"/>
      <c r="AA25" s="9"/>
      <c r="AB25" s="9"/>
      <c r="AC25" s="9"/>
      <c r="AE25" s="48" t="s">
        <v>23</v>
      </c>
      <c r="AF25" s="29">
        <v>435</v>
      </c>
      <c r="AG25" s="29">
        <v>503</v>
      </c>
      <c r="AH25" s="49" t="s">
        <v>23</v>
      </c>
      <c r="AI25" s="30">
        <v>429</v>
      </c>
      <c r="AJ25" s="30">
        <v>544</v>
      </c>
      <c r="AK25" s="48" t="s">
        <v>23</v>
      </c>
      <c r="AL25" s="29">
        <v>409</v>
      </c>
      <c r="AM25" s="29">
        <v>528</v>
      </c>
      <c r="AN25" s="49" t="s">
        <v>23</v>
      </c>
      <c r="AO25" s="30">
        <v>425</v>
      </c>
      <c r="AP25" s="30">
        <v>544</v>
      </c>
      <c r="AQ25" s="48" t="s">
        <v>23</v>
      </c>
      <c r="AR25" s="29">
        <v>429</v>
      </c>
      <c r="AS25" s="29">
        <v>519</v>
      </c>
    </row>
    <row r="26" spans="1:45" ht="16.5" customHeight="1">
      <c r="A26" s="24">
        <v>22</v>
      </c>
      <c r="B26" s="19"/>
      <c r="C26" s="19"/>
      <c r="D26" s="9"/>
      <c r="E26" s="9"/>
      <c r="F26" s="9"/>
      <c r="G26" s="9"/>
      <c r="H26" s="9"/>
      <c r="I26" s="3"/>
      <c r="J26" s="21">
        <v>22</v>
      </c>
      <c r="K26" s="27"/>
      <c r="L26" s="27"/>
      <c r="M26" s="27"/>
      <c r="N26" s="11"/>
      <c r="O26" s="9"/>
      <c r="P26" s="9"/>
      <c r="Q26" s="9"/>
      <c r="R26" s="9"/>
      <c r="T26" s="23">
        <v>22</v>
      </c>
      <c r="U26" s="28"/>
      <c r="V26" s="28"/>
      <c r="W26" s="28"/>
      <c r="X26" s="28"/>
      <c r="Y26" s="11"/>
      <c r="Z26" s="9"/>
      <c r="AA26" s="9"/>
      <c r="AB26" s="9"/>
      <c r="AC26" s="9"/>
      <c r="AE26" s="48" t="s">
        <v>24</v>
      </c>
      <c r="AF26" s="31">
        <v>1180</v>
      </c>
      <c r="AG26" s="31">
        <v>1180</v>
      </c>
      <c r="AH26" s="49" t="s">
        <v>24</v>
      </c>
      <c r="AI26" s="30">
        <v>1180</v>
      </c>
      <c r="AJ26" s="30">
        <v>1180</v>
      </c>
      <c r="AK26" s="48" t="s">
        <v>24</v>
      </c>
      <c r="AL26" s="31">
        <v>1180</v>
      </c>
      <c r="AM26" s="31">
        <v>1180</v>
      </c>
      <c r="AN26" s="49" t="s">
        <v>24</v>
      </c>
      <c r="AO26" s="30">
        <v>1180</v>
      </c>
      <c r="AP26" s="30">
        <v>1180</v>
      </c>
      <c r="AQ26" s="32" t="s">
        <v>24</v>
      </c>
      <c r="AR26" s="31">
        <v>1180</v>
      </c>
      <c r="AS26" s="31">
        <v>1180</v>
      </c>
    </row>
    <row r="27" spans="1:45">
      <c r="A27" s="24">
        <v>23</v>
      </c>
      <c r="B27" s="19"/>
      <c r="C27" s="19"/>
      <c r="D27" s="9"/>
      <c r="E27" s="9"/>
      <c r="F27" s="9"/>
      <c r="G27" s="9"/>
      <c r="H27" s="9"/>
      <c r="J27" s="21">
        <v>23</v>
      </c>
      <c r="K27" s="27"/>
      <c r="L27" s="27"/>
      <c r="M27" s="27"/>
      <c r="N27" s="11"/>
      <c r="O27" s="9"/>
      <c r="P27" s="9"/>
      <c r="Q27" s="9"/>
      <c r="R27" s="9"/>
      <c r="T27" s="23">
        <v>23</v>
      </c>
      <c r="U27" s="28"/>
      <c r="V27" s="28"/>
      <c r="W27" s="28"/>
      <c r="X27" s="28"/>
      <c r="Y27" s="11"/>
      <c r="Z27" s="9"/>
      <c r="AA27" s="9"/>
      <c r="AB27" s="9"/>
      <c r="AC27" s="9"/>
      <c r="AE27" s="46" t="s">
        <v>67</v>
      </c>
      <c r="AF27" s="8">
        <v>600</v>
      </c>
      <c r="AG27" s="37">
        <v>0</v>
      </c>
      <c r="AH27" s="46" t="s">
        <v>67</v>
      </c>
      <c r="AI27" s="9">
        <v>600</v>
      </c>
      <c r="AJ27" s="38">
        <v>0</v>
      </c>
      <c r="AK27" s="46" t="s">
        <v>67</v>
      </c>
      <c r="AL27" s="8">
        <v>600</v>
      </c>
      <c r="AM27" s="37">
        <v>0</v>
      </c>
      <c r="AN27" s="46" t="s">
        <v>67</v>
      </c>
      <c r="AO27" s="9">
        <v>600</v>
      </c>
      <c r="AP27" s="38">
        <v>0</v>
      </c>
      <c r="AQ27" s="46" t="s">
        <v>67</v>
      </c>
      <c r="AR27" s="8">
        <v>600</v>
      </c>
      <c r="AS27" s="37">
        <v>0</v>
      </c>
    </row>
    <row r="28" spans="1:45" s="7" customFormat="1">
      <c r="A28" s="24">
        <v>24</v>
      </c>
      <c r="B28" s="19"/>
      <c r="C28" s="19"/>
      <c r="D28" s="17"/>
      <c r="E28" s="12"/>
      <c r="F28" s="12"/>
      <c r="G28" s="12"/>
      <c r="H28" s="12"/>
      <c r="J28" s="21">
        <v>24</v>
      </c>
      <c r="K28" s="27"/>
      <c r="L28" s="27"/>
      <c r="M28" s="27"/>
      <c r="N28" s="17"/>
      <c r="O28" s="12"/>
      <c r="P28" s="12"/>
      <c r="Q28" s="12"/>
      <c r="R28" s="12"/>
      <c r="T28" s="23">
        <v>24</v>
      </c>
      <c r="U28" s="28"/>
      <c r="V28" s="28"/>
      <c r="W28" s="28"/>
      <c r="X28" s="28"/>
      <c r="Y28" s="17"/>
      <c r="Z28" s="12"/>
      <c r="AA28" s="12"/>
      <c r="AB28" s="12"/>
      <c r="AC28" s="12"/>
      <c r="AE28" s="46" t="s">
        <v>68</v>
      </c>
      <c r="AF28" s="8">
        <v>425</v>
      </c>
      <c r="AG28" s="37">
        <v>410</v>
      </c>
      <c r="AH28" s="46" t="s">
        <v>68</v>
      </c>
      <c r="AI28" s="9">
        <v>412</v>
      </c>
      <c r="AJ28" s="38">
        <v>439</v>
      </c>
      <c r="AK28" s="46" t="s">
        <v>68</v>
      </c>
      <c r="AL28" s="8">
        <v>423</v>
      </c>
      <c r="AM28" s="37">
        <v>454</v>
      </c>
      <c r="AN28" s="46" t="s">
        <v>68</v>
      </c>
      <c r="AO28" s="9">
        <v>437</v>
      </c>
      <c r="AP28" s="38">
        <v>446</v>
      </c>
      <c r="AQ28" s="46" t="s">
        <v>68</v>
      </c>
      <c r="AR28" s="8">
        <v>415</v>
      </c>
      <c r="AS28" s="37">
        <v>446</v>
      </c>
    </row>
    <row r="29" spans="1:45">
      <c r="A29" s="24">
        <v>25</v>
      </c>
      <c r="B29" s="19"/>
      <c r="C29" s="19"/>
      <c r="D29" s="18"/>
      <c r="E29" s="13"/>
      <c r="F29" s="9"/>
      <c r="G29" s="9"/>
      <c r="H29" s="9"/>
      <c r="J29" s="21">
        <v>25</v>
      </c>
      <c r="K29" s="27"/>
      <c r="L29" s="27"/>
      <c r="M29" s="27"/>
      <c r="N29" s="11"/>
      <c r="O29" s="9"/>
      <c r="P29" s="9"/>
      <c r="Q29" s="9"/>
      <c r="R29" s="9"/>
      <c r="T29" s="23">
        <v>25</v>
      </c>
      <c r="U29" s="28"/>
      <c r="V29" s="28"/>
      <c r="W29" s="28"/>
      <c r="X29" s="28"/>
      <c r="Y29" s="11"/>
      <c r="Z29" s="9"/>
      <c r="AA29" s="9"/>
      <c r="AB29" s="9"/>
      <c r="AC29" s="9"/>
      <c r="AE29" s="46" t="s">
        <v>69</v>
      </c>
      <c r="AF29" s="8">
        <v>294</v>
      </c>
      <c r="AG29" s="37">
        <v>462</v>
      </c>
      <c r="AH29" s="46" t="s">
        <v>69</v>
      </c>
      <c r="AI29" s="9">
        <v>256</v>
      </c>
      <c r="AJ29" s="38">
        <v>503</v>
      </c>
      <c r="AK29" s="46" t="s">
        <v>69</v>
      </c>
      <c r="AL29" s="8">
        <v>342</v>
      </c>
      <c r="AM29" s="37">
        <v>475</v>
      </c>
      <c r="AN29" s="46" t="s">
        <v>69</v>
      </c>
      <c r="AO29" s="9">
        <v>332</v>
      </c>
      <c r="AP29" s="38">
        <v>486</v>
      </c>
      <c r="AQ29" s="46" t="s">
        <v>69</v>
      </c>
      <c r="AR29" s="8">
        <v>308</v>
      </c>
      <c r="AS29" s="37">
        <v>507</v>
      </c>
    </row>
    <row r="30" spans="1:45">
      <c r="A30" s="24">
        <v>26</v>
      </c>
      <c r="B30" s="19"/>
      <c r="C30" s="19"/>
      <c r="D30" s="11"/>
      <c r="E30" s="9"/>
      <c r="F30" s="9"/>
      <c r="G30" s="9"/>
      <c r="H30" s="9"/>
      <c r="J30" s="21">
        <v>26</v>
      </c>
      <c r="K30" s="27"/>
      <c r="L30" s="27"/>
      <c r="M30" s="27"/>
      <c r="N30" s="11"/>
      <c r="O30" s="9"/>
      <c r="P30" s="9"/>
      <c r="Q30" s="9"/>
      <c r="R30" s="9"/>
      <c r="T30" s="23">
        <v>26</v>
      </c>
      <c r="U30" s="28"/>
      <c r="V30" s="28"/>
      <c r="W30" s="28"/>
      <c r="X30" s="28"/>
      <c r="Y30" s="11"/>
      <c r="Z30" s="9"/>
      <c r="AA30" s="9"/>
      <c r="AB30" s="9"/>
      <c r="AC30" s="9"/>
      <c r="AE30" s="46" t="s">
        <v>70</v>
      </c>
      <c r="AF30" s="8">
        <v>519</v>
      </c>
      <c r="AG30" s="37">
        <v>473</v>
      </c>
      <c r="AH30" s="46" t="s">
        <v>70</v>
      </c>
      <c r="AI30" s="9">
        <v>506</v>
      </c>
      <c r="AJ30" s="38">
        <v>469</v>
      </c>
      <c r="AK30" s="46" t="s">
        <v>70</v>
      </c>
      <c r="AL30" s="8">
        <v>501</v>
      </c>
      <c r="AM30" s="37">
        <v>480</v>
      </c>
      <c r="AN30" s="46" t="s">
        <v>70</v>
      </c>
      <c r="AO30" s="9">
        <v>539</v>
      </c>
      <c r="AP30" s="38">
        <v>497</v>
      </c>
      <c r="AQ30" s="46" t="s">
        <v>70</v>
      </c>
      <c r="AR30" s="8">
        <v>517</v>
      </c>
      <c r="AS30" s="37">
        <v>482</v>
      </c>
    </row>
    <row r="31" spans="1:45">
      <c r="A31" s="24">
        <v>27</v>
      </c>
      <c r="B31" s="19"/>
      <c r="C31" s="19"/>
      <c r="D31" s="11"/>
      <c r="E31" s="9"/>
      <c r="F31" s="9"/>
      <c r="G31" s="9"/>
      <c r="H31" s="9"/>
      <c r="J31" s="21">
        <v>27</v>
      </c>
      <c r="K31" s="27"/>
      <c r="L31" s="27"/>
      <c r="M31" s="27"/>
      <c r="N31" s="11"/>
      <c r="O31" s="9"/>
      <c r="P31" s="9"/>
      <c r="Q31" s="9"/>
      <c r="R31" s="9"/>
      <c r="T31" s="23">
        <v>27</v>
      </c>
      <c r="U31" s="28"/>
      <c r="V31" s="28"/>
      <c r="W31" s="28"/>
      <c r="X31" s="28"/>
      <c r="Y31" s="11"/>
      <c r="Z31" s="9"/>
      <c r="AA31" s="9"/>
      <c r="AB31" s="9"/>
      <c r="AC31" s="9"/>
      <c r="AE31" s="46" t="s">
        <v>71</v>
      </c>
      <c r="AF31" s="8">
        <v>423</v>
      </c>
      <c r="AG31" s="37">
        <v>458</v>
      </c>
      <c r="AH31" s="46" t="s">
        <v>71</v>
      </c>
      <c r="AI31" s="9">
        <v>396</v>
      </c>
      <c r="AJ31" s="38">
        <v>469</v>
      </c>
      <c r="AK31" s="46" t="s">
        <v>71</v>
      </c>
      <c r="AL31" s="8">
        <v>421</v>
      </c>
      <c r="AM31" s="37">
        <v>483</v>
      </c>
      <c r="AN31" s="46" t="s">
        <v>71</v>
      </c>
      <c r="AO31" s="9">
        <v>430</v>
      </c>
      <c r="AP31" s="38">
        <v>483</v>
      </c>
      <c r="AQ31" s="46" t="s">
        <v>71</v>
      </c>
      <c r="AR31" s="8">
        <v>419</v>
      </c>
      <c r="AS31" s="37">
        <v>477</v>
      </c>
    </row>
    <row r="32" spans="1:45">
      <c r="A32" s="24">
        <v>28</v>
      </c>
      <c r="B32" s="19"/>
      <c r="C32" s="19"/>
      <c r="D32" s="11"/>
      <c r="E32" s="9"/>
      <c r="F32" s="9"/>
      <c r="G32" s="9"/>
      <c r="H32" s="9"/>
      <c r="J32" s="21">
        <v>28</v>
      </c>
      <c r="K32" s="27"/>
      <c r="L32" s="27"/>
      <c r="M32" s="27"/>
      <c r="N32" s="11"/>
      <c r="O32" s="9"/>
      <c r="P32" s="9"/>
      <c r="Q32" s="9"/>
      <c r="R32" s="9"/>
      <c r="T32" s="23">
        <v>28</v>
      </c>
      <c r="U32" s="28"/>
      <c r="V32" s="28"/>
      <c r="W32" s="28"/>
      <c r="X32" s="28"/>
      <c r="Y32" s="11"/>
      <c r="Z32" s="9"/>
      <c r="AA32" s="9"/>
      <c r="AB32" s="9"/>
      <c r="AC32" s="9"/>
      <c r="AE32" s="46"/>
      <c r="AF32" s="8"/>
      <c r="AG32" s="37"/>
      <c r="AH32" s="46"/>
      <c r="AI32" s="9"/>
      <c r="AJ32" s="38"/>
      <c r="AK32" s="46"/>
      <c r="AL32" s="8"/>
      <c r="AM32" s="37"/>
      <c r="AN32" s="46"/>
      <c r="AO32" s="9"/>
      <c r="AP32" s="38"/>
      <c r="AQ32" s="46"/>
      <c r="AR32" s="8"/>
      <c r="AS32" s="37"/>
    </row>
    <row r="33" spans="1:45">
      <c r="A33" s="24">
        <v>29</v>
      </c>
      <c r="B33" s="19"/>
      <c r="C33" s="19"/>
      <c r="D33" s="11"/>
      <c r="E33" s="9"/>
      <c r="F33" s="9"/>
      <c r="G33" s="9"/>
      <c r="H33" s="9"/>
      <c r="J33" s="21">
        <v>29</v>
      </c>
      <c r="K33" s="27"/>
      <c r="L33" s="27"/>
      <c r="M33" s="27"/>
      <c r="N33" s="11"/>
      <c r="O33" s="9"/>
      <c r="P33" s="9"/>
      <c r="Q33" s="9"/>
      <c r="R33" s="9"/>
      <c r="T33" s="23">
        <v>29</v>
      </c>
      <c r="U33" s="28"/>
      <c r="V33" s="28"/>
      <c r="W33" s="28"/>
      <c r="X33" s="28"/>
      <c r="Y33" s="11"/>
      <c r="Z33" s="9"/>
      <c r="AA33" s="9"/>
      <c r="AB33" s="9"/>
      <c r="AC33" s="9"/>
      <c r="AE33" s="46"/>
      <c r="AF33" s="8"/>
      <c r="AG33" s="37"/>
      <c r="AH33" s="47"/>
      <c r="AI33" s="9"/>
      <c r="AJ33" s="38"/>
      <c r="AK33" s="46"/>
      <c r="AL33" s="8"/>
      <c r="AM33" s="37"/>
      <c r="AN33" s="47"/>
      <c r="AO33" s="9"/>
      <c r="AP33" s="38"/>
      <c r="AQ33" s="46"/>
      <c r="AR33" s="8"/>
      <c r="AS33" s="37"/>
    </row>
    <row r="34" spans="1:45">
      <c r="A34" s="24">
        <v>30</v>
      </c>
      <c r="B34" s="19"/>
      <c r="C34" s="19"/>
      <c r="D34" s="11"/>
      <c r="E34" s="9"/>
      <c r="F34" s="9"/>
      <c r="G34" s="9"/>
      <c r="H34" s="9"/>
      <c r="J34" s="21">
        <v>30</v>
      </c>
      <c r="K34" s="27"/>
      <c r="L34" s="27"/>
      <c r="M34" s="27"/>
      <c r="N34" s="11"/>
      <c r="O34" s="9"/>
      <c r="P34" s="9"/>
      <c r="Q34" s="9"/>
      <c r="R34" s="9"/>
      <c r="T34" s="23">
        <v>30</v>
      </c>
      <c r="U34" s="28"/>
      <c r="V34" s="28"/>
      <c r="W34" s="28"/>
      <c r="X34" s="28"/>
      <c r="Y34" s="11"/>
      <c r="Z34" s="9"/>
      <c r="AA34" s="9"/>
      <c r="AB34" s="9"/>
      <c r="AC34" s="9"/>
      <c r="AE34" s="26"/>
      <c r="AF34" s="8"/>
      <c r="AG34" s="6"/>
      <c r="AH34" s="5"/>
      <c r="AI34" s="9"/>
      <c r="AJ34" s="16"/>
      <c r="AK34" s="26"/>
      <c r="AL34" s="8"/>
      <c r="AM34" s="6"/>
      <c r="AN34" s="5"/>
      <c r="AO34" s="9"/>
      <c r="AP34" s="16"/>
      <c r="AQ34" s="26"/>
      <c r="AR34" s="8"/>
      <c r="AS34" s="6"/>
    </row>
    <row r="35" spans="1:45">
      <c r="A35" s="25"/>
      <c r="B35" s="15"/>
      <c r="C35" s="15"/>
      <c r="D35" s="14"/>
      <c r="E35" s="14"/>
    </row>
    <row r="36" spans="1:45" ht="15.75" customHeight="1">
      <c r="A36" s="79" t="s">
        <v>64</v>
      </c>
      <c r="B36" s="79"/>
      <c r="C36" s="79"/>
      <c r="D36" s="79"/>
      <c r="E36" s="79"/>
      <c r="F36" s="79"/>
      <c r="G36" s="79"/>
      <c r="H36" s="79"/>
      <c r="I36" s="20"/>
      <c r="J36" s="79" t="s">
        <v>64</v>
      </c>
      <c r="K36" s="80"/>
      <c r="L36" s="80"/>
      <c r="M36" s="80"/>
      <c r="N36" s="80"/>
      <c r="O36" s="80"/>
      <c r="P36" s="80"/>
      <c r="Q36" s="80"/>
      <c r="R36" s="80"/>
      <c r="T36" s="79" t="s">
        <v>64</v>
      </c>
      <c r="U36" s="80"/>
      <c r="V36" s="80"/>
      <c r="W36" s="80"/>
      <c r="X36" s="80"/>
      <c r="Y36" s="80"/>
      <c r="Z36" s="80"/>
      <c r="AA36" s="80"/>
      <c r="AB36" s="80"/>
      <c r="AC36" s="80"/>
      <c r="AE36" s="80" t="s">
        <v>63</v>
      </c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</row>
    <row r="37" spans="1:45" ht="15.75" customHeight="1">
      <c r="A37" s="79"/>
      <c r="B37" s="79"/>
      <c r="C37" s="79"/>
      <c r="D37" s="79"/>
      <c r="E37" s="79"/>
      <c r="F37" s="79"/>
      <c r="G37" s="79"/>
      <c r="H37" s="79"/>
      <c r="I37" s="20"/>
      <c r="J37" s="80"/>
      <c r="K37" s="80"/>
      <c r="L37" s="80"/>
      <c r="M37" s="80"/>
      <c r="N37" s="80"/>
      <c r="O37" s="80"/>
      <c r="P37" s="80"/>
      <c r="Q37" s="80"/>
      <c r="R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</row>
    <row r="38" spans="1:45">
      <c r="A38" s="79"/>
      <c r="B38" s="79"/>
      <c r="C38" s="79"/>
      <c r="D38" s="79"/>
      <c r="E38" s="79"/>
      <c r="F38" s="79"/>
      <c r="G38" s="79"/>
      <c r="H38" s="79"/>
      <c r="J38" s="80"/>
      <c r="K38" s="80"/>
      <c r="L38" s="80"/>
      <c r="M38" s="80"/>
      <c r="N38" s="80"/>
      <c r="O38" s="80"/>
      <c r="P38" s="80"/>
      <c r="Q38" s="80"/>
      <c r="R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</row>
    <row r="39" spans="1:45">
      <c r="A39" s="25"/>
      <c r="B39" s="15"/>
      <c r="C39" s="15"/>
      <c r="D39" s="14"/>
      <c r="E39" s="14"/>
    </row>
    <row r="40" spans="1:45">
      <c r="A40" s="25"/>
      <c r="B40" s="15"/>
      <c r="C40" s="15"/>
      <c r="D40" s="14"/>
      <c r="E40" s="14"/>
    </row>
    <row r="41" spans="1:45">
      <c r="A41" s="25"/>
      <c r="B41" s="15"/>
      <c r="C41" s="15"/>
      <c r="D41" s="14"/>
      <c r="E41" s="14"/>
    </row>
    <row r="42" spans="1:45">
      <c r="A42" s="25"/>
      <c r="B42" s="15"/>
      <c r="C42" s="15"/>
      <c r="D42" s="14"/>
      <c r="E42" s="14"/>
    </row>
    <row r="43" spans="1:45">
      <c r="A43" s="25"/>
      <c r="B43" s="15"/>
      <c r="C43" s="15"/>
      <c r="D43" s="14"/>
      <c r="E43" s="14"/>
    </row>
    <row r="44" spans="1:45">
      <c r="A44" s="25"/>
      <c r="B44" s="15"/>
      <c r="C44" s="15"/>
      <c r="D44" s="14"/>
      <c r="E44" s="14"/>
    </row>
    <row r="45" spans="1:45">
      <c r="A45" s="25"/>
      <c r="B45" s="15"/>
      <c r="C45" s="15"/>
      <c r="D45" s="14"/>
      <c r="E45" s="14"/>
    </row>
    <row r="46" spans="1:45">
      <c r="A46" s="25"/>
      <c r="B46" s="15"/>
      <c r="C46" s="15"/>
      <c r="D46" s="14"/>
      <c r="E46" s="14"/>
    </row>
    <row r="47" spans="1:45">
      <c r="A47" s="25"/>
      <c r="B47" s="15"/>
      <c r="C47" s="15"/>
      <c r="D47" s="14"/>
      <c r="E47" s="14"/>
    </row>
    <row r="48" spans="1:45">
      <c r="A48" s="25"/>
      <c r="B48" s="15"/>
      <c r="C48" s="15"/>
      <c r="D48" s="14"/>
      <c r="E48" s="14"/>
    </row>
    <row r="49" spans="1:5">
      <c r="A49" s="25"/>
      <c r="B49" s="15"/>
      <c r="C49" s="15"/>
      <c r="D49" s="14"/>
      <c r="E49" s="14"/>
    </row>
    <row r="50" spans="1:5">
      <c r="A50" s="25"/>
      <c r="B50" s="15"/>
      <c r="C50" s="15"/>
      <c r="D50" s="14"/>
      <c r="E50" s="14"/>
    </row>
    <row r="51" spans="1:5">
      <c r="A51" s="25"/>
      <c r="B51" s="15"/>
      <c r="C51" s="15"/>
      <c r="D51" s="14"/>
      <c r="E51" s="14"/>
    </row>
    <row r="52" spans="1:5">
      <c r="A52" s="25"/>
      <c r="B52" s="15"/>
      <c r="C52" s="15"/>
      <c r="D52" s="14"/>
      <c r="E52" s="14"/>
    </row>
  </sheetData>
  <mergeCells count="27">
    <mergeCell ref="AK2:AM2"/>
    <mergeCell ref="A1:H1"/>
    <mergeCell ref="J1:R1"/>
    <mergeCell ref="T1:AC1"/>
    <mergeCell ref="AE1:AS1"/>
    <mergeCell ref="A2:C4"/>
    <mergeCell ref="D2:F3"/>
    <mergeCell ref="G2:H3"/>
    <mergeCell ref="J2:M4"/>
    <mergeCell ref="N2:P3"/>
    <mergeCell ref="Q2:R3"/>
    <mergeCell ref="A36:H38"/>
    <mergeCell ref="J36:R38"/>
    <mergeCell ref="T36:AC38"/>
    <mergeCell ref="AE36:AS38"/>
    <mergeCell ref="AN2:AP2"/>
    <mergeCell ref="AQ2:AS2"/>
    <mergeCell ref="AF3:AG3"/>
    <mergeCell ref="AI3:AJ3"/>
    <mergeCell ref="AL3:AM3"/>
    <mergeCell ref="AO3:AP3"/>
    <mergeCell ref="AR3:AS3"/>
    <mergeCell ref="T2:X4"/>
    <mergeCell ref="Y2:AA3"/>
    <mergeCell ref="AB2:AC3"/>
    <mergeCell ref="AE2:AG2"/>
    <mergeCell ref="AH2:AJ2"/>
  </mergeCells>
  <phoneticPr fontId="7" type="noConversion"/>
  <conditionalFormatting sqref="Y1:AC1 Y4:AC35 Y2 Y39:AC1048576">
    <cfRule type="cellIs" dxfId="23" priority="1" operator="lessThan">
      <formula>0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A1:AS52"/>
  <sheetViews>
    <sheetView topLeftCell="F1" zoomScale="85" zoomScaleNormal="85" workbookViewId="0">
      <selection activeCell="AI3" sqref="AI3:AJ3"/>
    </sheetView>
  </sheetViews>
  <sheetFormatPr defaultColWidth="9" defaultRowHeight="15.5"/>
  <cols>
    <col min="1" max="1" width="3.58203125" style="22" customWidth="1"/>
    <col min="2" max="3" width="3.58203125" style="4" customWidth="1"/>
    <col min="4" max="8" width="10.58203125" style="10" customWidth="1"/>
    <col min="9" max="9" width="2.08203125" style="1" customWidth="1"/>
    <col min="10" max="10" width="3.58203125" style="22" customWidth="1"/>
    <col min="11" max="12" width="3.58203125" style="4" customWidth="1"/>
    <col min="13" max="13" width="3.08203125" style="4" bestFit="1" customWidth="1"/>
    <col min="14" max="18" width="10.58203125" style="10" customWidth="1"/>
    <col min="19" max="19" width="2.08203125" style="1" customWidth="1"/>
    <col min="20" max="20" width="3.58203125" style="22" customWidth="1"/>
    <col min="21" max="23" width="3.58203125" style="4" customWidth="1"/>
    <col min="24" max="24" width="3.08203125" style="4" bestFit="1" customWidth="1"/>
    <col min="25" max="29" width="10.58203125" style="10" customWidth="1"/>
    <col min="30" max="30" width="2.08203125" style="1" customWidth="1"/>
    <col min="31" max="31" width="7.58203125" style="4" customWidth="1"/>
    <col min="32" max="32" width="10.58203125" style="10" customWidth="1"/>
    <col min="33" max="33" width="10.58203125" style="1" customWidth="1"/>
    <col min="34" max="34" width="7.58203125" style="4" customWidth="1"/>
    <col min="35" max="35" width="10.58203125" style="10" customWidth="1"/>
    <col min="36" max="36" width="10.58203125" style="1" customWidth="1"/>
    <col min="37" max="37" width="7.58203125" style="4" customWidth="1"/>
    <col min="38" max="38" width="10.58203125" style="10" customWidth="1"/>
    <col min="39" max="39" width="10.58203125" style="1" customWidth="1"/>
    <col min="40" max="40" width="7.58203125" style="4" customWidth="1"/>
    <col min="41" max="41" width="10.58203125" style="10" customWidth="1"/>
    <col min="42" max="42" width="10.58203125" style="1" customWidth="1"/>
    <col min="43" max="16384" width="9" style="1"/>
  </cols>
  <sheetData>
    <row r="1" spans="1:45" ht="24" customHeight="1">
      <c r="A1" s="57" t="s">
        <v>58</v>
      </c>
      <c r="B1" s="57"/>
      <c r="C1" s="57"/>
      <c r="D1" s="57"/>
      <c r="E1" s="57"/>
      <c r="F1" s="57"/>
      <c r="G1" s="57"/>
      <c r="H1" s="58"/>
      <c r="J1" s="59" t="s">
        <v>60</v>
      </c>
      <c r="K1" s="59"/>
      <c r="L1" s="59"/>
      <c r="M1" s="59"/>
      <c r="N1" s="59"/>
      <c r="O1" s="59"/>
      <c r="P1" s="59"/>
      <c r="Q1" s="59"/>
      <c r="R1" s="59"/>
      <c r="T1" s="60" t="s">
        <v>59</v>
      </c>
      <c r="U1" s="60"/>
      <c r="V1" s="60"/>
      <c r="W1" s="60"/>
      <c r="X1" s="60"/>
      <c r="Y1" s="60"/>
      <c r="Z1" s="60"/>
      <c r="AA1" s="60"/>
      <c r="AB1" s="60"/>
      <c r="AC1" s="60"/>
      <c r="AE1" s="61" t="s">
        <v>179</v>
      </c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</row>
    <row r="2" spans="1:45" s="2" customFormat="1" ht="19.5" customHeight="1">
      <c r="A2" s="63" t="s">
        <v>55</v>
      </c>
      <c r="B2" s="63"/>
      <c r="C2" s="63"/>
      <c r="D2" s="65"/>
      <c r="E2" s="66"/>
      <c r="F2" s="67"/>
      <c r="G2" s="65"/>
      <c r="H2" s="67"/>
      <c r="J2" s="71" t="s">
        <v>56</v>
      </c>
      <c r="K2" s="71"/>
      <c r="L2" s="71"/>
      <c r="M2" s="71"/>
      <c r="N2" s="73"/>
      <c r="O2" s="74"/>
      <c r="P2" s="75"/>
      <c r="Q2" s="73"/>
      <c r="R2" s="75"/>
      <c r="T2" s="90" t="s">
        <v>57</v>
      </c>
      <c r="U2" s="90"/>
      <c r="V2" s="90"/>
      <c r="W2" s="90"/>
      <c r="X2" s="90"/>
      <c r="Y2" s="92"/>
      <c r="Z2" s="93"/>
      <c r="AA2" s="94"/>
      <c r="AB2" s="92"/>
      <c r="AC2" s="94"/>
      <c r="AE2" s="54" t="s">
        <v>120</v>
      </c>
      <c r="AF2" s="55"/>
      <c r="AG2" s="56"/>
      <c r="AH2" s="81" t="s">
        <v>121</v>
      </c>
      <c r="AI2" s="82"/>
      <c r="AJ2" s="83"/>
      <c r="AK2" s="54" t="s">
        <v>122</v>
      </c>
      <c r="AL2" s="55"/>
      <c r="AM2" s="56"/>
      <c r="AN2" s="81" t="s">
        <v>123</v>
      </c>
      <c r="AO2" s="82"/>
      <c r="AP2" s="83"/>
      <c r="AQ2" s="54" t="s">
        <v>124</v>
      </c>
      <c r="AR2" s="55"/>
      <c r="AS2" s="56"/>
    </row>
    <row r="3" spans="1:45" ht="16.5" customHeight="1">
      <c r="A3" s="63"/>
      <c r="B3" s="63"/>
      <c r="C3" s="63"/>
      <c r="D3" s="68"/>
      <c r="E3" s="69"/>
      <c r="F3" s="70"/>
      <c r="G3" s="68"/>
      <c r="H3" s="70"/>
      <c r="J3" s="71"/>
      <c r="K3" s="71"/>
      <c r="L3" s="71"/>
      <c r="M3" s="71"/>
      <c r="N3" s="76"/>
      <c r="O3" s="77"/>
      <c r="P3" s="78"/>
      <c r="Q3" s="76"/>
      <c r="R3" s="78"/>
      <c r="T3" s="90"/>
      <c r="U3" s="90"/>
      <c r="V3" s="90"/>
      <c r="W3" s="90"/>
      <c r="X3" s="90"/>
      <c r="Y3" s="95"/>
      <c r="Z3" s="96"/>
      <c r="AA3" s="97"/>
      <c r="AB3" s="95"/>
      <c r="AC3" s="97"/>
      <c r="AE3" s="48" t="s">
        <v>178</v>
      </c>
      <c r="AF3" s="85" t="s">
        <v>177</v>
      </c>
      <c r="AG3" s="85"/>
      <c r="AH3" s="52" t="s">
        <v>178</v>
      </c>
      <c r="AI3" s="85" t="s">
        <v>177</v>
      </c>
      <c r="AJ3" s="85"/>
      <c r="AK3" s="52" t="s">
        <v>178</v>
      </c>
      <c r="AL3" s="85" t="s">
        <v>177</v>
      </c>
      <c r="AM3" s="85"/>
      <c r="AN3" s="52" t="s">
        <v>178</v>
      </c>
      <c r="AO3" s="85" t="s">
        <v>177</v>
      </c>
      <c r="AP3" s="85"/>
      <c r="AQ3" s="52" t="s">
        <v>178</v>
      </c>
      <c r="AR3" s="85" t="s">
        <v>177</v>
      </c>
      <c r="AS3" s="85"/>
    </row>
    <row r="4" spans="1:45" s="4" customFormat="1" ht="15.75" customHeight="1">
      <c r="A4" s="63"/>
      <c r="B4" s="64"/>
      <c r="C4" s="64"/>
      <c r="D4" s="19" t="s">
        <v>25</v>
      </c>
      <c r="E4" s="19" t="s">
        <v>26</v>
      </c>
      <c r="F4" s="19" t="s">
        <v>27</v>
      </c>
      <c r="G4" s="19" t="s">
        <v>28</v>
      </c>
      <c r="H4" s="19" t="s">
        <v>29</v>
      </c>
      <c r="J4" s="71"/>
      <c r="K4" s="72"/>
      <c r="L4" s="72"/>
      <c r="M4" s="72"/>
      <c r="N4" s="27" t="s">
        <v>25</v>
      </c>
      <c r="O4" s="27" t="s">
        <v>26</v>
      </c>
      <c r="P4" s="27" t="s">
        <v>27</v>
      </c>
      <c r="Q4" s="27" t="s">
        <v>28</v>
      </c>
      <c r="R4" s="27" t="s">
        <v>29</v>
      </c>
      <c r="T4" s="90"/>
      <c r="U4" s="91"/>
      <c r="V4" s="91"/>
      <c r="W4" s="91"/>
      <c r="X4" s="91"/>
      <c r="Y4" s="28" t="s">
        <v>25</v>
      </c>
      <c r="Z4" s="28" t="s">
        <v>26</v>
      </c>
      <c r="AA4" s="28" t="s">
        <v>27</v>
      </c>
      <c r="AB4" s="28" t="s">
        <v>28</v>
      </c>
      <c r="AC4" s="28" t="s">
        <v>29</v>
      </c>
      <c r="AE4" s="48"/>
      <c r="AF4" s="48" t="s">
        <v>0</v>
      </c>
      <c r="AG4" s="48" t="s">
        <v>1</v>
      </c>
      <c r="AH4" s="48"/>
      <c r="AI4" s="48" t="s">
        <v>0</v>
      </c>
      <c r="AJ4" s="48" t="s">
        <v>1</v>
      </c>
      <c r="AK4" s="48" t="s">
        <v>2</v>
      </c>
      <c r="AL4" s="48" t="s">
        <v>0</v>
      </c>
      <c r="AM4" s="48" t="s">
        <v>1</v>
      </c>
      <c r="AN4" s="49" t="s">
        <v>2</v>
      </c>
      <c r="AO4" s="49" t="s">
        <v>0</v>
      </c>
      <c r="AP4" s="49" t="s">
        <v>1</v>
      </c>
      <c r="AQ4" s="48" t="s">
        <v>2</v>
      </c>
      <c r="AR4" s="48" t="s">
        <v>0</v>
      </c>
      <c r="AS4" s="48" t="s">
        <v>1</v>
      </c>
    </row>
    <row r="5" spans="1:45">
      <c r="A5" s="24">
        <v>1</v>
      </c>
      <c r="B5" s="19" t="s">
        <v>30</v>
      </c>
      <c r="C5" s="19" t="s">
        <v>32</v>
      </c>
      <c r="D5" s="11">
        <v>375</v>
      </c>
      <c r="E5" s="9">
        <v>384</v>
      </c>
      <c r="F5" s="9">
        <v>351</v>
      </c>
      <c r="G5" s="9">
        <v>366</v>
      </c>
      <c r="H5" s="9">
        <v>328</v>
      </c>
      <c r="J5" s="21">
        <v>1</v>
      </c>
      <c r="K5" s="27" t="s">
        <v>30</v>
      </c>
      <c r="L5" s="27" t="s">
        <v>35</v>
      </c>
      <c r="M5" s="27" t="s">
        <v>38</v>
      </c>
      <c r="N5" s="9">
        <v>72.74254661817416</v>
      </c>
      <c r="O5" s="9">
        <v>71.952178931228943</v>
      </c>
      <c r="P5" s="9">
        <v>68.644329656077588</v>
      </c>
      <c r="Q5" s="9">
        <v>67.65523270867979</v>
      </c>
      <c r="R5" s="9">
        <v>67.272753529333741</v>
      </c>
      <c r="T5" s="23">
        <v>1</v>
      </c>
      <c r="U5" s="28" t="s">
        <v>30</v>
      </c>
      <c r="V5" s="28" t="s">
        <v>35</v>
      </c>
      <c r="W5" s="28" t="s">
        <v>37</v>
      </c>
      <c r="X5" s="28" t="s">
        <v>38</v>
      </c>
      <c r="Y5" s="11">
        <v>39375</v>
      </c>
      <c r="Z5" s="9">
        <v>44544</v>
      </c>
      <c r="AA5" s="9">
        <v>39663</v>
      </c>
      <c r="AB5" s="9">
        <v>49044</v>
      </c>
      <c r="AC5" s="9">
        <v>36408</v>
      </c>
      <c r="AE5" s="48" t="s">
        <v>3</v>
      </c>
      <c r="AF5" s="29">
        <v>600</v>
      </c>
      <c r="AG5" s="29">
        <v>436</v>
      </c>
      <c r="AH5" s="48" t="s">
        <v>3</v>
      </c>
      <c r="AI5" s="29">
        <v>600</v>
      </c>
      <c r="AJ5" s="29">
        <v>407</v>
      </c>
      <c r="AK5" s="48" t="s">
        <v>3</v>
      </c>
      <c r="AL5" s="29">
        <v>600</v>
      </c>
      <c r="AM5" s="29">
        <v>519</v>
      </c>
      <c r="AN5" s="48" t="s">
        <v>3</v>
      </c>
      <c r="AO5" s="29">
        <v>600</v>
      </c>
      <c r="AP5" s="29">
        <v>435</v>
      </c>
      <c r="AQ5" s="48" t="s">
        <v>3</v>
      </c>
      <c r="AR5" s="29">
        <v>600</v>
      </c>
      <c r="AS5" s="29">
        <v>498</v>
      </c>
    </row>
    <row r="6" spans="1:45">
      <c r="A6" s="24">
        <v>2</v>
      </c>
      <c r="B6" s="19" t="s">
        <v>30</v>
      </c>
      <c r="C6" s="19" t="s">
        <v>33</v>
      </c>
      <c r="D6" s="11">
        <v>487</v>
      </c>
      <c r="E6" s="9">
        <v>520</v>
      </c>
      <c r="F6" s="9">
        <v>456</v>
      </c>
      <c r="G6" s="9">
        <v>502</v>
      </c>
      <c r="H6" s="9">
        <v>438</v>
      </c>
      <c r="J6" s="21">
        <v>2</v>
      </c>
      <c r="K6" s="27" t="s">
        <v>31</v>
      </c>
      <c r="L6" s="27" t="s">
        <v>41</v>
      </c>
      <c r="M6" s="27" t="s">
        <v>34</v>
      </c>
      <c r="N6" s="9">
        <v>97.820798372544516</v>
      </c>
      <c r="O6" s="9">
        <v>96.64314823847792</v>
      </c>
      <c r="P6" s="9">
        <v>89.499485969127235</v>
      </c>
      <c r="Q6" s="9">
        <v>90.028191745010361</v>
      </c>
      <c r="R6" s="9">
        <v>100.013727405018</v>
      </c>
      <c r="T6" s="23">
        <v>2</v>
      </c>
      <c r="U6" s="28" t="s">
        <v>31</v>
      </c>
      <c r="V6" s="28" t="s">
        <v>41</v>
      </c>
      <c r="W6" s="28" t="s">
        <v>34</v>
      </c>
      <c r="X6" s="28" t="s">
        <v>42</v>
      </c>
      <c r="Y6" s="11">
        <v>218736</v>
      </c>
      <c r="Z6" s="9">
        <v>238857</v>
      </c>
      <c r="AA6" s="9">
        <v>216808</v>
      </c>
      <c r="AB6" s="9">
        <v>254045</v>
      </c>
      <c r="AC6" s="9">
        <v>191642</v>
      </c>
      <c r="AE6" s="48" t="s">
        <v>4</v>
      </c>
      <c r="AF6" s="29">
        <v>495</v>
      </c>
      <c r="AG6" s="29">
        <v>774</v>
      </c>
      <c r="AH6" s="48" t="s">
        <v>4</v>
      </c>
      <c r="AI6" s="29">
        <v>484</v>
      </c>
      <c r="AJ6" s="29">
        <v>763</v>
      </c>
      <c r="AK6" s="48" t="s">
        <v>4</v>
      </c>
      <c r="AL6" s="29">
        <v>487</v>
      </c>
      <c r="AM6" s="29">
        <v>808</v>
      </c>
      <c r="AN6" s="48" t="s">
        <v>4</v>
      </c>
      <c r="AO6" s="29">
        <v>466</v>
      </c>
      <c r="AP6" s="29">
        <v>761</v>
      </c>
      <c r="AQ6" s="48" t="s">
        <v>4</v>
      </c>
      <c r="AR6" s="29">
        <v>489</v>
      </c>
      <c r="AS6" s="29">
        <v>763</v>
      </c>
    </row>
    <row r="7" spans="1:45">
      <c r="A7" s="24">
        <v>3</v>
      </c>
      <c r="B7" s="19" t="s">
        <v>31</v>
      </c>
      <c r="C7" s="19" t="s">
        <v>34</v>
      </c>
      <c r="D7" s="11">
        <v>744</v>
      </c>
      <c r="E7" s="9">
        <v>773</v>
      </c>
      <c r="F7" s="9">
        <v>661</v>
      </c>
      <c r="G7" s="9">
        <v>745</v>
      </c>
      <c r="H7" s="9">
        <v>682</v>
      </c>
      <c r="J7" s="21">
        <v>3</v>
      </c>
      <c r="K7" s="27" t="s">
        <v>31</v>
      </c>
      <c r="L7" s="27" t="s">
        <v>44</v>
      </c>
      <c r="M7" s="27" t="s">
        <v>37</v>
      </c>
      <c r="N7" s="9">
        <v>55.613400564992332</v>
      </c>
      <c r="O7" s="9">
        <v>51.169351888371644</v>
      </c>
      <c r="P7" s="9">
        <v>52.152868860870043</v>
      </c>
      <c r="Q7" s="9">
        <v>47.89126959622056</v>
      </c>
      <c r="R7" s="9">
        <v>52.456920376758369</v>
      </c>
      <c r="T7" s="23">
        <v>3</v>
      </c>
      <c r="U7" s="28" t="s">
        <v>41</v>
      </c>
      <c r="V7" s="28" t="s">
        <v>39</v>
      </c>
      <c r="W7" s="28" t="s">
        <v>34</v>
      </c>
      <c r="X7" s="28" t="s">
        <v>42</v>
      </c>
      <c r="Y7" s="11">
        <v>72506</v>
      </c>
      <c r="Z7" s="9">
        <v>76606.5</v>
      </c>
      <c r="AA7" s="9">
        <v>95557.5</v>
      </c>
      <c r="AB7" s="9">
        <v>83449</v>
      </c>
      <c r="AC7" s="9">
        <v>88996.5</v>
      </c>
      <c r="AE7" s="48" t="s">
        <v>5</v>
      </c>
      <c r="AF7" s="29">
        <v>600</v>
      </c>
      <c r="AG7" s="29">
        <v>811</v>
      </c>
      <c r="AH7" s="48" t="s">
        <v>5</v>
      </c>
      <c r="AI7" s="29">
        <v>600</v>
      </c>
      <c r="AJ7" s="29">
        <v>791</v>
      </c>
      <c r="AK7" s="48" t="s">
        <v>5</v>
      </c>
      <c r="AL7" s="29">
        <v>600</v>
      </c>
      <c r="AM7" s="29">
        <v>870</v>
      </c>
      <c r="AN7" s="48" t="s">
        <v>5</v>
      </c>
      <c r="AO7" s="29">
        <v>600</v>
      </c>
      <c r="AP7" s="29">
        <v>801</v>
      </c>
      <c r="AQ7" s="48" t="s">
        <v>5</v>
      </c>
      <c r="AR7" s="29">
        <v>600</v>
      </c>
      <c r="AS7" s="29">
        <v>826</v>
      </c>
    </row>
    <row r="8" spans="1:45" ht="15.75" customHeight="1">
      <c r="A8" s="24">
        <v>4</v>
      </c>
      <c r="B8" s="19" t="s">
        <v>35</v>
      </c>
      <c r="C8" s="19" t="s">
        <v>38</v>
      </c>
      <c r="D8" s="11">
        <v>210</v>
      </c>
      <c r="E8" s="9">
        <v>232</v>
      </c>
      <c r="F8" s="9">
        <v>226</v>
      </c>
      <c r="G8" s="9">
        <v>268</v>
      </c>
      <c r="H8" s="9">
        <v>222</v>
      </c>
      <c r="J8" s="21">
        <v>4</v>
      </c>
      <c r="K8" s="27" t="s">
        <v>35</v>
      </c>
      <c r="L8" s="27" t="s">
        <v>37</v>
      </c>
      <c r="M8" s="27" t="s">
        <v>38</v>
      </c>
      <c r="N8" s="9">
        <v>141.17702628263285</v>
      </c>
      <c r="O8" s="9">
        <v>152.85913122967696</v>
      </c>
      <c r="P8" s="9">
        <v>122.49526314557133</v>
      </c>
      <c r="Q8" s="9">
        <v>146.7584861722159</v>
      </c>
      <c r="R8" s="9">
        <v>120.84432263747736</v>
      </c>
      <c r="T8" s="23">
        <v>4</v>
      </c>
      <c r="U8" s="28" t="s">
        <v>46</v>
      </c>
      <c r="V8" s="28" t="s">
        <v>43</v>
      </c>
      <c r="W8" s="28" t="s">
        <v>33</v>
      </c>
      <c r="X8" s="28" t="s">
        <v>47</v>
      </c>
      <c r="Y8" s="11">
        <v>339599</v>
      </c>
      <c r="Z8" s="9">
        <v>405818.5</v>
      </c>
      <c r="AA8" s="9">
        <v>407613</v>
      </c>
      <c r="AB8" s="9">
        <v>451930.5</v>
      </c>
      <c r="AC8" s="9">
        <v>386184</v>
      </c>
      <c r="AE8" s="48" t="s">
        <v>6</v>
      </c>
      <c r="AF8" s="29">
        <f>AF7+(AF7-AF6)</f>
        <v>705</v>
      </c>
      <c r="AG8" s="29">
        <f>AG6</f>
        <v>774</v>
      </c>
      <c r="AH8" s="48" t="s">
        <v>6</v>
      </c>
      <c r="AI8" s="29">
        <f>AI7+(AI7-AI6)</f>
        <v>716</v>
      </c>
      <c r="AJ8" s="29">
        <f>AJ6</f>
        <v>763</v>
      </c>
      <c r="AK8" s="48" t="s">
        <v>6</v>
      </c>
      <c r="AL8" s="29">
        <f t="shared" ref="AL8" si="0">AL7+(AL7-AL6)</f>
        <v>713</v>
      </c>
      <c r="AM8" s="29">
        <f t="shared" ref="AM8" si="1">AM6</f>
        <v>808</v>
      </c>
      <c r="AN8" s="48" t="s">
        <v>6</v>
      </c>
      <c r="AO8" s="29">
        <f t="shared" ref="AO8" si="2">AO7+(AO7-AO6)</f>
        <v>734</v>
      </c>
      <c r="AP8" s="29">
        <f t="shared" ref="AP8" si="3">AP6</f>
        <v>761</v>
      </c>
      <c r="AQ8" s="48" t="s">
        <v>6</v>
      </c>
      <c r="AR8" s="29">
        <f t="shared" ref="AR8" si="4">AR7+(AR7-AR6)</f>
        <v>711</v>
      </c>
      <c r="AS8" s="29">
        <f t="shared" ref="AS8" si="5">AS6</f>
        <v>763</v>
      </c>
    </row>
    <row r="9" spans="1:45" ht="15.75" customHeight="1">
      <c r="A9" s="24">
        <v>5</v>
      </c>
      <c r="B9" s="19" t="s">
        <v>36</v>
      </c>
      <c r="C9" s="19" t="s">
        <v>33</v>
      </c>
      <c r="D9" s="11">
        <v>112</v>
      </c>
      <c r="E9" s="9">
        <v>136</v>
      </c>
      <c r="F9" s="9">
        <v>105</v>
      </c>
      <c r="G9" s="9">
        <v>136</v>
      </c>
      <c r="H9" s="9">
        <v>110</v>
      </c>
      <c r="J9" s="21">
        <v>5</v>
      </c>
      <c r="K9" s="27" t="s">
        <v>39</v>
      </c>
      <c r="L9" s="27" t="s">
        <v>34</v>
      </c>
      <c r="M9" s="27" t="s">
        <v>61</v>
      </c>
      <c r="N9" s="9">
        <v>143.79247393098672</v>
      </c>
      <c r="O9" s="9">
        <v>141.16906908807397</v>
      </c>
      <c r="P9" s="9">
        <v>128.84541844512364</v>
      </c>
      <c r="Q9" s="9">
        <v>146.51605922941377</v>
      </c>
      <c r="R9" s="9">
        <v>133.94901598294391</v>
      </c>
      <c r="T9" s="23">
        <v>5</v>
      </c>
      <c r="U9" s="28" t="s">
        <v>48</v>
      </c>
      <c r="V9" s="28" t="s">
        <v>43</v>
      </c>
      <c r="W9" s="28" t="s">
        <v>34</v>
      </c>
      <c r="X9" s="28" t="s">
        <v>44</v>
      </c>
      <c r="Y9" s="11">
        <v>362674</v>
      </c>
      <c r="Z9" s="9">
        <v>415063</v>
      </c>
      <c r="AA9" s="9">
        <v>354420</v>
      </c>
      <c r="AB9" s="9">
        <v>411450</v>
      </c>
      <c r="AC9" s="9">
        <v>334324</v>
      </c>
      <c r="AE9" s="48" t="s">
        <v>77</v>
      </c>
      <c r="AF9" s="29">
        <v>600</v>
      </c>
      <c r="AG9" s="29">
        <v>923</v>
      </c>
      <c r="AH9" s="48" t="s">
        <v>77</v>
      </c>
      <c r="AI9" s="29">
        <v>600</v>
      </c>
      <c r="AJ9" s="29">
        <v>927</v>
      </c>
      <c r="AK9" s="48" t="s">
        <v>77</v>
      </c>
      <c r="AL9" s="29">
        <v>600</v>
      </c>
      <c r="AM9" s="29">
        <v>975</v>
      </c>
      <c r="AN9" s="48" t="s">
        <v>77</v>
      </c>
      <c r="AO9" s="29">
        <v>600</v>
      </c>
      <c r="AP9" s="29">
        <v>937</v>
      </c>
      <c r="AQ9" s="48" t="s">
        <v>77</v>
      </c>
      <c r="AR9" s="29">
        <v>600</v>
      </c>
      <c r="AS9" s="29">
        <v>936</v>
      </c>
    </row>
    <row r="10" spans="1:45">
      <c r="A10" s="24">
        <v>6</v>
      </c>
      <c r="B10" s="19" t="s">
        <v>37</v>
      </c>
      <c r="C10" s="19" t="s">
        <v>34</v>
      </c>
      <c r="D10" s="11">
        <v>369</v>
      </c>
      <c r="E10" s="9">
        <v>389</v>
      </c>
      <c r="F10" s="9">
        <v>310</v>
      </c>
      <c r="G10" s="9">
        <v>379</v>
      </c>
      <c r="H10" s="9">
        <v>354</v>
      </c>
      <c r="J10" s="21">
        <v>6</v>
      </c>
      <c r="K10" s="27" t="s">
        <v>40</v>
      </c>
      <c r="L10" s="27" t="s">
        <v>34</v>
      </c>
      <c r="M10" s="27" t="s">
        <v>62</v>
      </c>
      <c r="N10" s="9">
        <v>18.103763034506628</v>
      </c>
      <c r="O10" s="9">
        <v>19.415465455963005</v>
      </c>
      <c r="P10" s="9">
        <v>25.577290777438169</v>
      </c>
      <c r="Q10" s="9">
        <v>16.741970385293136</v>
      </c>
      <c r="R10" s="9">
        <v>23.025492008528051</v>
      </c>
      <c r="T10" s="23">
        <v>6</v>
      </c>
      <c r="U10" s="28" t="s">
        <v>52</v>
      </c>
      <c r="V10" s="28" t="s">
        <v>53</v>
      </c>
      <c r="W10" s="28" t="s">
        <v>54</v>
      </c>
      <c r="X10" s="28" t="s">
        <v>50</v>
      </c>
      <c r="Y10" s="11">
        <v>3706.5</v>
      </c>
      <c r="Z10" s="9">
        <v>5810</v>
      </c>
      <c r="AA10" s="9">
        <v>5219</v>
      </c>
      <c r="AB10" s="9">
        <v>4952</v>
      </c>
      <c r="AC10" s="9">
        <v>4261</v>
      </c>
      <c r="AE10" s="48" t="s">
        <v>8</v>
      </c>
      <c r="AF10" s="29">
        <v>496</v>
      </c>
      <c r="AG10" s="29">
        <v>1146</v>
      </c>
      <c r="AH10" s="48" t="s">
        <v>8</v>
      </c>
      <c r="AI10" s="29">
        <v>478</v>
      </c>
      <c r="AJ10" s="29">
        <v>1137</v>
      </c>
      <c r="AK10" s="48" t="s">
        <v>8</v>
      </c>
      <c r="AL10" s="29">
        <v>483</v>
      </c>
      <c r="AM10" s="29">
        <v>1124</v>
      </c>
      <c r="AN10" s="48" t="s">
        <v>8</v>
      </c>
      <c r="AO10" s="29">
        <v>477</v>
      </c>
      <c r="AP10" s="29">
        <v>1143</v>
      </c>
      <c r="AQ10" s="48" t="s">
        <v>8</v>
      </c>
      <c r="AR10" s="29">
        <v>480</v>
      </c>
      <c r="AS10" s="29">
        <v>1129</v>
      </c>
    </row>
    <row r="11" spans="1:45">
      <c r="A11" s="24">
        <v>7</v>
      </c>
      <c r="B11" s="19" t="s">
        <v>39</v>
      </c>
      <c r="C11" s="19" t="s">
        <v>40</v>
      </c>
      <c r="D11" s="11">
        <v>208</v>
      </c>
      <c r="E11" s="9">
        <v>244</v>
      </c>
      <c r="F11" s="9">
        <v>234</v>
      </c>
      <c r="G11" s="9">
        <v>246</v>
      </c>
      <c r="H11" s="9">
        <v>240</v>
      </c>
      <c r="J11" s="21">
        <v>7</v>
      </c>
      <c r="K11" s="27" t="s">
        <v>41</v>
      </c>
      <c r="L11" s="27" t="s">
        <v>34</v>
      </c>
      <c r="M11" s="27" t="s">
        <v>62</v>
      </c>
      <c r="N11" s="9">
        <v>142.69605172201656</v>
      </c>
      <c r="O11" s="9">
        <v>143.93956500315153</v>
      </c>
      <c r="P11" s="9">
        <v>140.43581806429987</v>
      </c>
      <c r="Q11" s="9">
        <v>146.81696153493496</v>
      </c>
      <c r="R11" s="9">
        <v>134.89823140451267</v>
      </c>
      <c r="T11" s="23">
        <v>7</v>
      </c>
      <c r="U11" s="35" t="s">
        <v>76</v>
      </c>
      <c r="V11" s="35" t="s">
        <v>73</v>
      </c>
      <c r="W11" s="35" t="s">
        <v>75</v>
      </c>
      <c r="X11" s="35" t="s">
        <v>74</v>
      </c>
      <c r="Y11" s="11">
        <v>3978.5</v>
      </c>
      <c r="Z11" s="9">
        <v>5155.5</v>
      </c>
      <c r="AA11" s="9">
        <v>3589.5</v>
      </c>
      <c r="AB11" s="9">
        <v>4609</v>
      </c>
      <c r="AC11" s="9">
        <v>2496</v>
      </c>
      <c r="AE11" s="48" t="s">
        <v>9</v>
      </c>
      <c r="AF11" s="29">
        <v>600</v>
      </c>
      <c r="AG11" s="29">
        <v>1180</v>
      </c>
      <c r="AH11" s="48" t="s">
        <v>9</v>
      </c>
      <c r="AI11" s="29">
        <v>600</v>
      </c>
      <c r="AJ11" s="29">
        <v>1180</v>
      </c>
      <c r="AK11" s="48" t="s">
        <v>9</v>
      </c>
      <c r="AL11" s="29">
        <v>600</v>
      </c>
      <c r="AM11" s="29">
        <v>1180</v>
      </c>
      <c r="AN11" s="48" t="s">
        <v>9</v>
      </c>
      <c r="AO11" s="29">
        <v>600</v>
      </c>
      <c r="AP11" s="29">
        <v>1180</v>
      </c>
      <c r="AQ11" s="48" t="s">
        <v>9</v>
      </c>
      <c r="AR11" s="29">
        <v>600</v>
      </c>
      <c r="AS11" s="29">
        <v>1180</v>
      </c>
    </row>
    <row r="12" spans="1:45">
      <c r="A12" s="24">
        <v>8</v>
      </c>
      <c r="B12" s="19" t="s">
        <v>41</v>
      </c>
      <c r="C12" s="19" t="s">
        <v>42</v>
      </c>
      <c r="D12" s="11">
        <v>588</v>
      </c>
      <c r="E12" s="9">
        <v>618</v>
      </c>
      <c r="F12" s="9">
        <v>656</v>
      </c>
      <c r="G12" s="9">
        <v>682</v>
      </c>
      <c r="H12" s="9">
        <v>562</v>
      </c>
      <c r="J12" s="21">
        <v>8</v>
      </c>
      <c r="K12" s="27" t="s">
        <v>42</v>
      </c>
      <c r="L12" s="27" t="s">
        <v>34</v>
      </c>
      <c r="M12" s="27" t="s">
        <v>62</v>
      </c>
      <c r="N12" s="9">
        <v>37.303948277983437</v>
      </c>
      <c r="O12" s="9">
        <v>36.060434996848478</v>
      </c>
      <c r="P12" s="9">
        <v>39.564181935700127</v>
      </c>
      <c r="Q12" s="9">
        <v>33.18303846506501</v>
      </c>
      <c r="R12" s="9">
        <v>45.101768595487343</v>
      </c>
      <c r="T12" s="23">
        <v>8</v>
      </c>
      <c r="U12" s="28"/>
      <c r="V12" s="28"/>
      <c r="W12" s="28"/>
      <c r="X12" s="28"/>
      <c r="Y12" s="11"/>
      <c r="Z12" s="9"/>
      <c r="AA12" s="9"/>
      <c r="AB12" s="9"/>
      <c r="AC12" s="9"/>
      <c r="AE12" s="48" t="s">
        <v>10</v>
      </c>
      <c r="AF12" s="29">
        <f>AF11+(AF11-AF10)</f>
        <v>704</v>
      </c>
      <c r="AG12" s="29">
        <f>AG10</f>
        <v>1146</v>
      </c>
      <c r="AH12" s="48" t="s">
        <v>10</v>
      </c>
      <c r="AI12" s="29">
        <f>AI11+(AI11-AI10)</f>
        <v>722</v>
      </c>
      <c r="AJ12" s="29">
        <f>AJ10</f>
        <v>1137</v>
      </c>
      <c r="AK12" s="48" t="s">
        <v>10</v>
      </c>
      <c r="AL12" s="29">
        <f t="shared" ref="AL12" si="6">AL11+(AL11-AL10)</f>
        <v>717</v>
      </c>
      <c r="AM12" s="29">
        <f t="shared" ref="AM12" si="7">AM10</f>
        <v>1124</v>
      </c>
      <c r="AN12" s="48" t="s">
        <v>10</v>
      </c>
      <c r="AO12" s="29">
        <f t="shared" ref="AO12" si="8">AO11+(AO11-AO10)</f>
        <v>723</v>
      </c>
      <c r="AP12" s="29">
        <f t="shared" ref="AP12" si="9">AP10</f>
        <v>1143</v>
      </c>
      <c r="AQ12" s="48" t="s">
        <v>10</v>
      </c>
      <c r="AR12" s="29">
        <f t="shared" ref="AR12" si="10">AR11+(AR11-AR10)</f>
        <v>720</v>
      </c>
      <c r="AS12" s="29">
        <f t="shared" ref="AS12" si="11">AS10</f>
        <v>1129</v>
      </c>
    </row>
    <row r="13" spans="1:45">
      <c r="A13" s="24">
        <v>9</v>
      </c>
      <c r="B13" s="19" t="s">
        <v>43</v>
      </c>
      <c r="C13" s="19" t="s">
        <v>44</v>
      </c>
      <c r="D13" s="11">
        <v>676</v>
      </c>
      <c r="E13" s="9">
        <v>778</v>
      </c>
      <c r="F13" s="9">
        <v>716</v>
      </c>
      <c r="G13" s="9">
        <v>780</v>
      </c>
      <c r="H13" s="9">
        <v>664</v>
      </c>
      <c r="J13" s="21">
        <v>9</v>
      </c>
      <c r="K13" s="27" t="s">
        <v>43</v>
      </c>
      <c r="L13" s="27" t="s">
        <v>41</v>
      </c>
      <c r="M13" s="27" t="s">
        <v>34</v>
      </c>
      <c r="N13" s="9">
        <v>137.48526828449783</v>
      </c>
      <c r="O13" s="9">
        <v>142.00583089777129</v>
      </c>
      <c r="P13" s="9">
        <v>138.17983011986422</v>
      </c>
      <c r="Q13" s="9">
        <v>134.86441325245605</v>
      </c>
      <c r="R13" s="9">
        <v>146.41170106950759</v>
      </c>
      <c r="T13" s="23">
        <v>9</v>
      </c>
      <c r="U13" s="28"/>
      <c r="V13" s="28"/>
      <c r="W13" s="28"/>
      <c r="X13" s="28"/>
      <c r="Y13" s="11"/>
      <c r="Z13" s="9"/>
      <c r="AA13" s="9"/>
      <c r="AB13" s="9"/>
      <c r="AC13" s="9"/>
      <c r="AE13" s="48" t="s">
        <v>11</v>
      </c>
      <c r="AF13" s="29">
        <v>306</v>
      </c>
      <c r="AG13" s="29">
        <v>956</v>
      </c>
      <c r="AH13" s="48" t="s">
        <v>11</v>
      </c>
      <c r="AI13" s="29">
        <v>291</v>
      </c>
      <c r="AJ13" s="29">
        <v>955</v>
      </c>
      <c r="AK13" s="48" t="s">
        <v>11</v>
      </c>
      <c r="AL13" s="29">
        <v>272</v>
      </c>
      <c r="AM13" s="29">
        <v>909</v>
      </c>
      <c r="AN13" s="48" t="s">
        <v>11</v>
      </c>
      <c r="AO13" s="29">
        <v>259</v>
      </c>
      <c r="AP13" s="29">
        <v>957</v>
      </c>
      <c r="AQ13" s="48" t="s">
        <v>11</v>
      </c>
      <c r="AR13" s="29">
        <v>319</v>
      </c>
      <c r="AS13" s="29">
        <v>898</v>
      </c>
    </row>
    <row r="14" spans="1:45">
      <c r="A14" s="24">
        <v>10</v>
      </c>
      <c r="B14" s="19" t="s">
        <v>45</v>
      </c>
      <c r="C14" s="19" t="s">
        <v>43</v>
      </c>
      <c r="D14" s="11">
        <v>55.659680200302986</v>
      </c>
      <c r="E14" s="9">
        <v>67.268120235368556</v>
      </c>
      <c r="F14" s="9">
        <v>74.006756448313553</v>
      </c>
      <c r="G14" s="9">
        <v>82.734515167492219</v>
      </c>
      <c r="H14" s="9">
        <v>85.052924699859673</v>
      </c>
      <c r="J14" s="21">
        <v>10</v>
      </c>
      <c r="K14" s="27" t="s">
        <v>44</v>
      </c>
      <c r="L14" s="27" t="s">
        <v>32</v>
      </c>
      <c r="M14" s="27" t="s">
        <v>62</v>
      </c>
      <c r="N14" s="9">
        <v>48.946072024293606</v>
      </c>
      <c r="O14" s="9">
        <v>50.453956063794088</v>
      </c>
      <c r="P14" s="9">
        <v>52.071373197102361</v>
      </c>
      <c r="Q14" s="9">
        <v>44.895623383143494</v>
      </c>
      <c r="R14" s="9">
        <v>60.261353738178748</v>
      </c>
      <c r="T14" s="23">
        <v>10</v>
      </c>
      <c r="U14" s="28"/>
      <c r="V14" s="28"/>
      <c r="W14" s="28"/>
      <c r="X14" s="28"/>
      <c r="Y14" s="11"/>
      <c r="Z14" s="9"/>
      <c r="AA14" s="9"/>
      <c r="AB14" s="9"/>
      <c r="AC14" s="9"/>
      <c r="AE14" s="48" t="s">
        <v>12</v>
      </c>
      <c r="AF14" s="29">
        <f>600+(600-AF13)</f>
        <v>894</v>
      </c>
      <c r="AG14" s="29">
        <f>AG13</f>
        <v>956</v>
      </c>
      <c r="AH14" s="48" t="s">
        <v>12</v>
      </c>
      <c r="AI14" s="29">
        <f>600+(600-AI13)</f>
        <v>909</v>
      </c>
      <c r="AJ14" s="29">
        <f>AJ13</f>
        <v>955</v>
      </c>
      <c r="AK14" s="48" t="s">
        <v>12</v>
      </c>
      <c r="AL14" s="29">
        <f t="shared" ref="AL14" si="12">600+(600-AL13)</f>
        <v>928</v>
      </c>
      <c r="AM14" s="29">
        <f t="shared" ref="AM14" si="13">AM13</f>
        <v>909</v>
      </c>
      <c r="AN14" s="48" t="s">
        <v>12</v>
      </c>
      <c r="AO14" s="29">
        <f t="shared" ref="AO14" si="14">600+(600-AO13)</f>
        <v>941</v>
      </c>
      <c r="AP14" s="29">
        <f t="shared" ref="AP14" si="15">AP13</f>
        <v>957</v>
      </c>
      <c r="AQ14" s="48" t="s">
        <v>12</v>
      </c>
      <c r="AR14" s="29">
        <f t="shared" ref="AR14" si="16">600+(600-AR13)</f>
        <v>881</v>
      </c>
      <c r="AS14" s="29">
        <f t="shared" ref="AS14" si="17">AS13</f>
        <v>898</v>
      </c>
    </row>
    <row r="15" spans="1:45">
      <c r="A15" s="24">
        <v>11</v>
      </c>
      <c r="B15" s="19" t="s">
        <v>46</v>
      </c>
      <c r="C15" s="19" t="s">
        <v>47</v>
      </c>
      <c r="D15" s="11">
        <v>572</v>
      </c>
      <c r="E15" s="9">
        <v>660</v>
      </c>
      <c r="F15" s="9">
        <v>608</v>
      </c>
      <c r="G15" s="9">
        <v>734</v>
      </c>
      <c r="H15" s="9">
        <v>648</v>
      </c>
      <c r="J15" s="21">
        <v>11</v>
      </c>
      <c r="K15" s="27" t="s">
        <v>44</v>
      </c>
      <c r="L15" s="27" t="s">
        <v>33</v>
      </c>
      <c r="M15" s="27" t="s">
        <v>62</v>
      </c>
      <c r="N15" s="9">
        <v>55.995012591126475</v>
      </c>
      <c r="O15" s="9">
        <v>56.50292983348259</v>
      </c>
      <c r="P15" s="9">
        <v>55.872049945064802</v>
      </c>
      <c r="Q15" s="9">
        <v>51.824014900350974</v>
      </c>
      <c r="R15" s="9">
        <v>64.245359599119425</v>
      </c>
      <c r="T15" s="23">
        <v>11</v>
      </c>
      <c r="U15" s="28"/>
      <c r="V15" s="28"/>
      <c r="W15" s="28"/>
      <c r="X15" s="28"/>
      <c r="Y15" s="11"/>
      <c r="Z15" s="9"/>
      <c r="AA15" s="9"/>
      <c r="AB15" s="9"/>
      <c r="AC15" s="9"/>
      <c r="AE15" s="48" t="s">
        <v>13</v>
      </c>
      <c r="AF15" s="29">
        <v>262</v>
      </c>
      <c r="AG15" s="29">
        <v>711</v>
      </c>
      <c r="AH15" s="48" t="s">
        <v>13</v>
      </c>
      <c r="AI15" s="29">
        <v>211</v>
      </c>
      <c r="AJ15" s="29">
        <v>675</v>
      </c>
      <c r="AK15" s="48" t="s">
        <v>13</v>
      </c>
      <c r="AL15" s="29">
        <v>242</v>
      </c>
      <c r="AM15" s="29">
        <v>711</v>
      </c>
      <c r="AN15" s="48" t="s">
        <v>13</v>
      </c>
      <c r="AO15" s="29">
        <v>210</v>
      </c>
      <c r="AP15" s="29">
        <v>720</v>
      </c>
      <c r="AQ15" s="48" t="s">
        <v>13</v>
      </c>
      <c r="AR15" s="29">
        <v>268</v>
      </c>
      <c r="AS15" s="29">
        <v>643</v>
      </c>
    </row>
    <row r="16" spans="1:45" ht="15.75" customHeight="1">
      <c r="A16" s="24">
        <v>12</v>
      </c>
      <c r="B16" s="19" t="s">
        <v>48</v>
      </c>
      <c r="C16" s="19" t="s">
        <v>31</v>
      </c>
      <c r="D16" s="11">
        <v>329</v>
      </c>
      <c r="E16" s="9">
        <v>294</v>
      </c>
      <c r="F16" s="9">
        <v>329</v>
      </c>
      <c r="G16" s="9">
        <v>310</v>
      </c>
      <c r="H16" s="9">
        <v>325</v>
      </c>
      <c r="J16" s="21">
        <v>12</v>
      </c>
      <c r="K16" s="27" t="s">
        <v>47</v>
      </c>
      <c r="L16" s="27" t="s">
        <v>30</v>
      </c>
      <c r="M16" s="27" t="s">
        <v>62</v>
      </c>
      <c r="N16" s="9">
        <v>100.80059733651719</v>
      </c>
      <c r="O16" s="9">
        <v>98.377499935563179</v>
      </c>
      <c r="P16" s="9">
        <v>105.89477164953682</v>
      </c>
      <c r="Q16" s="9">
        <v>97.56295447870437</v>
      </c>
      <c r="R16" s="9">
        <v>103.68502462568274</v>
      </c>
      <c r="T16" s="23">
        <v>12</v>
      </c>
      <c r="U16" s="28"/>
      <c r="V16" s="28"/>
      <c r="W16" s="28"/>
      <c r="X16" s="28"/>
      <c r="Y16" s="11"/>
      <c r="Z16" s="9"/>
      <c r="AA16" s="9"/>
      <c r="AB16" s="9"/>
      <c r="AC16" s="9"/>
      <c r="AE16" s="48" t="s">
        <v>14</v>
      </c>
      <c r="AF16" s="29">
        <f>600+(600-AF15)</f>
        <v>938</v>
      </c>
      <c r="AG16" s="29">
        <f>AG15</f>
        <v>711</v>
      </c>
      <c r="AH16" s="48" t="s">
        <v>14</v>
      </c>
      <c r="AI16" s="29">
        <f>600+(600-AI15)</f>
        <v>989</v>
      </c>
      <c r="AJ16" s="29">
        <f>AJ15</f>
        <v>675</v>
      </c>
      <c r="AK16" s="48" t="s">
        <v>14</v>
      </c>
      <c r="AL16" s="29">
        <f t="shared" ref="AL16" si="18">600+(600-AL15)</f>
        <v>958</v>
      </c>
      <c r="AM16" s="29">
        <f t="shared" ref="AM16" si="19">AM15</f>
        <v>711</v>
      </c>
      <c r="AN16" s="48" t="s">
        <v>14</v>
      </c>
      <c r="AO16" s="29">
        <f t="shared" ref="AO16" si="20">600+(600-AO15)</f>
        <v>990</v>
      </c>
      <c r="AP16" s="29">
        <f t="shared" ref="AP16" si="21">AP15</f>
        <v>720</v>
      </c>
      <c r="AQ16" s="48" t="s">
        <v>14</v>
      </c>
      <c r="AR16" s="29">
        <f t="shared" ref="AR16" si="22">600+(600-AR15)</f>
        <v>932</v>
      </c>
      <c r="AS16" s="29">
        <f t="shared" ref="AS16" si="23">AS15</f>
        <v>643</v>
      </c>
    </row>
    <row r="17" spans="1:45" ht="15.75" customHeight="1">
      <c r="A17" s="24">
        <v>13</v>
      </c>
      <c r="B17" s="19" t="s">
        <v>49</v>
      </c>
      <c r="C17" s="19" t="s">
        <v>37</v>
      </c>
      <c r="D17" s="11">
        <v>704</v>
      </c>
      <c r="E17" s="9">
        <v>678</v>
      </c>
      <c r="F17" s="9">
        <v>680</v>
      </c>
      <c r="G17" s="9">
        <v>676</v>
      </c>
      <c r="H17" s="9">
        <v>653</v>
      </c>
      <c r="J17" s="21">
        <v>13</v>
      </c>
      <c r="K17" s="27" t="s">
        <v>47</v>
      </c>
      <c r="L17" s="27" t="s">
        <v>48</v>
      </c>
      <c r="M17" s="27" t="s">
        <v>62</v>
      </c>
      <c r="N17" s="9">
        <v>61.005997939769074</v>
      </c>
      <c r="O17" s="9">
        <v>68.212431831275467</v>
      </c>
      <c r="P17" s="9">
        <v>84.673254734704713</v>
      </c>
      <c r="Q17" s="9">
        <v>70.94020892245554</v>
      </c>
      <c r="R17" s="9">
        <v>80.692948877419667</v>
      </c>
      <c r="T17" s="23">
        <v>13</v>
      </c>
      <c r="U17" s="28"/>
      <c r="V17" s="28"/>
      <c r="W17" s="28"/>
      <c r="X17" s="28"/>
      <c r="Y17" s="11"/>
      <c r="Z17" s="9"/>
      <c r="AA17" s="9"/>
      <c r="AB17" s="9"/>
      <c r="AC17" s="9"/>
      <c r="AE17" s="48" t="s">
        <v>15</v>
      </c>
      <c r="AF17" s="29">
        <v>209</v>
      </c>
      <c r="AG17" s="29">
        <v>728</v>
      </c>
      <c r="AH17" s="48" t="s">
        <v>15</v>
      </c>
      <c r="AI17" s="29">
        <v>144</v>
      </c>
      <c r="AJ17" s="29">
        <v>681</v>
      </c>
      <c r="AK17" s="48" t="s">
        <v>15</v>
      </c>
      <c r="AL17" s="29">
        <v>168</v>
      </c>
      <c r="AM17" s="29">
        <v>712</v>
      </c>
      <c r="AN17" s="48" t="s">
        <v>15</v>
      </c>
      <c r="AO17" s="29">
        <v>136</v>
      </c>
      <c r="AP17" s="29">
        <v>757</v>
      </c>
      <c r="AQ17" s="48" t="s">
        <v>15</v>
      </c>
      <c r="AR17" s="29">
        <v>183</v>
      </c>
      <c r="AS17" s="29">
        <v>640</v>
      </c>
    </row>
    <row r="18" spans="1:45">
      <c r="A18" s="24">
        <v>14</v>
      </c>
      <c r="B18" s="19" t="s">
        <v>49</v>
      </c>
      <c r="C18" s="19" t="s">
        <v>33</v>
      </c>
      <c r="D18" s="11">
        <v>816</v>
      </c>
      <c r="E18" s="9">
        <v>814</v>
      </c>
      <c r="F18" s="9">
        <v>785</v>
      </c>
      <c r="G18" s="9">
        <v>812</v>
      </c>
      <c r="H18" s="9">
        <v>763</v>
      </c>
      <c r="J18" s="21">
        <v>14</v>
      </c>
      <c r="K18" s="44" t="s">
        <v>48</v>
      </c>
      <c r="L18" s="44" t="s">
        <v>78</v>
      </c>
      <c r="M18" s="44" t="s">
        <v>79</v>
      </c>
      <c r="N18" s="11">
        <v>41.228397726100717</v>
      </c>
      <c r="O18" s="9">
        <v>35.508905135926632</v>
      </c>
      <c r="P18" s="9">
        <v>34.068381155099217</v>
      </c>
      <c r="Q18" s="9">
        <v>40.367111465004719</v>
      </c>
      <c r="R18" s="9">
        <v>55.002913446444857</v>
      </c>
      <c r="T18" s="23">
        <v>14</v>
      </c>
      <c r="U18" s="28"/>
      <c r="V18" s="28"/>
      <c r="W18" s="28"/>
      <c r="X18" s="28"/>
      <c r="Y18" s="11"/>
      <c r="Z18" s="9"/>
      <c r="AA18" s="9"/>
      <c r="AB18" s="9"/>
      <c r="AC18" s="9"/>
      <c r="AE18" s="48" t="s">
        <v>16</v>
      </c>
      <c r="AF18" s="29">
        <f>600+(600-AF17)</f>
        <v>991</v>
      </c>
      <c r="AG18" s="29">
        <f>AG17</f>
        <v>728</v>
      </c>
      <c r="AH18" s="48" t="s">
        <v>16</v>
      </c>
      <c r="AI18" s="29">
        <f>600+(600-AI17)</f>
        <v>1056</v>
      </c>
      <c r="AJ18" s="29">
        <f>AJ17</f>
        <v>681</v>
      </c>
      <c r="AK18" s="48" t="s">
        <v>16</v>
      </c>
      <c r="AL18" s="29">
        <f t="shared" ref="AL18" si="24">600+(600-AL17)</f>
        <v>1032</v>
      </c>
      <c r="AM18" s="29">
        <f t="shared" ref="AM18" si="25">AM17</f>
        <v>712</v>
      </c>
      <c r="AN18" s="48" t="s">
        <v>16</v>
      </c>
      <c r="AO18" s="29">
        <f t="shared" ref="AO18" si="26">600+(600-AO17)</f>
        <v>1064</v>
      </c>
      <c r="AP18" s="29">
        <f t="shared" ref="AP18" si="27">AP17</f>
        <v>757</v>
      </c>
      <c r="AQ18" s="48" t="s">
        <v>16</v>
      </c>
      <c r="AR18" s="29">
        <f t="shared" ref="AR18" si="28">600+(600-AR17)</f>
        <v>1017</v>
      </c>
      <c r="AS18" s="29">
        <f t="shared" ref="AS18" si="29">AS17</f>
        <v>640</v>
      </c>
    </row>
    <row r="19" spans="1:45">
      <c r="A19" s="24">
        <v>15</v>
      </c>
      <c r="B19" s="19" t="s">
        <v>48</v>
      </c>
      <c r="C19" s="19" t="s">
        <v>34</v>
      </c>
      <c r="D19" s="11">
        <v>1073</v>
      </c>
      <c r="E19" s="9">
        <v>1067</v>
      </c>
      <c r="F19" s="9">
        <v>990</v>
      </c>
      <c r="G19" s="9">
        <v>1055</v>
      </c>
      <c r="H19" s="9">
        <v>1007</v>
      </c>
      <c r="J19" s="21">
        <v>15</v>
      </c>
      <c r="K19" s="44" t="s">
        <v>80</v>
      </c>
      <c r="L19" s="44" t="s">
        <v>78</v>
      </c>
      <c r="M19" s="44" t="s">
        <v>79</v>
      </c>
      <c r="N19" s="11">
        <v>20.698200615491405</v>
      </c>
      <c r="O19" s="9">
        <v>19.351217347847935</v>
      </c>
      <c r="P19" s="9">
        <v>16.510534608944855</v>
      </c>
      <c r="Q19" s="9">
        <v>19.673655468287464</v>
      </c>
      <c r="R19" s="9">
        <v>18.727326940269037</v>
      </c>
      <c r="T19" s="23">
        <v>15</v>
      </c>
      <c r="U19" s="28"/>
      <c r="V19" s="28"/>
      <c r="W19" s="28"/>
      <c r="X19" s="28"/>
      <c r="Y19" s="11"/>
      <c r="Z19" s="9"/>
      <c r="AA19" s="9"/>
      <c r="AB19" s="9"/>
      <c r="AC19" s="9"/>
      <c r="AE19" s="48" t="s">
        <v>17</v>
      </c>
      <c r="AF19" s="29">
        <v>314</v>
      </c>
      <c r="AG19" s="29">
        <v>110</v>
      </c>
      <c r="AH19" s="48" t="s">
        <v>17</v>
      </c>
      <c r="AI19" s="29">
        <v>270</v>
      </c>
      <c r="AJ19" s="29">
        <v>74</v>
      </c>
      <c r="AK19" s="48" t="s">
        <v>17</v>
      </c>
      <c r="AL19" s="29">
        <v>296</v>
      </c>
      <c r="AM19" s="29">
        <v>48</v>
      </c>
      <c r="AN19" s="48" t="s">
        <v>17</v>
      </c>
      <c r="AO19" s="29">
        <v>233</v>
      </c>
      <c r="AP19" s="29">
        <v>62</v>
      </c>
      <c r="AQ19" s="48" t="s">
        <v>17</v>
      </c>
      <c r="AR19" s="29">
        <v>276</v>
      </c>
      <c r="AS19" s="29">
        <v>51</v>
      </c>
    </row>
    <row r="20" spans="1:45">
      <c r="A20" s="24">
        <v>16</v>
      </c>
      <c r="B20" s="19" t="s">
        <v>50</v>
      </c>
      <c r="C20" s="19" t="s">
        <v>51</v>
      </c>
      <c r="D20" s="11">
        <v>50.009999000199947</v>
      </c>
      <c r="E20" s="9">
        <v>70</v>
      </c>
      <c r="F20" s="9">
        <v>70.028565600046392</v>
      </c>
      <c r="G20" s="9">
        <v>60.133185513491632</v>
      </c>
      <c r="H20" s="9">
        <v>52.345009313209601</v>
      </c>
      <c r="I20" s="3"/>
      <c r="J20" s="21">
        <v>16</v>
      </c>
      <c r="K20" s="44" t="s">
        <v>48</v>
      </c>
      <c r="L20" s="44" t="s">
        <v>81</v>
      </c>
      <c r="M20" s="44" t="s">
        <v>79</v>
      </c>
      <c r="N20" s="11">
        <v>107.49439290241597</v>
      </c>
      <c r="O20" s="9">
        <v>93.971654329386709</v>
      </c>
      <c r="P20" s="9">
        <v>96.89717829719433</v>
      </c>
      <c r="Q20" s="9">
        <v>123.1276553355292</v>
      </c>
      <c r="R20" s="9">
        <v>109.55854291609678</v>
      </c>
      <c r="T20" s="23">
        <v>16</v>
      </c>
      <c r="U20" s="28"/>
      <c r="V20" s="28"/>
      <c r="W20" s="28"/>
      <c r="X20" s="28"/>
      <c r="Y20" s="11"/>
      <c r="Z20" s="9"/>
      <c r="AA20" s="9"/>
      <c r="AB20" s="9"/>
      <c r="AC20" s="9"/>
      <c r="AE20" s="48" t="s">
        <v>18</v>
      </c>
      <c r="AF20" s="29">
        <v>600</v>
      </c>
      <c r="AG20" s="29">
        <v>107</v>
      </c>
      <c r="AH20" s="48" t="s">
        <v>18</v>
      </c>
      <c r="AI20" s="29">
        <v>600</v>
      </c>
      <c r="AJ20" s="29">
        <v>113</v>
      </c>
      <c r="AK20" s="48" t="s">
        <v>18</v>
      </c>
      <c r="AL20" s="29">
        <v>600</v>
      </c>
      <c r="AM20" s="29">
        <v>190</v>
      </c>
      <c r="AN20" s="48" t="s">
        <v>18</v>
      </c>
      <c r="AO20" s="29">
        <v>600</v>
      </c>
      <c r="AP20" s="29">
        <v>125</v>
      </c>
      <c r="AQ20" s="48" t="s">
        <v>18</v>
      </c>
      <c r="AR20" s="29">
        <v>600</v>
      </c>
      <c r="AS20" s="29">
        <v>173</v>
      </c>
    </row>
    <row r="21" spans="1:45">
      <c r="A21" s="24">
        <v>17</v>
      </c>
      <c r="B21" s="19" t="s">
        <v>65</v>
      </c>
      <c r="C21" s="19" t="s">
        <v>66</v>
      </c>
      <c r="D21" s="11">
        <v>257</v>
      </c>
      <c r="E21" s="9">
        <v>253</v>
      </c>
      <c r="F21" s="9">
        <v>205</v>
      </c>
      <c r="G21" s="9">
        <v>243</v>
      </c>
      <c r="H21" s="9">
        <v>244</v>
      </c>
      <c r="I21" s="3"/>
      <c r="J21" s="21">
        <v>17</v>
      </c>
      <c r="K21" s="44" t="s">
        <v>80</v>
      </c>
      <c r="L21" s="44" t="s">
        <v>81</v>
      </c>
      <c r="M21" s="44" t="s">
        <v>79</v>
      </c>
      <c r="N21" s="11">
        <v>25.899219851043465</v>
      </c>
      <c r="O21" s="9">
        <v>19.794356020680745</v>
      </c>
      <c r="P21" s="9">
        <v>20.557380878941977</v>
      </c>
      <c r="Q21" s="9">
        <v>26.254425459373568</v>
      </c>
      <c r="R21" s="9">
        <v>21.960147048569709</v>
      </c>
      <c r="T21" s="23">
        <v>17</v>
      </c>
      <c r="U21" s="28"/>
      <c r="V21" s="28"/>
      <c r="W21" s="28"/>
      <c r="X21" s="28"/>
      <c r="Y21" s="11"/>
      <c r="Z21" s="9"/>
      <c r="AA21" s="9"/>
      <c r="AB21" s="9"/>
      <c r="AC21" s="9"/>
      <c r="AE21" s="48" t="s">
        <v>19</v>
      </c>
      <c r="AF21" s="29">
        <f>600+(600-AF19)</f>
        <v>886</v>
      </c>
      <c r="AG21" s="29">
        <f>AG19</f>
        <v>110</v>
      </c>
      <c r="AH21" s="48" t="s">
        <v>19</v>
      </c>
      <c r="AI21" s="29">
        <f>600+(600-AI19)</f>
        <v>930</v>
      </c>
      <c r="AJ21" s="29">
        <f>AJ19</f>
        <v>74</v>
      </c>
      <c r="AK21" s="48" t="s">
        <v>19</v>
      </c>
      <c r="AL21" s="29">
        <f t="shared" ref="AL21" si="30">600+(600-AL19)</f>
        <v>904</v>
      </c>
      <c r="AM21" s="29">
        <f t="shared" ref="AM21" si="31">AM19</f>
        <v>48</v>
      </c>
      <c r="AN21" s="48" t="s">
        <v>19</v>
      </c>
      <c r="AO21" s="29">
        <f t="shared" ref="AO21" si="32">600+(600-AO19)</f>
        <v>967</v>
      </c>
      <c r="AP21" s="29">
        <f t="shared" ref="AP21" si="33">AP19</f>
        <v>62</v>
      </c>
      <c r="AQ21" s="48" t="s">
        <v>19</v>
      </c>
      <c r="AR21" s="29">
        <f t="shared" ref="AR21" si="34">600+(600-AR19)</f>
        <v>924</v>
      </c>
      <c r="AS21" s="29">
        <f t="shared" ref="AS21" si="35">AS19</f>
        <v>51</v>
      </c>
    </row>
    <row r="22" spans="1:45">
      <c r="A22" s="24">
        <v>18</v>
      </c>
      <c r="B22" s="19" t="s">
        <v>76</v>
      </c>
      <c r="C22" s="19" t="s">
        <v>75</v>
      </c>
      <c r="D22" s="11">
        <v>46.486557196677836</v>
      </c>
      <c r="E22" s="9">
        <v>45.099889135118723</v>
      </c>
      <c r="F22" s="9">
        <v>37.12142238654117</v>
      </c>
      <c r="G22" s="9">
        <v>43.657759905886145</v>
      </c>
      <c r="H22" s="9">
        <v>30.066592756745816</v>
      </c>
      <c r="I22" s="3"/>
      <c r="J22" s="21">
        <v>18</v>
      </c>
      <c r="K22" s="27"/>
      <c r="L22" s="27"/>
      <c r="M22" s="27"/>
      <c r="N22" s="11"/>
      <c r="O22" s="9"/>
      <c r="P22" s="9"/>
      <c r="Q22" s="9"/>
      <c r="R22" s="9"/>
      <c r="T22" s="23">
        <v>18</v>
      </c>
      <c r="U22" s="28"/>
      <c r="V22" s="28"/>
      <c r="W22" s="28"/>
      <c r="X22" s="28"/>
      <c r="Y22" s="11"/>
      <c r="Z22" s="9"/>
      <c r="AA22" s="9"/>
      <c r="AB22" s="9"/>
      <c r="AC22" s="9"/>
      <c r="AE22" s="48" t="s">
        <v>20</v>
      </c>
      <c r="AF22" s="29">
        <v>364</v>
      </c>
      <c r="AG22" s="29">
        <v>562</v>
      </c>
      <c r="AH22" s="48" t="s">
        <v>20</v>
      </c>
      <c r="AI22" s="29">
        <v>332</v>
      </c>
      <c r="AJ22" s="29">
        <v>535</v>
      </c>
      <c r="AK22" s="48" t="s">
        <v>20</v>
      </c>
      <c r="AL22" s="29">
        <v>346</v>
      </c>
      <c r="AM22" s="29">
        <v>611</v>
      </c>
      <c r="AN22" s="49" t="s">
        <v>20</v>
      </c>
      <c r="AO22" s="30">
        <v>315</v>
      </c>
      <c r="AP22" s="30">
        <v>596</v>
      </c>
      <c r="AQ22" s="48" t="s">
        <v>20</v>
      </c>
      <c r="AR22" s="29">
        <v>348</v>
      </c>
      <c r="AS22" s="29">
        <v>598</v>
      </c>
    </row>
    <row r="23" spans="1:45">
      <c r="A23" s="24">
        <v>19</v>
      </c>
      <c r="B23" s="19" t="s">
        <v>73</v>
      </c>
      <c r="C23" s="19" t="s">
        <v>74</v>
      </c>
      <c r="D23" s="11">
        <v>189.16923639957952</v>
      </c>
      <c r="E23" s="9">
        <v>229.00873345791859</v>
      </c>
      <c r="F23" s="9">
        <v>195.36888186197925</v>
      </c>
      <c r="G23" s="9">
        <v>213.02582003128165</v>
      </c>
      <c r="H23" s="9">
        <v>166.10839834276894</v>
      </c>
      <c r="I23" s="3"/>
      <c r="J23" s="21">
        <v>19</v>
      </c>
      <c r="K23" s="27"/>
      <c r="L23" s="27"/>
      <c r="M23" s="27"/>
      <c r="N23" s="11"/>
      <c r="O23" s="9"/>
      <c r="P23" s="9"/>
      <c r="Q23" s="9"/>
      <c r="R23" s="9"/>
      <c r="T23" s="23">
        <v>19</v>
      </c>
      <c r="U23" s="28"/>
      <c r="V23" s="28"/>
      <c r="W23" s="28"/>
      <c r="X23" s="28"/>
      <c r="Y23" s="11"/>
      <c r="Z23" s="9"/>
      <c r="AA23" s="9"/>
      <c r="AB23" s="9"/>
      <c r="AC23" s="9"/>
      <c r="AE23" s="48" t="s">
        <v>21</v>
      </c>
      <c r="AF23" s="29">
        <v>439</v>
      </c>
      <c r="AG23" s="29">
        <v>582</v>
      </c>
      <c r="AH23" s="49" t="s">
        <v>21</v>
      </c>
      <c r="AI23" s="30">
        <v>416</v>
      </c>
      <c r="AJ23" s="30">
        <v>555</v>
      </c>
      <c r="AK23" s="48" t="s">
        <v>21</v>
      </c>
      <c r="AL23" s="29">
        <v>422</v>
      </c>
      <c r="AM23" s="29">
        <v>635</v>
      </c>
      <c r="AN23" s="49" t="s">
        <v>21</v>
      </c>
      <c r="AO23" s="30">
        <v>407</v>
      </c>
      <c r="AP23" s="30">
        <v>609</v>
      </c>
      <c r="AQ23" s="48" t="s">
        <v>21</v>
      </c>
      <c r="AR23" s="29">
        <v>428</v>
      </c>
      <c r="AS23" s="29">
        <v>618</v>
      </c>
    </row>
    <row r="24" spans="1:45">
      <c r="A24" s="24">
        <v>20</v>
      </c>
      <c r="B24" s="19"/>
      <c r="C24" s="19"/>
      <c r="D24" s="11"/>
      <c r="E24" s="9"/>
      <c r="F24" s="9"/>
      <c r="G24" s="9"/>
      <c r="H24" s="9"/>
      <c r="I24" s="3"/>
      <c r="J24" s="21">
        <v>20</v>
      </c>
      <c r="K24" s="27"/>
      <c r="L24" s="27"/>
      <c r="M24" s="27"/>
      <c r="N24" s="11"/>
      <c r="O24" s="9"/>
      <c r="P24" s="9"/>
      <c r="Q24" s="9"/>
      <c r="R24" s="9"/>
      <c r="T24" s="23">
        <v>20</v>
      </c>
      <c r="U24" s="28"/>
      <c r="V24" s="28"/>
      <c r="W24" s="28"/>
      <c r="X24" s="28"/>
      <c r="Y24" s="11"/>
      <c r="Z24" s="9"/>
      <c r="AA24" s="9"/>
      <c r="AB24" s="9"/>
      <c r="AC24" s="9"/>
      <c r="AE24" s="48" t="s">
        <v>22</v>
      </c>
      <c r="AF24" s="29">
        <v>512</v>
      </c>
      <c r="AG24" s="29">
        <v>575</v>
      </c>
      <c r="AH24" s="49" t="s">
        <v>22</v>
      </c>
      <c r="AI24" s="30">
        <v>498</v>
      </c>
      <c r="AJ24" s="30">
        <v>538</v>
      </c>
      <c r="AK24" s="48" t="s">
        <v>22</v>
      </c>
      <c r="AL24" s="29">
        <v>495</v>
      </c>
      <c r="AM24" s="29">
        <v>615</v>
      </c>
      <c r="AN24" s="49" t="s">
        <v>22</v>
      </c>
      <c r="AO24" s="30">
        <v>479</v>
      </c>
      <c r="AP24" s="30">
        <v>580</v>
      </c>
      <c r="AQ24" s="48" t="s">
        <v>22</v>
      </c>
      <c r="AR24" s="29">
        <v>512</v>
      </c>
      <c r="AS24" s="29">
        <v>597</v>
      </c>
    </row>
    <row r="25" spans="1:45" ht="15.75" customHeight="1">
      <c r="A25" s="24">
        <v>21</v>
      </c>
      <c r="B25" s="19"/>
      <c r="C25" s="19"/>
      <c r="D25" s="9"/>
      <c r="E25" s="9"/>
      <c r="F25" s="9"/>
      <c r="G25" s="9"/>
      <c r="H25" s="9"/>
      <c r="I25" s="3"/>
      <c r="J25" s="21">
        <v>21</v>
      </c>
      <c r="K25" s="27"/>
      <c r="L25" s="27"/>
      <c r="M25" s="27"/>
      <c r="N25" s="11"/>
      <c r="O25" s="9"/>
      <c r="P25" s="9"/>
      <c r="Q25" s="9"/>
      <c r="R25" s="9"/>
      <c r="T25" s="23">
        <v>21</v>
      </c>
      <c r="U25" s="28"/>
      <c r="V25" s="28"/>
      <c r="W25" s="28"/>
      <c r="X25" s="28"/>
      <c r="Y25" s="11"/>
      <c r="Z25" s="9"/>
      <c r="AA25" s="9"/>
      <c r="AB25" s="9"/>
      <c r="AC25" s="9"/>
      <c r="AE25" s="48" t="s">
        <v>23</v>
      </c>
      <c r="AF25" s="29">
        <v>440</v>
      </c>
      <c r="AG25" s="29">
        <v>532</v>
      </c>
      <c r="AH25" s="49" t="s">
        <v>23</v>
      </c>
      <c r="AI25" s="30">
        <v>416</v>
      </c>
      <c r="AJ25" s="30">
        <v>485</v>
      </c>
      <c r="AK25" s="48" t="s">
        <v>23</v>
      </c>
      <c r="AL25" s="29">
        <v>424</v>
      </c>
      <c r="AM25" s="29">
        <v>565</v>
      </c>
      <c r="AN25" s="49" t="s">
        <v>23</v>
      </c>
      <c r="AO25" s="30">
        <v>403</v>
      </c>
      <c r="AP25" s="30">
        <v>549</v>
      </c>
      <c r="AQ25" s="48" t="s">
        <v>23</v>
      </c>
      <c r="AR25" s="29">
        <v>434</v>
      </c>
      <c r="AS25" s="29">
        <v>566</v>
      </c>
    </row>
    <row r="26" spans="1:45" ht="16.5" customHeight="1">
      <c r="A26" s="24">
        <v>22</v>
      </c>
      <c r="B26" s="19"/>
      <c r="C26" s="19"/>
      <c r="D26" s="9"/>
      <c r="E26" s="9"/>
      <c r="F26" s="9"/>
      <c r="G26" s="9"/>
      <c r="H26" s="9"/>
      <c r="I26" s="3"/>
      <c r="J26" s="21">
        <v>22</v>
      </c>
      <c r="K26" s="27"/>
      <c r="L26" s="27"/>
      <c r="M26" s="27"/>
      <c r="N26" s="11"/>
      <c r="O26" s="9"/>
      <c r="P26" s="9"/>
      <c r="Q26" s="9"/>
      <c r="R26" s="9"/>
      <c r="T26" s="23">
        <v>22</v>
      </c>
      <c r="U26" s="28"/>
      <c r="V26" s="28"/>
      <c r="W26" s="28"/>
      <c r="X26" s="28"/>
      <c r="Y26" s="11"/>
      <c r="Z26" s="9"/>
      <c r="AA26" s="9"/>
      <c r="AB26" s="9"/>
      <c r="AC26" s="9"/>
      <c r="AE26" s="48" t="s">
        <v>24</v>
      </c>
      <c r="AF26" s="31">
        <v>1180</v>
      </c>
      <c r="AG26" s="31">
        <v>1180</v>
      </c>
      <c r="AH26" s="49" t="s">
        <v>24</v>
      </c>
      <c r="AI26" s="30">
        <v>1180</v>
      </c>
      <c r="AJ26" s="30">
        <v>1180</v>
      </c>
      <c r="AK26" s="48" t="s">
        <v>24</v>
      </c>
      <c r="AL26" s="31">
        <v>1180</v>
      </c>
      <c r="AM26" s="31">
        <v>1180</v>
      </c>
      <c r="AN26" s="49" t="s">
        <v>24</v>
      </c>
      <c r="AO26" s="30">
        <v>1180</v>
      </c>
      <c r="AP26" s="30">
        <v>1180</v>
      </c>
      <c r="AQ26" s="32" t="s">
        <v>24</v>
      </c>
      <c r="AR26" s="31">
        <v>1180</v>
      </c>
      <c r="AS26" s="31">
        <v>1180</v>
      </c>
    </row>
    <row r="27" spans="1:45">
      <c r="A27" s="24">
        <v>23</v>
      </c>
      <c r="B27" s="19"/>
      <c r="C27" s="19"/>
      <c r="D27" s="9"/>
      <c r="E27" s="9"/>
      <c r="F27" s="9"/>
      <c r="G27" s="9"/>
      <c r="H27" s="9"/>
      <c r="J27" s="21">
        <v>23</v>
      </c>
      <c r="K27" s="27"/>
      <c r="L27" s="27"/>
      <c r="M27" s="27"/>
      <c r="N27" s="11"/>
      <c r="O27" s="9"/>
      <c r="P27" s="9"/>
      <c r="Q27" s="9"/>
      <c r="R27" s="9"/>
      <c r="T27" s="23">
        <v>23</v>
      </c>
      <c r="U27" s="28"/>
      <c r="V27" s="28"/>
      <c r="W27" s="28"/>
      <c r="X27" s="28"/>
      <c r="Y27" s="11"/>
      <c r="Z27" s="9"/>
      <c r="AA27" s="9"/>
      <c r="AB27" s="9"/>
      <c r="AC27" s="9"/>
      <c r="AE27" s="46" t="s">
        <v>67</v>
      </c>
      <c r="AF27" s="8">
        <v>600</v>
      </c>
      <c r="AG27" s="37">
        <v>0</v>
      </c>
      <c r="AH27" s="46" t="s">
        <v>67</v>
      </c>
      <c r="AI27" s="9">
        <v>600</v>
      </c>
      <c r="AJ27" s="38">
        <v>0</v>
      </c>
      <c r="AK27" s="46" t="s">
        <v>67</v>
      </c>
      <c r="AL27" s="8">
        <v>600</v>
      </c>
      <c r="AM27" s="37">
        <v>0</v>
      </c>
      <c r="AN27" s="46" t="s">
        <v>67</v>
      </c>
      <c r="AO27" s="9">
        <v>600</v>
      </c>
      <c r="AP27" s="38">
        <v>0</v>
      </c>
      <c r="AQ27" s="46" t="s">
        <v>67</v>
      </c>
      <c r="AR27" s="8">
        <v>600</v>
      </c>
      <c r="AS27" s="37">
        <v>0</v>
      </c>
    </row>
    <row r="28" spans="1:45" s="7" customFormat="1">
      <c r="A28" s="24">
        <v>24</v>
      </c>
      <c r="B28" s="19"/>
      <c r="C28" s="19"/>
      <c r="D28" s="9"/>
      <c r="E28" s="12"/>
      <c r="F28" s="12"/>
      <c r="G28" s="12"/>
      <c r="H28" s="12"/>
      <c r="J28" s="21">
        <v>24</v>
      </c>
      <c r="K28" s="27"/>
      <c r="L28" s="27"/>
      <c r="M28" s="27"/>
      <c r="N28" s="17"/>
      <c r="O28" s="12"/>
      <c r="P28" s="12"/>
      <c r="Q28" s="12"/>
      <c r="R28" s="12"/>
      <c r="T28" s="23">
        <v>24</v>
      </c>
      <c r="U28" s="28"/>
      <c r="V28" s="28"/>
      <c r="W28" s="28"/>
      <c r="X28" s="28"/>
      <c r="Y28" s="17"/>
      <c r="Z28" s="12"/>
      <c r="AA28" s="12"/>
      <c r="AB28" s="12"/>
      <c r="AC28" s="12"/>
      <c r="AE28" s="46" t="s">
        <v>68</v>
      </c>
      <c r="AF28" s="8">
        <v>420</v>
      </c>
      <c r="AG28" s="37">
        <v>405</v>
      </c>
      <c r="AH28" s="46" t="s">
        <v>68</v>
      </c>
      <c r="AI28" s="9">
        <v>402</v>
      </c>
      <c r="AJ28" s="38">
        <v>368</v>
      </c>
      <c r="AK28" s="46" t="s">
        <v>68</v>
      </c>
      <c r="AL28" s="8">
        <v>410</v>
      </c>
      <c r="AM28" s="37">
        <v>470</v>
      </c>
      <c r="AN28" s="46" t="s">
        <v>68</v>
      </c>
      <c r="AO28" s="9">
        <v>406</v>
      </c>
      <c r="AP28" s="38">
        <v>429</v>
      </c>
      <c r="AQ28" s="46" t="s">
        <v>68</v>
      </c>
      <c r="AR28" s="8">
        <v>417</v>
      </c>
      <c r="AS28" s="37">
        <v>476</v>
      </c>
    </row>
    <row r="29" spans="1:45">
      <c r="A29" s="24">
        <v>25</v>
      </c>
      <c r="B29" s="19"/>
      <c r="C29" s="19"/>
      <c r="D29" s="18"/>
      <c r="E29" s="13"/>
      <c r="F29" s="9"/>
      <c r="G29" s="9"/>
      <c r="H29" s="9"/>
      <c r="J29" s="21">
        <v>25</v>
      </c>
      <c r="K29" s="27"/>
      <c r="L29" s="27"/>
      <c r="M29" s="27"/>
      <c r="N29" s="11"/>
      <c r="O29" s="9"/>
      <c r="P29" s="9"/>
      <c r="Q29" s="9"/>
      <c r="R29" s="9"/>
      <c r="T29" s="23">
        <v>25</v>
      </c>
      <c r="U29" s="28"/>
      <c r="V29" s="28"/>
      <c r="W29" s="28"/>
      <c r="X29" s="28"/>
      <c r="Y29" s="11"/>
      <c r="Z29" s="9"/>
      <c r="AA29" s="9"/>
      <c r="AB29" s="9"/>
      <c r="AC29" s="9"/>
      <c r="AE29" s="46" t="s">
        <v>69</v>
      </c>
      <c r="AF29" s="8">
        <v>323</v>
      </c>
      <c r="AG29" s="37">
        <v>465</v>
      </c>
      <c r="AH29" s="46" t="s">
        <v>69</v>
      </c>
      <c r="AI29" s="9">
        <v>287</v>
      </c>
      <c r="AJ29" s="38">
        <v>433</v>
      </c>
      <c r="AK29" s="46" t="s">
        <v>69</v>
      </c>
      <c r="AL29" s="8">
        <v>306</v>
      </c>
      <c r="AM29" s="37">
        <v>535</v>
      </c>
      <c r="AN29" s="46" t="s">
        <v>69</v>
      </c>
      <c r="AO29" s="9">
        <v>295</v>
      </c>
      <c r="AP29" s="38">
        <v>492</v>
      </c>
      <c r="AQ29" s="46" t="s">
        <v>69</v>
      </c>
      <c r="AR29" s="8">
        <v>326</v>
      </c>
      <c r="AS29" s="37">
        <v>498</v>
      </c>
    </row>
    <row r="30" spans="1:45">
      <c r="A30" s="24">
        <v>26</v>
      </c>
      <c r="B30" s="19"/>
      <c r="C30" s="19"/>
      <c r="D30" s="11"/>
      <c r="E30" s="9"/>
      <c r="F30" s="9"/>
      <c r="G30" s="9"/>
      <c r="H30" s="9"/>
      <c r="J30" s="21">
        <v>26</v>
      </c>
      <c r="K30" s="27"/>
      <c r="L30" s="27"/>
      <c r="M30" s="27"/>
      <c r="N30" s="11"/>
      <c r="O30" s="9"/>
      <c r="P30" s="9"/>
      <c r="Q30" s="9"/>
      <c r="R30" s="9"/>
      <c r="T30" s="23">
        <v>26</v>
      </c>
      <c r="U30" s="28"/>
      <c r="V30" s="28"/>
      <c r="W30" s="28"/>
      <c r="X30" s="28"/>
      <c r="Y30" s="11"/>
      <c r="Z30" s="9"/>
      <c r="AA30" s="9"/>
      <c r="AB30" s="9"/>
      <c r="AC30" s="9"/>
      <c r="AE30" s="46" t="s">
        <v>70</v>
      </c>
      <c r="AF30" s="8">
        <v>511</v>
      </c>
      <c r="AG30" s="37">
        <v>444</v>
      </c>
      <c r="AH30" s="46" t="s">
        <v>70</v>
      </c>
      <c r="AI30" s="9">
        <v>516</v>
      </c>
      <c r="AJ30" s="38">
        <v>435</v>
      </c>
      <c r="AK30" s="46" t="s">
        <v>70</v>
      </c>
      <c r="AL30" s="8">
        <v>501</v>
      </c>
      <c r="AM30" s="37">
        <v>523</v>
      </c>
      <c r="AN30" s="46" t="s">
        <v>70</v>
      </c>
      <c r="AO30" s="9">
        <v>503</v>
      </c>
      <c r="AP30" s="38">
        <v>446</v>
      </c>
      <c r="AQ30" s="46" t="s">
        <v>70</v>
      </c>
      <c r="AR30" s="8">
        <v>492</v>
      </c>
      <c r="AS30" s="37">
        <v>504</v>
      </c>
    </row>
    <row r="31" spans="1:45">
      <c r="A31" s="24">
        <v>27</v>
      </c>
      <c r="B31" s="19"/>
      <c r="C31" s="19"/>
      <c r="D31" s="11"/>
      <c r="E31" s="9"/>
      <c r="F31" s="9"/>
      <c r="G31" s="9"/>
      <c r="H31" s="9"/>
      <c r="J31" s="21">
        <v>27</v>
      </c>
      <c r="K31" s="27"/>
      <c r="L31" s="27"/>
      <c r="M31" s="27"/>
      <c r="N31" s="11"/>
      <c r="O31" s="9"/>
      <c r="P31" s="9"/>
      <c r="Q31" s="9"/>
      <c r="R31" s="9"/>
      <c r="T31" s="23">
        <v>27</v>
      </c>
      <c r="U31" s="28"/>
      <c r="V31" s="28"/>
      <c r="W31" s="28"/>
      <c r="X31" s="28"/>
      <c r="Y31" s="11"/>
      <c r="Z31" s="9"/>
      <c r="AA31" s="9"/>
      <c r="AB31" s="9"/>
      <c r="AC31" s="9"/>
      <c r="AE31" s="46" t="s">
        <v>71</v>
      </c>
      <c r="AF31" s="8">
        <v>405</v>
      </c>
      <c r="AG31" s="37">
        <v>449</v>
      </c>
      <c r="AH31" s="46" t="s">
        <v>71</v>
      </c>
      <c r="AI31" s="9">
        <v>399</v>
      </c>
      <c r="AJ31" s="38">
        <v>413</v>
      </c>
      <c r="AK31" s="46" t="s">
        <v>71</v>
      </c>
      <c r="AL31" s="8">
        <v>407</v>
      </c>
      <c r="AM31" s="37">
        <v>507</v>
      </c>
      <c r="AN31" s="46" t="s">
        <v>71</v>
      </c>
      <c r="AO31" s="9">
        <v>421</v>
      </c>
      <c r="AP31" s="38">
        <v>470</v>
      </c>
      <c r="AQ31" s="46" t="s">
        <v>71</v>
      </c>
      <c r="AR31" s="8">
        <v>415</v>
      </c>
      <c r="AS31" s="37">
        <v>506</v>
      </c>
    </row>
    <row r="32" spans="1:45">
      <c r="A32" s="24">
        <v>28</v>
      </c>
      <c r="B32" s="19"/>
      <c r="C32" s="19"/>
      <c r="D32" s="11"/>
      <c r="E32" s="9"/>
      <c r="F32" s="9"/>
      <c r="G32" s="9"/>
      <c r="H32" s="9"/>
      <c r="J32" s="21">
        <v>28</v>
      </c>
      <c r="K32" s="27"/>
      <c r="L32" s="27"/>
      <c r="M32" s="27"/>
      <c r="N32" s="11"/>
      <c r="O32" s="9"/>
      <c r="P32" s="9"/>
      <c r="Q32" s="9"/>
      <c r="R32" s="9"/>
      <c r="T32" s="23">
        <v>28</v>
      </c>
      <c r="U32" s="28"/>
      <c r="V32" s="28"/>
      <c r="W32" s="28"/>
      <c r="X32" s="28"/>
      <c r="Y32" s="11"/>
      <c r="Z32" s="9"/>
      <c r="AA32" s="9"/>
      <c r="AB32" s="9"/>
      <c r="AC32" s="9"/>
      <c r="AE32" s="46"/>
      <c r="AF32" s="8"/>
      <c r="AG32" s="37"/>
      <c r="AH32" s="46"/>
      <c r="AI32" s="9"/>
      <c r="AJ32" s="38"/>
      <c r="AK32" s="46"/>
      <c r="AL32" s="8"/>
      <c r="AM32" s="37"/>
      <c r="AN32" s="46"/>
      <c r="AO32" s="9"/>
      <c r="AP32" s="38"/>
      <c r="AQ32" s="46"/>
      <c r="AR32" s="8"/>
      <c r="AS32" s="37"/>
    </row>
    <row r="33" spans="1:45">
      <c r="A33" s="24">
        <v>29</v>
      </c>
      <c r="B33" s="19"/>
      <c r="C33" s="19"/>
      <c r="D33" s="11"/>
      <c r="E33" s="9"/>
      <c r="F33" s="9"/>
      <c r="G33" s="9"/>
      <c r="H33" s="9"/>
      <c r="J33" s="21">
        <v>29</v>
      </c>
      <c r="K33" s="27"/>
      <c r="L33" s="27"/>
      <c r="M33" s="27"/>
      <c r="N33" s="11"/>
      <c r="O33" s="9"/>
      <c r="P33" s="9"/>
      <c r="Q33" s="9"/>
      <c r="R33" s="9"/>
      <c r="T33" s="23">
        <v>29</v>
      </c>
      <c r="U33" s="28"/>
      <c r="V33" s="28"/>
      <c r="W33" s="28"/>
      <c r="X33" s="28"/>
      <c r="Y33" s="11"/>
      <c r="Z33" s="9"/>
      <c r="AA33" s="9"/>
      <c r="AB33" s="9"/>
      <c r="AC33" s="9"/>
      <c r="AE33" s="26"/>
      <c r="AF33" s="8"/>
      <c r="AG33" s="6"/>
      <c r="AH33" s="5"/>
      <c r="AI33" s="9"/>
      <c r="AJ33" s="16"/>
      <c r="AK33" s="26"/>
      <c r="AL33" s="8"/>
      <c r="AM33" s="6"/>
      <c r="AN33" s="5"/>
      <c r="AO33" s="9"/>
      <c r="AP33" s="16"/>
      <c r="AQ33" s="26"/>
      <c r="AR33" s="8"/>
      <c r="AS33" s="6"/>
    </row>
    <row r="34" spans="1:45">
      <c r="A34" s="24">
        <v>30</v>
      </c>
      <c r="B34" s="19"/>
      <c r="C34" s="19"/>
      <c r="D34" s="11"/>
      <c r="E34" s="9"/>
      <c r="F34" s="9"/>
      <c r="G34" s="9"/>
      <c r="H34" s="9"/>
      <c r="J34" s="21">
        <v>30</v>
      </c>
      <c r="K34" s="27"/>
      <c r="L34" s="27"/>
      <c r="M34" s="27"/>
      <c r="N34" s="11"/>
      <c r="O34" s="9"/>
      <c r="P34" s="9"/>
      <c r="Q34" s="9"/>
      <c r="R34" s="9"/>
      <c r="T34" s="23">
        <v>30</v>
      </c>
      <c r="U34" s="28"/>
      <c r="V34" s="28"/>
      <c r="W34" s="28"/>
      <c r="X34" s="28"/>
      <c r="Y34" s="11"/>
      <c r="Z34" s="9"/>
      <c r="AA34" s="9"/>
      <c r="AB34" s="9"/>
      <c r="AC34" s="9"/>
      <c r="AE34" s="26"/>
      <c r="AF34" s="8"/>
      <c r="AG34" s="6"/>
      <c r="AH34" s="5"/>
      <c r="AI34" s="9"/>
      <c r="AJ34" s="16"/>
      <c r="AK34" s="26"/>
      <c r="AL34" s="8"/>
      <c r="AM34" s="6"/>
      <c r="AN34" s="5"/>
      <c r="AO34" s="9"/>
      <c r="AP34" s="16"/>
      <c r="AQ34" s="26"/>
      <c r="AR34" s="8"/>
      <c r="AS34" s="6"/>
    </row>
    <row r="35" spans="1:45">
      <c r="A35" s="25"/>
      <c r="B35" s="15"/>
      <c r="C35" s="15"/>
      <c r="D35" s="14"/>
      <c r="E35" s="14"/>
    </row>
    <row r="36" spans="1:45" ht="15.75" customHeight="1">
      <c r="A36" s="79" t="s">
        <v>64</v>
      </c>
      <c r="B36" s="79"/>
      <c r="C36" s="79"/>
      <c r="D36" s="79"/>
      <c r="E36" s="79"/>
      <c r="F36" s="79"/>
      <c r="G36" s="79"/>
      <c r="H36" s="79"/>
      <c r="I36" s="20"/>
      <c r="J36" s="79" t="s">
        <v>64</v>
      </c>
      <c r="K36" s="80"/>
      <c r="L36" s="80"/>
      <c r="M36" s="80"/>
      <c r="N36" s="80"/>
      <c r="O36" s="80"/>
      <c r="P36" s="80"/>
      <c r="Q36" s="80"/>
      <c r="R36" s="80"/>
      <c r="T36" s="79" t="s">
        <v>64</v>
      </c>
      <c r="U36" s="80"/>
      <c r="V36" s="80"/>
      <c r="W36" s="80"/>
      <c r="X36" s="80"/>
      <c r="Y36" s="80"/>
      <c r="Z36" s="80"/>
      <c r="AA36" s="80"/>
      <c r="AB36" s="80"/>
      <c r="AC36" s="80"/>
      <c r="AE36" s="80" t="s">
        <v>63</v>
      </c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</row>
    <row r="37" spans="1:45" ht="15.75" customHeight="1">
      <c r="A37" s="79"/>
      <c r="B37" s="79"/>
      <c r="C37" s="79"/>
      <c r="D37" s="79"/>
      <c r="E37" s="79"/>
      <c r="F37" s="79"/>
      <c r="G37" s="79"/>
      <c r="H37" s="79"/>
      <c r="I37" s="20"/>
      <c r="J37" s="80"/>
      <c r="K37" s="80"/>
      <c r="L37" s="80"/>
      <c r="M37" s="80"/>
      <c r="N37" s="80"/>
      <c r="O37" s="80"/>
      <c r="P37" s="80"/>
      <c r="Q37" s="80"/>
      <c r="R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</row>
    <row r="38" spans="1:45">
      <c r="A38" s="79"/>
      <c r="B38" s="79"/>
      <c r="C38" s="79"/>
      <c r="D38" s="79"/>
      <c r="E38" s="79"/>
      <c r="F38" s="79"/>
      <c r="G38" s="79"/>
      <c r="H38" s="79"/>
      <c r="J38" s="80"/>
      <c r="K38" s="80"/>
      <c r="L38" s="80"/>
      <c r="M38" s="80"/>
      <c r="N38" s="80"/>
      <c r="O38" s="80"/>
      <c r="P38" s="80"/>
      <c r="Q38" s="80"/>
      <c r="R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</row>
    <row r="39" spans="1:45">
      <c r="A39" s="25"/>
      <c r="B39" s="15"/>
      <c r="C39" s="15"/>
      <c r="D39" s="14"/>
      <c r="E39" s="14"/>
    </row>
    <row r="40" spans="1:45">
      <c r="A40" s="25"/>
      <c r="B40" s="15"/>
      <c r="C40" s="15"/>
      <c r="D40" s="14"/>
      <c r="E40" s="14"/>
    </row>
    <row r="41" spans="1:45">
      <c r="A41" s="25"/>
      <c r="B41" s="15"/>
      <c r="C41" s="15"/>
      <c r="D41" s="14"/>
      <c r="E41" s="14"/>
    </row>
    <row r="42" spans="1:45">
      <c r="A42" s="25"/>
      <c r="B42" s="15"/>
      <c r="C42" s="15"/>
      <c r="D42" s="14"/>
      <c r="E42" s="14"/>
    </row>
    <row r="43" spans="1:45">
      <c r="A43" s="25"/>
      <c r="B43" s="15"/>
      <c r="C43" s="15"/>
      <c r="D43" s="14"/>
      <c r="E43" s="14"/>
    </row>
    <row r="44" spans="1:45">
      <c r="A44" s="25"/>
      <c r="B44" s="15"/>
      <c r="C44" s="15"/>
      <c r="D44" s="14"/>
      <c r="E44" s="14"/>
    </row>
    <row r="45" spans="1:45">
      <c r="A45" s="25"/>
      <c r="B45" s="15"/>
      <c r="C45" s="15"/>
      <c r="D45" s="14"/>
      <c r="E45" s="14"/>
    </row>
    <row r="46" spans="1:45">
      <c r="A46" s="25"/>
      <c r="B46" s="15"/>
      <c r="C46" s="15"/>
      <c r="D46" s="14"/>
      <c r="E46" s="14"/>
    </row>
    <row r="47" spans="1:45">
      <c r="A47" s="25"/>
      <c r="B47" s="15"/>
      <c r="C47" s="15"/>
      <c r="D47" s="14"/>
      <c r="E47" s="14"/>
    </row>
    <row r="48" spans="1:45">
      <c r="A48" s="25"/>
      <c r="B48" s="15"/>
      <c r="C48" s="15"/>
      <c r="D48" s="14"/>
      <c r="E48" s="14"/>
    </row>
    <row r="49" spans="1:5">
      <c r="A49" s="25"/>
      <c r="B49" s="15"/>
      <c r="C49" s="15"/>
      <c r="D49" s="14"/>
      <c r="E49" s="14"/>
    </row>
    <row r="50" spans="1:5">
      <c r="A50" s="25"/>
      <c r="B50" s="15"/>
      <c r="C50" s="15"/>
      <c r="D50" s="14"/>
      <c r="E50" s="14"/>
    </row>
    <row r="51" spans="1:5">
      <c r="A51" s="25"/>
      <c r="B51" s="15"/>
      <c r="C51" s="15"/>
      <c r="D51" s="14"/>
      <c r="E51" s="14"/>
    </row>
    <row r="52" spans="1:5">
      <c r="A52" s="25"/>
      <c r="B52" s="15"/>
      <c r="C52" s="15"/>
      <c r="D52" s="14"/>
      <c r="E52" s="14"/>
    </row>
  </sheetData>
  <mergeCells count="27">
    <mergeCell ref="AK2:AM2"/>
    <mergeCell ref="A1:H1"/>
    <mergeCell ref="J1:R1"/>
    <mergeCell ref="T1:AC1"/>
    <mergeCell ref="AE1:AS1"/>
    <mergeCell ref="A2:C4"/>
    <mergeCell ref="D2:F3"/>
    <mergeCell ref="G2:H3"/>
    <mergeCell ref="J2:M4"/>
    <mergeCell ref="N2:P3"/>
    <mergeCell ref="Q2:R3"/>
    <mergeCell ref="A36:H38"/>
    <mergeCell ref="J36:R38"/>
    <mergeCell ref="T36:AC38"/>
    <mergeCell ref="AE36:AS38"/>
    <mergeCell ref="AN2:AP2"/>
    <mergeCell ref="AQ2:AS2"/>
    <mergeCell ref="AF3:AG3"/>
    <mergeCell ref="AI3:AJ3"/>
    <mergeCell ref="AL3:AM3"/>
    <mergeCell ref="AO3:AP3"/>
    <mergeCell ref="AR3:AS3"/>
    <mergeCell ref="T2:X4"/>
    <mergeCell ref="Y2:AA3"/>
    <mergeCell ref="AB2:AC3"/>
    <mergeCell ref="AE2:AG2"/>
    <mergeCell ref="AH2:AJ2"/>
  </mergeCells>
  <phoneticPr fontId="7" type="noConversion"/>
  <conditionalFormatting sqref="Y1:AC1 Y4:AC35 Y2 Y39:AC1048576">
    <cfRule type="cellIs" dxfId="22" priority="1" operator="lessThan">
      <formula>0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AS52"/>
  <sheetViews>
    <sheetView zoomScale="55" zoomScaleNormal="55" workbookViewId="0">
      <selection activeCell="AI3" sqref="AI3:AJ3"/>
    </sheetView>
  </sheetViews>
  <sheetFormatPr defaultColWidth="9" defaultRowHeight="15.5"/>
  <cols>
    <col min="1" max="1" width="3.58203125" style="22" customWidth="1"/>
    <col min="2" max="3" width="3.58203125" style="4" customWidth="1"/>
    <col min="4" max="8" width="10.58203125" style="10" customWidth="1"/>
    <col min="9" max="9" width="2.08203125" style="1" customWidth="1"/>
    <col min="10" max="10" width="3.58203125" style="22" customWidth="1"/>
    <col min="11" max="12" width="3.58203125" style="4" customWidth="1"/>
    <col min="13" max="13" width="3.08203125" style="4" bestFit="1" customWidth="1"/>
    <col min="14" max="18" width="10.58203125" style="10" customWidth="1"/>
    <col min="19" max="19" width="2.08203125" style="1" customWidth="1"/>
    <col min="20" max="20" width="3.58203125" style="22" customWidth="1"/>
    <col min="21" max="23" width="3.58203125" style="4" customWidth="1"/>
    <col min="24" max="24" width="3.08203125" style="4" bestFit="1" customWidth="1"/>
    <col min="25" max="29" width="10.58203125" style="10" customWidth="1"/>
    <col min="30" max="30" width="2.08203125" style="1" customWidth="1"/>
    <col min="31" max="31" width="7.58203125" style="4" customWidth="1"/>
    <col min="32" max="32" width="10.58203125" style="10" customWidth="1"/>
    <col min="33" max="33" width="10.58203125" style="1" customWidth="1"/>
    <col min="34" max="34" width="7.58203125" style="4" customWidth="1"/>
    <col min="35" max="35" width="10.58203125" style="10" customWidth="1"/>
    <col min="36" max="36" width="10.58203125" style="1" customWidth="1"/>
    <col min="37" max="37" width="7.58203125" style="4" customWidth="1"/>
    <col min="38" max="38" width="10.58203125" style="10" customWidth="1"/>
    <col min="39" max="39" width="10.58203125" style="1" customWidth="1"/>
    <col min="40" max="40" width="7.58203125" style="4" customWidth="1"/>
    <col min="41" max="41" width="10.58203125" style="10" customWidth="1"/>
    <col min="42" max="42" width="10.58203125" style="1" customWidth="1"/>
    <col min="43" max="16384" width="9" style="1"/>
  </cols>
  <sheetData>
    <row r="1" spans="1:45" ht="24" customHeight="1">
      <c r="A1" s="57" t="s">
        <v>58</v>
      </c>
      <c r="B1" s="57"/>
      <c r="C1" s="57"/>
      <c r="D1" s="57"/>
      <c r="E1" s="57"/>
      <c r="F1" s="57"/>
      <c r="G1" s="57"/>
      <c r="H1" s="58"/>
      <c r="J1" s="59" t="s">
        <v>60</v>
      </c>
      <c r="K1" s="59"/>
      <c r="L1" s="59"/>
      <c r="M1" s="59"/>
      <c r="N1" s="59"/>
      <c r="O1" s="59"/>
      <c r="P1" s="59"/>
      <c r="Q1" s="59"/>
      <c r="R1" s="59"/>
      <c r="T1" s="60" t="s">
        <v>59</v>
      </c>
      <c r="U1" s="60"/>
      <c r="V1" s="60"/>
      <c r="W1" s="60"/>
      <c r="X1" s="60"/>
      <c r="Y1" s="60"/>
      <c r="Z1" s="60"/>
      <c r="AA1" s="60"/>
      <c r="AB1" s="60"/>
      <c r="AC1" s="60"/>
      <c r="AE1" s="61" t="s">
        <v>179</v>
      </c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</row>
    <row r="2" spans="1:45" s="2" customFormat="1" ht="19.5" customHeight="1">
      <c r="A2" s="63" t="s">
        <v>55</v>
      </c>
      <c r="B2" s="63"/>
      <c r="C2" s="63"/>
      <c r="D2" s="65"/>
      <c r="E2" s="66"/>
      <c r="F2" s="67"/>
      <c r="G2" s="65"/>
      <c r="H2" s="67"/>
      <c r="J2" s="71" t="s">
        <v>56</v>
      </c>
      <c r="K2" s="71"/>
      <c r="L2" s="71"/>
      <c r="M2" s="71"/>
      <c r="N2" s="73"/>
      <c r="O2" s="74"/>
      <c r="P2" s="75"/>
      <c r="Q2" s="73"/>
      <c r="R2" s="75"/>
      <c r="T2" s="90" t="s">
        <v>57</v>
      </c>
      <c r="U2" s="90"/>
      <c r="V2" s="90"/>
      <c r="W2" s="90"/>
      <c r="X2" s="90"/>
      <c r="Y2" s="92"/>
      <c r="Z2" s="93"/>
      <c r="AA2" s="94"/>
      <c r="AB2" s="92"/>
      <c r="AC2" s="94"/>
      <c r="AE2" s="54" t="s">
        <v>125</v>
      </c>
      <c r="AF2" s="55"/>
      <c r="AG2" s="56"/>
      <c r="AH2" s="81" t="s">
        <v>126</v>
      </c>
      <c r="AI2" s="82"/>
      <c r="AJ2" s="83"/>
      <c r="AK2" s="54" t="s">
        <v>127</v>
      </c>
      <c r="AL2" s="55"/>
      <c r="AM2" s="56"/>
      <c r="AN2" s="81" t="s">
        <v>128</v>
      </c>
      <c r="AO2" s="82"/>
      <c r="AP2" s="83"/>
      <c r="AQ2" s="54" t="s">
        <v>129</v>
      </c>
      <c r="AR2" s="55"/>
      <c r="AS2" s="56"/>
    </row>
    <row r="3" spans="1:45" ht="16.5" customHeight="1">
      <c r="A3" s="63"/>
      <c r="B3" s="63"/>
      <c r="C3" s="63"/>
      <c r="D3" s="68"/>
      <c r="E3" s="69"/>
      <c r="F3" s="70"/>
      <c r="G3" s="68"/>
      <c r="H3" s="70"/>
      <c r="J3" s="71"/>
      <c r="K3" s="71"/>
      <c r="L3" s="71"/>
      <c r="M3" s="71"/>
      <c r="N3" s="76"/>
      <c r="O3" s="77"/>
      <c r="P3" s="78"/>
      <c r="Q3" s="76"/>
      <c r="R3" s="78"/>
      <c r="T3" s="90"/>
      <c r="U3" s="90"/>
      <c r="V3" s="90"/>
      <c r="W3" s="90"/>
      <c r="X3" s="90"/>
      <c r="Y3" s="95"/>
      <c r="Z3" s="96"/>
      <c r="AA3" s="97"/>
      <c r="AB3" s="95"/>
      <c r="AC3" s="97"/>
      <c r="AE3" s="48" t="s">
        <v>178</v>
      </c>
      <c r="AF3" s="85" t="s">
        <v>177</v>
      </c>
      <c r="AG3" s="85"/>
      <c r="AH3" s="52" t="s">
        <v>178</v>
      </c>
      <c r="AI3" s="85" t="s">
        <v>177</v>
      </c>
      <c r="AJ3" s="85"/>
      <c r="AK3" s="52" t="s">
        <v>178</v>
      </c>
      <c r="AL3" s="85" t="s">
        <v>177</v>
      </c>
      <c r="AM3" s="85"/>
      <c r="AN3" s="52" t="s">
        <v>178</v>
      </c>
      <c r="AO3" s="85" t="s">
        <v>177</v>
      </c>
      <c r="AP3" s="85"/>
      <c r="AQ3" s="52" t="s">
        <v>178</v>
      </c>
      <c r="AR3" s="85" t="s">
        <v>177</v>
      </c>
      <c r="AS3" s="85"/>
    </row>
    <row r="4" spans="1:45" s="4" customFormat="1" ht="54.65" customHeight="1">
      <c r="A4" s="63"/>
      <c r="B4" s="64"/>
      <c r="C4" s="64"/>
      <c r="D4" s="19" t="s">
        <v>25</v>
      </c>
      <c r="E4" s="19" t="s">
        <v>26</v>
      </c>
      <c r="F4" s="19" t="s">
        <v>27</v>
      </c>
      <c r="G4" s="19" t="s">
        <v>28</v>
      </c>
      <c r="H4" s="19" t="s">
        <v>29</v>
      </c>
      <c r="J4" s="71"/>
      <c r="K4" s="72"/>
      <c r="L4" s="72"/>
      <c r="M4" s="72"/>
      <c r="N4" s="27" t="s">
        <v>25</v>
      </c>
      <c r="O4" s="27" t="s">
        <v>26</v>
      </c>
      <c r="P4" s="27" t="s">
        <v>27</v>
      </c>
      <c r="Q4" s="27" t="s">
        <v>28</v>
      </c>
      <c r="R4" s="27" t="s">
        <v>29</v>
      </c>
      <c r="T4" s="90"/>
      <c r="U4" s="91"/>
      <c r="V4" s="91"/>
      <c r="W4" s="91"/>
      <c r="X4" s="91"/>
      <c r="Y4" s="28" t="s">
        <v>25</v>
      </c>
      <c r="Z4" s="28" t="s">
        <v>26</v>
      </c>
      <c r="AA4" s="28" t="s">
        <v>27</v>
      </c>
      <c r="AB4" s="28" t="s">
        <v>28</v>
      </c>
      <c r="AC4" s="28" t="s">
        <v>29</v>
      </c>
      <c r="AE4" s="48"/>
      <c r="AF4" s="48" t="s">
        <v>0</v>
      </c>
      <c r="AG4" s="48" t="s">
        <v>1</v>
      </c>
      <c r="AH4" s="48"/>
      <c r="AI4" s="48" t="s">
        <v>0</v>
      </c>
      <c r="AJ4" s="48" t="s">
        <v>1</v>
      </c>
      <c r="AK4" s="48" t="s">
        <v>2</v>
      </c>
      <c r="AL4" s="48" t="s">
        <v>0</v>
      </c>
      <c r="AM4" s="48" t="s">
        <v>1</v>
      </c>
      <c r="AN4" s="49" t="s">
        <v>2</v>
      </c>
      <c r="AO4" s="49" t="s">
        <v>0</v>
      </c>
      <c r="AP4" s="49" t="s">
        <v>1</v>
      </c>
      <c r="AQ4" s="48" t="s">
        <v>2</v>
      </c>
      <c r="AR4" s="48" t="s">
        <v>0</v>
      </c>
      <c r="AS4" s="48" t="s">
        <v>1</v>
      </c>
    </row>
    <row r="5" spans="1:45">
      <c r="A5" s="24">
        <v>1</v>
      </c>
      <c r="B5" s="19" t="s">
        <v>30</v>
      </c>
      <c r="C5" s="19" t="s">
        <v>32</v>
      </c>
      <c r="D5" s="11">
        <v>362</v>
      </c>
      <c r="E5" s="9">
        <v>361</v>
      </c>
      <c r="F5" s="9">
        <v>371</v>
      </c>
      <c r="G5" s="9">
        <v>321.00155762861959</v>
      </c>
      <c r="H5" s="9">
        <v>387</v>
      </c>
      <c r="J5" s="21">
        <v>1</v>
      </c>
      <c r="K5" s="27" t="s">
        <v>30</v>
      </c>
      <c r="L5" s="27" t="s">
        <v>35</v>
      </c>
      <c r="M5" s="27" t="s">
        <v>38</v>
      </c>
      <c r="N5" s="9">
        <v>69.122635866420893</v>
      </c>
      <c r="O5" s="9">
        <v>70.458278674095183</v>
      </c>
      <c r="P5" s="9">
        <v>67.182926860402119</v>
      </c>
      <c r="Q5" s="9">
        <v>70.955544600402803</v>
      </c>
      <c r="R5" s="9">
        <v>72.466483813938993</v>
      </c>
      <c r="T5" s="23">
        <v>1</v>
      </c>
      <c r="U5" s="28" t="s">
        <v>30</v>
      </c>
      <c r="V5" s="28" t="s">
        <v>35</v>
      </c>
      <c r="W5" s="28" t="s">
        <v>37</v>
      </c>
      <c r="X5" s="28" t="s">
        <v>38</v>
      </c>
      <c r="Y5" s="11">
        <v>43078</v>
      </c>
      <c r="Z5" s="9">
        <v>41515</v>
      </c>
      <c r="AA5" s="9">
        <v>48230</v>
      </c>
      <c r="AB5" s="9">
        <v>31458</v>
      </c>
      <c r="AC5" s="9">
        <v>42183</v>
      </c>
      <c r="AE5" s="48" t="s">
        <v>3</v>
      </c>
      <c r="AF5" s="29">
        <v>600</v>
      </c>
      <c r="AG5" s="29">
        <v>478</v>
      </c>
      <c r="AH5" s="48" t="s">
        <v>3</v>
      </c>
      <c r="AI5" s="29">
        <v>600</v>
      </c>
      <c r="AJ5" s="29">
        <v>463</v>
      </c>
      <c r="AK5" s="48" t="s">
        <v>3</v>
      </c>
      <c r="AL5" s="29">
        <v>600</v>
      </c>
      <c r="AM5" s="29">
        <v>409</v>
      </c>
      <c r="AN5" s="48" t="s">
        <v>3</v>
      </c>
      <c r="AO5" s="29">
        <v>600</v>
      </c>
      <c r="AP5" s="29">
        <v>558</v>
      </c>
      <c r="AQ5" s="48" t="s">
        <v>3</v>
      </c>
      <c r="AR5" s="29">
        <v>600</v>
      </c>
      <c r="AS5" s="29">
        <v>424</v>
      </c>
    </row>
    <row r="6" spans="1:45">
      <c r="A6" s="24">
        <v>2</v>
      </c>
      <c r="B6" s="19" t="s">
        <v>30</v>
      </c>
      <c r="C6" s="19" t="s">
        <v>33</v>
      </c>
      <c r="D6" s="11">
        <v>458</v>
      </c>
      <c r="E6" s="9">
        <v>491</v>
      </c>
      <c r="F6" s="9">
        <v>483</v>
      </c>
      <c r="G6" s="9">
        <v>424</v>
      </c>
      <c r="H6" s="9">
        <v>509</v>
      </c>
      <c r="J6" s="21">
        <v>2</v>
      </c>
      <c r="K6" s="27" t="s">
        <v>31</v>
      </c>
      <c r="L6" s="27" t="s">
        <v>41</v>
      </c>
      <c r="M6" s="27" t="s">
        <v>34</v>
      </c>
      <c r="N6" s="9">
        <v>89.935551730963496</v>
      </c>
      <c r="O6" s="9">
        <v>91.855049344051082</v>
      </c>
      <c r="P6" s="9">
        <v>91.10961089919951</v>
      </c>
      <c r="Q6" s="9">
        <v>95.675767921244841</v>
      </c>
      <c r="R6" s="9">
        <v>92.409304719648262</v>
      </c>
      <c r="T6" s="23">
        <v>2</v>
      </c>
      <c r="U6" s="28" t="s">
        <v>31</v>
      </c>
      <c r="V6" s="28" t="s">
        <v>41</v>
      </c>
      <c r="W6" s="28" t="s">
        <v>34</v>
      </c>
      <c r="X6" s="28" t="s">
        <v>42</v>
      </c>
      <c r="Y6" s="11">
        <v>230256</v>
      </c>
      <c r="Z6" s="9">
        <v>238761</v>
      </c>
      <c r="AA6" s="9">
        <v>254430</v>
      </c>
      <c r="AB6" s="9">
        <v>171050</v>
      </c>
      <c r="AC6" s="9">
        <v>241164</v>
      </c>
      <c r="AE6" s="48" t="s">
        <v>4</v>
      </c>
      <c r="AF6" s="29">
        <v>481</v>
      </c>
      <c r="AG6" s="29">
        <v>790</v>
      </c>
      <c r="AH6" s="48" t="s">
        <v>4</v>
      </c>
      <c r="AI6" s="29">
        <v>485</v>
      </c>
      <c r="AJ6" s="29">
        <v>787</v>
      </c>
      <c r="AK6" s="48" t="s">
        <v>4</v>
      </c>
      <c r="AL6" s="29">
        <v>470</v>
      </c>
      <c r="AM6" s="29">
        <v>718</v>
      </c>
      <c r="AN6" s="48" t="s">
        <v>4</v>
      </c>
      <c r="AO6" s="29">
        <v>503</v>
      </c>
      <c r="AP6" s="29">
        <v>839</v>
      </c>
      <c r="AQ6" s="48" t="s">
        <v>4</v>
      </c>
      <c r="AR6" s="29">
        <v>491</v>
      </c>
      <c r="AS6" s="29">
        <v>769</v>
      </c>
    </row>
    <row r="7" spans="1:45">
      <c r="A7" s="24">
        <v>3</v>
      </c>
      <c r="B7" s="19" t="s">
        <v>31</v>
      </c>
      <c r="C7" s="19" t="s">
        <v>34</v>
      </c>
      <c r="D7" s="11">
        <v>702</v>
      </c>
      <c r="E7" s="9">
        <v>717</v>
      </c>
      <c r="F7" s="9">
        <v>771</v>
      </c>
      <c r="G7" s="9">
        <v>622</v>
      </c>
      <c r="H7" s="9">
        <v>756</v>
      </c>
      <c r="J7" s="21">
        <v>3</v>
      </c>
      <c r="K7" s="27" t="s">
        <v>31</v>
      </c>
      <c r="L7" s="27" t="s">
        <v>44</v>
      </c>
      <c r="M7" s="27" t="s">
        <v>37</v>
      </c>
      <c r="N7" s="9">
        <v>48.918060632280437</v>
      </c>
      <c r="O7" s="9">
        <v>51.28269495594401</v>
      </c>
      <c r="P7" s="9">
        <v>45.568743694880077</v>
      </c>
      <c r="Q7" s="9">
        <v>51.816835475403487</v>
      </c>
      <c r="R7" s="9">
        <v>51.191547368396904</v>
      </c>
      <c r="T7" s="23">
        <v>3</v>
      </c>
      <c r="U7" s="28" t="s">
        <v>41</v>
      </c>
      <c r="V7" s="28" t="s">
        <v>39</v>
      </c>
      <c r="W7" s="28" t="s">
        <v>34</v>
      </c>
      <c r="X7" s="28" t="s">
        <v>42</v>
      </c>
      <c r="Y7" s="11">
        <v>79849.5</v>
      </c>
      <c r="Z7" s="9">
        <v>93295.5</v>
      </c>
      <c r="AA7" s="9">
        <v>69677.5</v>
      </c>
      <c r="AB7" s="9">
        <v>74362.5</v>
      </c>
      <c r="AC7" s="9">
        <v>71172</v>
      </c>
      <c r="AE7" s="48" t="s">
        <v>5</v>
      </c>
      <c r="AF7" s="29">
        <v>600</v>
      </c>
      <c r="AG7" s="29">
        <v>840</v>
      </c>
      <c r="AH7" s="48" t="s">
        <v>5</v>
      </c>
      <c r="AI7" s="29">
        <v>600</v>
      </c>
      <c r="AJ7" s="29">
        <v>824</v>
      </c>
      <c r="AK7" s="48" t="s">
        <v>5</v>
      </c>
      <c r="AL7" s="29">
        <v>600</v>
      </c>
      <c r="AM7" s="29">
        <v>780</v>
      </c>
      <c r="AN7" s="48" t="s">
        <v>5</v>
      </c>
      <c r="AO7" s="29">
        <v>601</v>
      </c>
      <c r="AP7" s="29">
        <v>879</v>
      </c>
      <c r="AQ7" s="48" t="s">
        <v>5</v>
      </c>
      <c r="AR7" s="29">
        <v>600</v>
      </c>
      <c r="AS7" s="29">
        <v>811</v>
      </c>
    </row>
    <row r="8" spans="1:45" ht="15.75" customHeight="1">
      <c r="A8" s="24">
        <v>4</v>
      </c>
      <c r="B8" s="19" t="s">
        <v>35</v>
      </c>
      <c r="C8" s="19" t="s">
        <v>38</v>
      </c>
      <c r="D8" s="11">
        <v>238</v>
      </c>
      <c r="E8" s="9">
        <v>230</v>
      </c>
      <c r="F8" s="9">
        <v>260</v>
      </c>
      <c r="G8" s="9">
        <v>196</v>
      </c>
      <c r="H8" s="9">
        <v>218</v>
      </c>
      <c r="J8" s="21">
        <v>4</v>
      </c>
      <c r="K8" s="27" t="s">
        <v>35</v>
      </c>
      <c r="L8" s="27" t="s">
        <v>37</v>
      </c>
      <c r="M8" s="27" t="s">
        <v>38</v>
      </c>
      <c r="N8" s="9">
        <v>134.41881831642996</v>
      </c>
      <c r="O8" s="9">
        <v>144.32997011466389</v>
      </c>
      <c r="P8" s="9">
        <v>129.00489701332441</v>
      </c>
      <c r="Q8" s="9">
        <v>135.59304293588522</v>
      </c>
      <c r="R8" s="9">
        <v>137.85454676009891</v>
      </c>
      <c r="T8" s="23">
        <v>4</v>
      </c>
      <c r="U8" s="28" t="s">
        <v>46</v>
      </c>
      <c r="V8" s="28" t="s">
        <v>43</v>
      </c>
      <c r="W8" s="28" t="s">
        <v>33</v>
      </c>
      <c r="X8" s="28" t="s">
        <v>47</v>
      </c>
      <c r="Y8" s="11">
        <v>413057</v>
      </c>
      <c r="Z8" s="9">
        <v>439249</v>
      </c>
      <c r="AA8" s="9">
        <v>413289.5</v>
      </c>
      <c r="AB8" s="9">
        <v>342623.5</v>
      </c>
      <c r="AC8" s="9">
        <v>447119</v>
      </c>
      <c r="AE8" s="48" t="s">
        <v>6</v>
      </c>
      <c r="AF8" s="29">
        <f>AF7+(AF7-AF6)</f>
        <v>719</v>
      </c>
      <c r="AG8" s="29">
        <f>AG6</f>
        <v>790</v>
      </c>
      <c r="AH8" s="48" t="s">
        <v>6</v>
      </c>
      <c r="AI8" s="29">
        <f>AI7+(AI7-AI6)</f>
        <v>715</v>
      </c>
      <c r="AJ8" s="29">
        <f>AJ6</f>
        <v>787</v>
      </c>
      <c r="AK8" s="48" t="s">
        <v>6</v>
      </c>
      <c r="AL8" s="29">
        <f t="shared" ref="AL8" si="0">AL7+(AL7-AL6)</f>
        <v>730</v>
      </c>
      <c r="AM8" s="29">
        <f t="shared" ref="AM8" si="1">AM6</f>
        <v>718</v>
      </c>
      <c r="AN8" s="48" t="s">
        <v>6</v>
      </c>
      <c r="AO8" s="29">
        <f t="shared" ref="AO8" si="2">AO7+(AO7-AO6)</f>
        <v>699</v>
      </c>
      <c r="AP8" s="29">
        <f t="shared" ref="AP8" si="3">AP6</f>
        <v>839</v>
      </c>
      <c r="AQ8" s="48" t="s">
        <v>6</v>
      </c>
      <c r="AR8" s="29">
        <f t="shared" ref="AR8" si="4">AR7+(AR7-AR6)</f>
        <v>709</v>
      </c>
      <c r="AS8" s="29">
        <f t="shared" ref="AS8" si="5">AS6</f>
        <v>769</v>
      </c>
    </row>
    <row r="9" spans="1:45" ht="15.75" customHeight="1">
      <c r="A9" s="24">
        <v>5</v>
      </c>
      <c r="B9" s="19" t="s">
        <v>36</v>
      </c>
      <c r="C9" s="19" t="s">
        <v>33</v>
      </c>
      <c r="D9" s="11">
        <v>96</v>
      </c>
      <c r="E9" s="9">
        <v>130</v>
      </c>
      <c r="F9" s="9">
        <v>112</v>
      </c>
      <c r="G9" s="9">
        <v>103.00485425454472</v>
      </c>
      <c r="H9" s="9">
        <v>122</v>
      </c>
      <c r="J9" s="21">
        <v>5</v>
      </c>
      <c r="K9" s="27" t="s">
        <v>39</v>
      </c>
      <c r="L9" s="27" t="s">
        <v>34</v>
      </c>
      <c r="M9" s="27" t="s">
        <v>61</v>
      </c>
      <c r="N9" s="9">
        <v>139.87385466782351</v>
      </c>
      <c r="O9" s="9">
        <v>140.12401651158896</v>
      </c>
      <c r="P9" s="9">
        <v>141.68877510912068</v>
      </c>
      <c r="Q9" s="9">
        <v>133.46459037988609</v>
      </c>
      <c r="R9" s="9">
        <v>144.9488632525543</v>
      </c>
      <c r="T9" s="23">
        <v>5</v>
      </c>
      <c r="U9" s="28" t="s">
        <v>48</v>
      </c>
      <c r="V9" s="28" t="s">
        <v>43</v>
      </c>
      <c r="W9" s="28" t="s">
        <v>34</v>
      </c>
      <c r="X9" s="28" t="s">
        <v>44</v>
      </c>
      <c r="Y9" s="11">
        <v>413168</v>
      </c>
      <c r="Z9" s="9">
        <v>379250</v>
      </c>
      <c r="AA9" s="9">
        <v>451360</v>
      </c>
      <c r="AB9" s="9">
        <v>325052</v>
      </c>
      <c r="AC9" s="9">
        <v>438144</v>
      </c>
      <c r="AE9" s="48" t="s">
        <v>77</v>
      </c>
      <c r="AF9" s="29">
        <v>600</v>
      </c>
      <c r="AG9" s="29">
        <v>936</v>
      </c>
      <c r="AH9" s="48" t="s">
        <v>77</v>
      </c>
      <c r="AI9" s="29">
        <v>600</v>
      </c>
      <c r="AJ9" s="29">
        <v>954</v>
      </c>
      <c r="AK9" s="48" t="s">
        <v>77</v>
      </c>
      <c r="AL9" s="29">
        <v>600</v>
      </c>
      <c r="AM9" s="29">
        <v>892</v>
      </c>
      <c r="AN9" s="48" t="s">
        <v>77</v>
      </c>
      <c r="AO9" s="29">
        <v>600</v>
      </c>
      <c r="AP9" s="29">
        <v>982</v>
      </c>
      <c r="AQ9" s="48" t="s">
        <v>77</v>
      </c>
      <c r="AR9" s="29">
        <v>600</v>
      </c>
      <c r="AS9" s="29">
        <v>933</v>
      </c>
    </row>
    <row r="10" spans="1:45">
      <c r="A10" s="24">
        <v>6</v>
      </c>
      <c r="B10" s="19" t="s">
        <v>37</v>
      </c>
      <c r="C10" s="19" t="s">
        <v>34</v>
      </c>
      <c r="D10" s="11">
        <v>340</v>
      </c>
      <c r="E10" s="9">
        <v>356</v>
      </c>
      <c r="F10" s="9">
        <v>400</v>
      </c>
      <c r="G10" s="9">
        <v>301.00166112498448</v>
      </c>
      <c r="H10" s="9">
        <v>369</v>
      </c>
      <c r="J10" s="21">
        <v>6</v>
      </c>
      <c r="K10" s="27" t="s">
        <v>40</v>
      </c>
      <c r="L10" s="27" t="s">
        <v>34</v>
      </c>
      <c r="M10" s="27" t="s">
        <v>62</v>
      </c>
      <c r="N10" s="9">
        <v>20.063072666088246</v>
      </c>
      <c r="O10" s="9">
        <v>19.937991744205522</v>
      </c>
      <c r="P10" s="9">
        <v>19.155612445439655</v>
      </c>
      <c r="Q10" s="9">
        <v>23.26770481005698</v>
      </c>
      <c r="R10" s="9">
        <v>17.52556837372283</v>
      </c>
      <c r="T10" s="23">
        <v>6</v>
      </c>
      <c r="U10" s="28" t="s">
        <v>52</v>
      </c>
      <c r="V10" s="28" t="s">
        <v>53</v>
      </c>
      <c r="W10" s="28" t="s">
        <v>54</v>
      </c>
      <c r="X10" s="28" t="s">
        <v>50</v>
      </c>
      <c r="Y10" s="11">
        <v>5216.5</v>
      </c>
      <c r="Z10" s="9">
        <v>4315</v>
      </c>
      <c r="AA10" s="9">
        <v>2946.5</v>
      </c>
      <c r="AB10" s="9">
        <v>5189</v>
      </c>
      <c r="AC10" s="9">
        <v>316</v>
      </c>
      <c r="AE10" s="48" t="s">
        <v>8</v>
      </c>
      <c r="AF10" s="29">
        <v>485</v>
      </c>
      <c r="AG10" s="29">
        <v>1138</v>
      </c>
      <c r="AH10" s="48" t="s">
        <v>8</v>
      </c>
      <c r="AI10" s="29">
        <v>498</v>
      </c>
      <c r="AJ10" s="29">
        <v>1143</v>
      </c>
      <c r="AK10" s="48" t="s">
        <v>8</v>
      </c>
      <c r="AL10" s="29">
        <v>505</v>
      </c>
      <c r="AM10" s="29">
        <v>1147</v>
      </c>
      <c r="AN10" s="48" t="s">
        <v>8</v>
      </c>
      <c r="AO10" s="29">
        <v>500</v>
      </c>
      <c r="AP10" s="29">
        <v>1137</v>
      </c>
      <c r="AQ10" s="48" t="s">
        <v>8</v>
      </c>
      <c r="AR10" s="29">
        <v>467</v>
      </c>
      <c r="AS10" s="29">
        <v>1138</v>
      </c>
    </row>
    <row r="11" spans="1:45">
      <c r="A11" s="24">
        <v>7</v>
      </c>
      <c r="B11" s="19" t="s">
        <v>39</v>
      </c>
      <c r="C11" s="19" t="s">
        <v>40</v>
      </c>
      <c r="D11" s="11">
        <v>230</v>
      </c>
      <c r="E11" s="9">
        <v>204</v>
      </c>
      <c r="F11" s="9">
        <v>190</v>
      </c>
      <c r="G11" s="9">
        <v>200</v>
      </c>
      <c r="H11" s="9">
        <v>266</v>
      </c>
      <c r="J11" s="21">
        <v>7</v>
      </c>
      <c r="K11" s="27" t="s">
        <v>41</v>
      </c>
      <c r="L11" s="27" t="s">
        <v>34</v>
      </c>
      <c r="M11" s="27" t="s">
        <v>62</v>
      </c>
      <c r="N11" s="9">
        <v>145.55082779210102</v>
      </c>
      <c r="O11" s="9">
        <v>142.12501634890182</v>
      </c>
      <c r="P11" s="9">
        <v>148.90874973195113</v>
      </c>
      <c r="Q11" s="9">
        <v>138.07039434131039</v>
      </c>
      <c r="R11" s="9">
        <v>147.65682975379536</v>
      </c>
      <c r="T11" s="23">
        <v>7</v>
      </c>
      <c r="U11" s="35" t="s">
        <v>76</v>
      </c>
      <c r="V11" s="35" t="s">
        <v>73</v>
      </c>
      <c r="W11" s="35" t="s">
        <v>75</v>
      </c>
      <c r="X11" s="35" t="s">
        <v>74</v>
      </c>
      <c r="Y11" s="11">
        <v>4122</v>
      </c>
      <c r="Z11" s="9">
        <v>4622</v>
      </c>
      <c r="AA11" s="9">
        <v>6098</v>
      </c>
      <c r="AB11" s="9">
        <v>4938</v>
      </c>
      <c r="AC11" s="9">
        <v>5485</v>
      </c>
      <c r="AE11" s="48" t="s">
        <v>9</v>
      </c>
      <c r="AF11" s="29">
        <v>600</v>
      </c>
      <c r="AG11" s="29">
        <v>1180</v>
      </c>
      <c r="AH11" s="48" t="s">
        <v>9</v>
      </c>
      <c r="AI11" s="29">
        <v>600</v>
      </c>
      <c r="AJ11" s="29">
        <v>1180</v>
      </c>
      <c r="AK11" s="48" t="s">
        <v>9</v>
      </c>
      <c r="AL11" s="29">
        <v>600</v>
      </c>
      <c r="AM11" s="29">
        <v>1180</v>
      </c>
      <c r="AN11" s="48" t="s">
        <v>9</v>
      </c>
      <c r="AO11" s="29">
        <v>600</v>
      </c>
      <c r="AP11" s="29">
        <v>1180</v>
      </c>
      <c r="AQ11" s="48" t="s">
        <v>9</v>
      </c>
      <c r="AR11" s="29">
        <v>600</v>
      </c>
      <c r="AS11" s="29">
        <v>1180</v>
      </c>
    </row>
    <row r="12" spans="1:45">
      <c r="A12" s="24">
        <v>8</v>
      </c>
      <c r="B12" s="19" t="s">
        <v>41</v>
      </c>
      <c r="C12" s="19" t="s">
        <v>42</v>
      </c>
      <c r="D12" s="11">
        <v>656</v>
      </c>
      <c r="E12" s="9">
        <v>666</v>
      </c>
      <c r="F12" s="9">
        <v>660</v>
      </c>
      <c r="G12" s="9">
        <v>550</v>
      </c>
      <c r="H12" s="9">
        <v>638</v>
      </c>
      <c r="J12" s="21">
        <v>8</v>
      </c>
      <c r="K12" s="27" t="s">
        <v>42</v>
      </c>
      <c r="L12" s="27" t="s">
        <v>34</v>
      </c>
      <c r="M12" s="27" t="s">
        <v>62</v>
      </c>
      <c r="N12" s="9">
        <v>34.449172207898961</v>
      </c>
      <c r="O12" s="9">
        <v>37.874983651098191</v>
      </c>
      <c r="P12" s="9">
        <v>31.091250268048846</v>
      </c>
      <c r="Q12" s="9">
        <v>41.929605658689624</v>
      </c>
      <c r="R12" s="9">
        <v>32.34317024620465</v>
      </c>
      <c r="T12" s="23">
        <v>8</v>
      </c>
      <c r="U12" s="28"/>
      <c r="V12" s="28"/>
      <c r="W12" s="28"/>
      <c r="X12" s="28"/>
      <c r="Y12" s="11"/>
      <c r="Z12" s="9"/>
      <c r="AA12" s="9"/>
      <c r="AB12" s="9"/>
      <c r="AC12" s="9"/>
      <c r="AE12" s="48" t="s">
        <v>10</v>
      </c>
      <c r="AF12" s="29">
        <f>AF11+(AF11-AF10)</f>
        <v>715</v>
      </c>
      <c r="AG12" s="29">
        <f>AG10</f>
        <v>1138</v>
      </c>
      <c r="AH12" s="48" t="s">
        <v>10</v>
      </c>
      <c r="AI12" s="29">
        <f>AI11+(AI11-AI10)</f>
        <v>702</v>
      </c>
      <c r="AJ12" s="29">
        <f>AJ10</f>
        <v>1143</v>
      </c>
      <c r="AK12" s="48" t="s">
        <v>10</v>
      </c>
      <c r="AL12" s="29">
        <f t="shared" ref="AL12" si="6">AL11+(AL11-AL10)</f>
        <v>695</v>
      </c>
      <c r="AM12" s="29">
        <f t="shared" ref="AM12" si="7">AM10</f>
        <v>1147</v>
      </c>
      <c r="AN12" s="48" t="s">
        <v>10</v>
      </c>
      <c r="AO12" s="29">
        <f t="shared" ref="AO12" si="8">AO11+(AO11-AO10)</f>
        <v>700</v>
      </c>
      <c r="AP12" s="29">
        <f t="shared" ref="AP12" si="9">AP10</f>
        <v>1137</v>
      </c>
      <c r="AQ12" s="48" t="s">
        <v>10</v>
      </c>
      <c r="AR12" s="29">
        <f t="shared" ref="AR12" si="10">AR11+(AR11-AR10)</f>
        <v>733</v>
      </c>
      <c r="AS12" s="29">
        <f t="shared" ref="AS12" si="11">AS10</f>
        <v>1138</v>
      </c>
    </row>
    <row r="13" spans="1:45">
      <c r="A13" s="24">
        <v>9</v>
      </c>
      <c r="B13" s="19" t="s">
        <v>43</v>
      </c>
      <c r="C13" s="19" t="s">
        <v>44</v>
      </c>
      <c r="D13" s="11">
        <v>784</v>
      </c>
      <c r="E13" s="9">
        <v>740</v>
      </c>
      <c r="F13" s="9">
        <v>832.03846064950631</v>
      </c>
      <c r="G13" s="9">
        <v>658</v>
      </c>
      <c r="H13" s="9">
        <v>768</v>
      </c>
      <c r="J13" s="21">
        <v>9</v>
      </c>
      <c r="K13" s="27" t="s">
        <v>43</v>
      </c>
      <c r="L13" s="27" t="s">
        <v>41</v>
      </c>
      <c r="M13" s="27" t="s">
        <v>34</v>
      </c>
      <c r="N13" s="9">
        <v>139.20434042794867</v>
      </c>
      <c r="O13" s="9">
        <v>137.21337862733418</v>
      </c>
      <c r="P13" s="9">
        <v>138.05109729011392</v>
      </c>
      <c r="Q13" s="9">
        <v>148.03673939257052</v>
      </c>
      <c r="R13" s="9">
        <v>136.22553105947819</v>
      </c>
      <c r="T13" s="23">
        <v>9</v>
      </c>
      <c r="U13" s="28"/>
      <c r="V13" s="28"/>
      <c r="W13" s="28"/>
      <c r="X13" s="28"/>
      <c r="Y13" s="11"/>
      <c r="Z13" s="9"/>
      <c r="AA13" s="9"/>
      <c r="AB13" s="9"/>
      <c r="AC13" s="9"/>
      <c r="AE13" s="48" t="s">
        <v>11</v>
      </c>
      <c r="AF13" s="29">
        <v>272</v>
      </c>
      <c r="AG13" s="29">
        <v>955</v>
      </c>
      <c r="AH13" s="48" t="s">
        <v>11</v>
      </c>
      <c r="AI13" s="29">
        <v>267</v>
      </c>
      <c r="AJ13" s="29">
        <v>921</v>
      </c>
      <c r="AK13" s="48" t="s">
        <v>11</v>
      </c>
      <c r="AL13" s="29">
        <v>270</v>
      </c>
      <c r="AM13" s="29">
        <v>981</v>
      </c>
      <c r="AN13" s="48" t="s">
        <v>11</v>
      </c>
      <c r="AO13" s="29">
        <v>325</v>
      </c>
      <c r="AP13" s="29">
        <v>933</v>
      </c>
      <c r="AQ13" s="48" t="s">
        <v>11</v>
      </c>
      <c r="AR13" s="29">
        <v>281</v>
      </c>
      <c r="AS13" s="29">
        <v>978</v>
      </c>
    </row>
    <row r="14" spans="1:45">
      <c r="A14" s="24">
        <v>10</v>
      </c>
      <c r="B14" s="19" t="s">
        <v>45</v>
      </c>
      <c r="C14" s="19" t="s">
        <v>43</v>
      </c>
      <c r="D14" s="11">
        <v>58.309518948453004</v>
      </c>
      <c r="E14" s="9">
        <v>212.2851855405836</v>
      </c>
      <c r="F14" s="9">
        <v>61.008196170678573</v>
      </c>
      <c r="G14" s="9">
        <v>91.678787077491378</v>
      </c>
      <c r="H14" s="9">
        <v>70</v>
      </c>
      <c r="J14" s="21">
        <v>10</v>
      </c>
      <c r="K14" s="27" t="s">
        <v>44</v>
      </c>
      <c r="L14" s="27" t="s">
        <v>32</v>
      </c>
      <c r="M14" s="27" t="s">
        <v>62</v>
      </c>
      <c r="N14" s="9">
        <v>48.462571394416997</v>
      </c>
      <c r="O14" s="9">
        <v>50.624169482688522</v>
      </c>
      <c r="P14" s="9">
        <v>44.545259528128312</v>
      </c>
      <c r="Q14" s="9">
        <v>49.540153938381302</v>
      </c>
      <c r="R14" s="9">
        <v>46.50104328089084</v>
      </c>
      <c r="T14" s="23">
        <v>10</v>
      </c>
      <c r="U14" s="28"/>
      <c r="V14" s="28"/>
      <c r="W14" s="28"/>
      <c r="X14" s="28"/>
      <c r="Y14" s="11"/>
      <c r="Z14" s="9"/>
      <c r="AA14" s="9"/>
      <c r="AB14" s="9"/>
      <c r="AC14" s="9"/>
      <c r="AE14" s="48" t="s">
        <v>12</v>
      </c>
      <c r="AF14" s="29">
        <f>600+(600-AF13)</f>
        <v>928</v>
      </c>
      <c r="AG14" s="29">
        <f>AG13</f>
        <v>955</v>
      </c>
      <c r="AH14" s="48" t="s">
        <v>12</v>
      </c>
      <c r="AI14" s="29">
        <f>600+(600-AI13)</f>
        <v>933</v>
      </c>
      <c r="AJ14" s="29">
        <f>AJ13</f>
        <v>921</v>
      </c>
      <c r="AK14" s="48" t="s">
        <v>12</v>
      </c>
      <c r="AL14" s="29">
        <f t="shared" ref="AL14" si="12">600+(600-AL13)</f>
        <v>930</v>
      </c>
      <c r="AM14" s="29">
        <f t="shared" ref="AM14" si="13">AM13</f>
        <v>981</v>
      </c>
      <c r="AN14" s="48" t="s">
        <v>12</v>
      </c>
      <c r="AO14" s="29">
        <f t="shared" ref="AO14" si="14">600+(600-AO13)</f>
        <v>875</v>
      </c>
      <c r="AP14" s="29">
        <f t="shared" ref="AP14" si="15">AP13</f>
        <v>933</v>
      </c>
      <c r="AQ14" s="48" t="s">
        <v>12</v>
      </c>
      <c r="AR14" s="29">
        <f t="shared" ref="AR14" si="16">600+(600-AR13)</f>
        <v>919</v>
      </c>
      <c r="AS14" s="29">
        <f t="shared" ref="AS14" si="17">AS13</f>
        <v>978</v>
      </c>
    </row>
    <row r="15" spans="1:45">
      <c r="A15" s="24">
        <v>11</v>
      </c>
      <c r="B15" s="19" t="s">
        <v>46</v>
      </c>
      <c r="C15" s="19" t="s">
        <v>47</v>
      </c>
      <c r="D15" s="11">
        <v>702</v>
      </c>
      <c r="E15" s="9">
        <v>726</v>
      </c>
      <c r="F15" s="9">
        <v>674</v>
      </c>
      <c r="G15" s="9">
        <v>516</v>
      </c>
      <c r="H15" s="9">
        <v>742</v>
      </c>
      <c r="J15" s="21">
        <v>11</v>
      </c>
      <c r="K15" s="27" t="s">
        <v>44</v>
      </c>
      <c r="L15" s="27" t="s">
        <v>33</v>
      </c>
      <c r="M15" s="27" t="s">
        <v>62</v>
      </c>
      <c r="N15" s="9">
        <v>52.560867951672243</v>
      </c>
      <c r="O15" s="9">
        <v>56.176592476909939</v>
      </c>
      <c r="P15" s="9">
        <v>50.382042747753921</v>
      </c>
      <c r="Q15" s="9">
        <v>54.50167152343365</v>
      </c>
      <c r="R15" s="9">
        <v>52.651253783730922</v>
      </c>
      <c r="T15" s="23">
        <v>11</v>
      </c>
      <c r="U15" s="28"/>
      <c r="V15" s="28"/>
      <c r="W15" s="28"/>
      <c r="X15" s="28"/>
      <c r="Y15" s="11"/>
      <c r="Z15" s="9"/>
      <c r="AA15" s="9"/>
      <c r="AB15" s="9"/>
      <c r="AC15" s="9"/>
      <c r="AE15" s="48" t="s">
        <v>13</v>
      </c>
      <c r="AF15" s="29">
        <v>208</v>
      </c>
      <c r="AG15" s="29">
        <v>712</v>
      </c>
      <c r="AH15" s="48" t="s">
        <v>13</v>
      </c>
      <c r="AI15" s="29">
        <v>230</v>
      </c>
      <c r="AJ15" s="29">
        <v>696</v>
      </c>
      <c r="AK15" s="48" t="s">
        <v>13</v>
      </c>
      <c r="AL15" s="29">
        <v>184</v>
      </c>
      <c r="AM15" s="29">
        <v>699</v>
      </c>
      <c r="AN15" s="48" t="s">
        <v>13</v>
      </c>
      <c r="AO15" s="29">
        <v>271</v>
      </c>
      <c r="AP15" s="29">
        <v>746</v>
      </c>
      <c r="AQ15" s="48" t="s">
        <v>13</v>
      </c>
      <c r="AR15" s="29">
        <v>216</v>
      </c>
      <c r="AS15" s="29">
        <v>715</v>
      </c>
    </row>
    <row r="16" spans="1:45" ht="15.75" customHeight="1">
      <c r="A16" s="24">
        <v>12</v>
      </c>
      <c r="B16" s="19" t="s">
        <v>48</v>
      </c>
      <c r="C16" s="19" t="s">
        <v>31</v>
      </c>
      <c r="D16" s="11">
        <v>352</v>
      </c>
      <c r="E16" s="9">
        <v>308</v>
      </c>
      <c r="F16" s="9">
        <v>314</v>
      </c>
      <c r="G16" s="9">
        <v>366</v>
      </c>
      <c r="H16" s="9">
        <v>385</v>
      </c>
      <c r="J16" s="21">
        <v>12</v>
      </c>
      <c r="K16" s="27" t="s">
        <v>47</v>
      </c>
      <c r="L16" s="27" t="s">
        <v>30</v>
      </c>
      <c r="M16" s="27" t="s">
        <v>62</v>
      </c>
      <c r="N16" s="9">
        <v>96.868210017466438</v>
      </c>
      <c r="O16" s="9">
        <v>98.519254067244717</v>
      </c>
      <c r="P16" s="9">
        <v>97.876439120762754</v>
      </c>
      <c r="Q16" s="9">
        <v>107.66123054696575</v>
      </c>
      <c r="R16" s="9">
        <v>96.403026335405585</v>
      </c>
      <c r="T16" s="23">
        <v>12</v>
      </c>
      <c r="U16" s="28"/>
      <c r="V16" s="28"/>
      <c r="W16" s="28"/>
      <c r="X16" s="28"/>
      <c r="Y16" s="11"/>
      <c r="Z16" s="9"/>
      <c r="AA16" s="9"/>
      <c r="AB16" s="9"/>
      <c r="AC16" s="9"/>
      <c r="AE16" s="48" t="s">
        <v>14</v>
      </c>
      <c r="AF16" s="29">
        <f>600+(600-AF15)</f>
        <v>992</v>
      </c>
      <c r="AG16" s="29">
        <f>AG15</f>
        <v>712</v>
      </c>
      <c r="AH16" s="48" t="s">
        <v>14</v>
      </c>
      <c r="AI16" s="29">
        <f>600+(600-AI15)</f>
        <v>970</v>
      </c>
      <c r="AJ16" s="29">
        <f>AJ15</f>
        <v>696</v>
      </c>
      <c r="AK16" s="48" t="s">
        <v>14</v>
      </c>
      <c r="AL16" s="29">
        <f t="shared" ref="AL16" si="18">600+(600-AL15)</f>
        <v>1016</v>
      </c>
      <c r="AM16" s="29">
        <v>707</v>
      </c>
      <c r="AN16" s="48" t="s">
        <v>14</v>
      </c>
      <c r="AO16" s="29">
        <f t="shared" ref="AO16" si="19">600+(600-AO15)</f>
        <v>929</v>
      </c>
      <c r="AP16" s="29">
        <f t="shared" ref="AP16" si="20">AP15</f>
        <v>746</v>
      </c>
      <c r="AQ16" s="48" t="s">
        <v>14</v>
      </c>
      <c r="AR16" s="29">
        <f t="shared" ref="AR16" si="21">600+(600-AR15)</f>
        <v>984</v>
      </c>
      <c r="AS16" s="29">
        <f t="shared" ref="AS16" si="22">AS15</f>
        <v>715</v>
      </c>
    </row>
    <row r="17" spans="1:45" ht="15.75" customHeight="1">
      <c r="A17" s="24">
        <v>13</v>
      </c>
      <c r="B17" s="19" t="s">
        <v>49</v>
      </c>
      <c r="C17" s="19" t="s">
        <v>37</v>
      </c>
      <c r="D17" s="11">
        <v>714</v>
      </c>
      <c r="E17" s="9">
        <v>669</v>
      </c>
      <c r="F17" s="9">
        <v>685</v>
      </c>
      <c r="G17" s="9">
        <v>687.00072780165237</v>
      </c>
      <c r="H17" s="9">
        <v>772</v>
      </c>
      <c r="J17" s="21">
        <v>13</v>
      </c>
      <c r="K17" s="27" t="s">
        <v>47</v>
      </c>
      <c r="L17" s="27" t="s">
        <v>48</v>
      </c>
      <c r="M17" s="27" t="s">
        <v>62</v>
      </c>
      <c r="N17" s="9">
        <v>63.949529627863704</v>
      </c>
      <c r="O17" s="9">
        <v>74.123484560611161</v>
      </c>
      <c r="P17" s="9">
        <v>65.438473433698192</v>
      </c>
      <c r="Q17" s="9">
        <v>79.407632843108217</v>
      </c>
      <c r="R17" s="9">
        <v>58.738556586623901</v>
      </c>
      <c r="T17" s="23">
        <v>13</v>
      </c>
      <c r="U17" s="28"/>
      <c r="V17" s="28"/>
      <c r="W17" s="28"/>
      <c r="X17" s="28"/>
      <c r="Y17" s="11"/>
      <c r="Z17" s="9"/>
      <c r="AA17" s="9"/>
      <c r="AB17" s="9"/>
      <c r="AC17" s="9"/>
      <c r="AE17" s="48" t="s">
        <v>15</v>
      </c>
      <c r="AF17" s="29">
        <v>150</v>
      </c>
      <c r="AG17" s="29">
        <v>706</v>
      </c>
      <c r="AH17" s="48" t="s">
        <v>15</v>
      </c>
      <c r="AI17" s="29">
        <v>18</v>
      </c>
      <c r="AJ17" s="29">
        <v>707</v>
      </c>
      <c r="AK17" s="48" t="s">
        <v>15</v>
      </c>
      <c r="AL17" s="29">
        <v>123</v>
      </c>
      <c r="AM17" s="29">
        <v>698</v>
      </c>
      <c r="AN17" s="48" t="s">
        <v>15</v>
      </c>
      <c r="AO17" s="29">
        <v>189</v>
      </c>
      <c r="AP17" s="29">
        <v>705</v>
      </c>
      <c r="AQ17" s="48" t="s">
        <v>15</v>
      </c>
      <c r="AR17" s="29">
        <v>146</v>
      </c>
      <c r="AS17" s="29">
        <v>715</v>
      </c>
    </row>
    <row r="18" spans="1:45">
      <c r="A18" s="24">
        <v>14</v>
      </c>
      <c r="B18" s="19" t="s">
        <v>49</v>
      </c>
      <c r="C18" s="19" t="s">
        <v>33</v>
      </c>
      <c r="D18" s="11">
        <v>810</v>
      </c>
      <c r="E18" s="9">
        <v>799</v>
      </c>
      <c r="F18" s="9">
        <v>797</v>
      </c>
      <c r="G18" s="9">
        <v>790</v>
      </c>
      <c r="H18" s="9">
        <v>894</v>
      </c>
      <c r="J18" s="21">
        <v>14</v>
      </c>
      <c r="K18" s="44" t="s">
        <v>48</v>
      </c>
      <c r="L18" s="44" t="s">
        <v>78</v>
      </c>
      <c r="M18" s="44" t="s">
        <v>79</v>
      </c>
      <c r="N18" s="11">
        <v>38.560764608797292</v>
      </c>
      <c r="O18" s="9">
        <v>47.046219791024072</v>
      </c>
      <c r="P18" s="9">
        <v>40.859368557272703</v>
      </c>
      <c r="Q18" s="9">
        <v>49.231203938965464</v>
      </c>
      <c r="R18" s="9">
        <v>41.310024175179173</v>
      </c>
      <c r="T18" s="23">
        <v>14</v>
      </c>
      <c r="U18" s="28"/>
      <c r="V18" s="28"/>
      <c r="W18" s="28"/>
      <c r="X18" s="28"/>
      <c r="Y18" s="11"/>
      <c r="Z18" s="9"/>
      <c r="AA18" s="9"/>
      <c r="AB18" s="9"/>
      <c r="AC18" s="9"/>
      <c r="AE18" s="48" t="s">
        <v>16</v>
      </c>
      <c r="AF18" s="29">
        <f>600+(600-AF17)</f>
        <v>1050</v>
      </c>
      <c r="AG18" s="29">
        <f>AG17</f>
        <v>706</v>
      </c>
      <c r="AH18" s="48" t="s">
        <v>16</v>
      </c>
      <c r="AI18" s="29">
        <f>600+(600-AI17)</f>
        <v>1182</v>
      </c>
      <c r="AJ18" s="29">
        <f>AJ17</f>
        <v>707</v>
      </c>
      <c r="AK18" s="48" t="s">
        <v>16</v>
      </c>
      <c r="AL18" s="29">
        <f t="shared" ref="AL18" si="23">600+(600-AL17)</f>
        <v>1077</v>
      </c>
      <c r="AM18" s="29">
        <f t="shared" ref="AM18" si="24">AM17</f>
        <v>698</v>
      </c>
      <c r="AN18" s="48" t="s">
        <v>16</v>
      </c>
      <c r="AO18" s="29">
        <f t="shared" ref="AO18" si="25">600+(600-AO17)</f>
        <v>1011</v>
      </c>
      <c r="AP18" s="29">
        <f t="shared" ref="AP18" si="26">AP17</f>
        <v>705</v>
      </c>
      <c r="AQ18" s="48" t="s">
        <v>16</v>
      </c>
      <c r="AR18" s="29">
        <f t="shared" ref="AR18" si="27">600+(600-AR17)</f>
        <v>1054</v>
      </c>
      <c r="AS18" s="29">
        <f t="shared" ref="AS18" si="28">AS17</f>
        <v>715</v>
      </c>
    </row>
    <row r="19" spans="1:45">
      <c r="A19" s="24">
        <v>15</v>
      </c>
      <c r="B19" s="19" t="s">
        <v>48</v>
      </c>
      <c r="C19" s="19" t="s">
        <v>34</v>
      </c>
      <c r="D19" s="11">
        <v>1054</v>
      </c>
      <c r="E19" s="9">
        <v>1025</v>
      </c>
      <c r="F19" s="9">
        <v>1085</v>
      </c>
      <c r="G19" s="9">
        <v>988</v>
      </c>
      <c r="H19" s="9">
        <v>1141</v>
      </c>
      <c r="J19" s="21">
        <v>15</v>
      </c>
      <c r="K19" s="44" t="s">
        <v>80</v>
      </c>
      <c r="L19" s="44" t="s">
        <v>78</v>
      </c>
      <c r="M19" s="44" t="s">
        <v>79</v>
      </c>
      <c r="N19" s="11">
        <v>13.518401531592222</v>
      </c>
      <c r="O19" s="9">
        <v>22.212647510451511</v>
      </c>
      <c r="P19" s="9">
        <v>19.144018803446308</v>
      </c>
      <c r="Q19" s="9">
        <v>16.862270169581262</v>
      </c>
      <c r="R19" s="9">
        <v>18.503246532867401</v>
      </c>
      <c r="T19" s="23">
        <v>15</v>
      </c>
      <c r="U19" s="28"/>
      <c r="V19" s="28"/>
      <c r="W19" s="28"/>
      <c r="X19" s="28"/>
      <c r="Y19" s="11"/>
      <c r="Z19" s="9"/>
      <c r="AA19" s="9"/>
      <c r="AB19" s="9"/>
      <c r="AC19" s="9"/>
      <c r="AE19" s="48" t="s">
        <v>17</v>
      </c>
      <c r="AF19" s="29">
        <v>249</v>
      </c>
      <c r="AG19" s="29">
        <v>109</v>
      </c>
      <c r="AH19" s="48" t="s">
        <v>17</v>
      </c>
      <c r="AI19" s="29">
        <v>237</v>
      </c>
      <c r="AJ19" s="29">
        <v>67</v>
      </c>
      <c r="AK19" s="48" t="s">
        <v>17</v>
      </c>
      <c r="AL19" s="29">
        <v>263</v>
      </c>
      <c r="AM19" s="29">
        <v>74</v>
      </c>
      <c r="AN19" s="48" t="s">
        <v>17</v>
      </c>
      <c r="AO19" s="29">
        <v>342</v>
      </c>
      <c r="AP19" s="29">
        <v>99</v>
      </c>
      <c r="AQ19" s="48" t="s">
        <v>17</v>
      </c>
      <c r="AR19" s="29">
        <v>229</v>
      </c>
      <c r="AS19" s="29">
        <v>67</v>
      </c>
    </row>
    <row r="20" spans="1:45">
      <c r="A20" s="24">
        <v>16</v>
      </c>
      <c r="B20" s="19" t="s">
        <v>50</v>
      </c>
      <c r="C20" s="19" t="s">
        <v>51</v>
      </c>
      <c r="D20" s="11">
        <v>64.007812023221035</v>
      </c>
      <c r="E20" s="9">
        <v>59.135437767890075</v>
      </c>
      <c r="F20" s="9">
        <v>41.43669871020132</v>
      </c>
      <c r="G20" s="9">
        <v>67.029844099475568</v>
      </c>
      <c r="H20" s="9">
        <v>5</v>
      </c>
      <c r="I20" s="3"/>
      <c r="J20" s="21">
        <v>16</v>
      </c>
      <c r="K20" s="44" t="s">
        <v>48</v>
      </c>
      <c r="L20" s="44" t="s">
        <v>81</v>
      </c>
      <c r="M20" s="44" t="s">
        <v>79</v>
      </c>
      <c r="N20" s="11">
        <v>104.11238399388699</v>
      </c>
      <c r="O20" s="9">
        <v>110.43439462895813</v>
      </c>
      <c r="P20" s="9">
        <v>105.43175121862524</v>
      </c>
      <c r="Q20" s="9">
        <v>93.616330153159126</v>
      </c>
      <c r="R20" s="9">
        <v>99.699311898922815</v>
      </c>
      <c r="T20" s="23">
        <v>16</v>
      </c>
      <c r="U20" s="28"/>
      <c r="V20" s="28"/>
      <c r="W20" s="28"/>
      <c r="X20" s="28"/>
      <c r="Y20" s="11"/>
      <c r="Z20" s="9"/>
      <c r="AA20" s="9"/>
      <c r="AB20" s="9"/>
      <c r="AC20" s="9"/>
      <c r="AE20" s="48" t="s">
        <v>18</v>
      </c>
      <c r="AF20" s="29">
        <v>600</v>
      </c>
      <c r="AG20" s="29">
        <v>126</v>
      </c>
      <c r="AH20" s="48" t="s">
        <v>18</v>
      </c>
      <c r="AI20" s="29">
        <v>600</v>
      </c>
      <c r="AJ20" s="29">
        <v>155</v>
      </c>
      <c r="AK20" s="48" t="s">
        <v>18</v>
      </c>
      <c r="AL20" s="29">
        <v>600</v>
      </c>
      <c r="AM20" s="29">
        <v>95</v>
      </c>
      <c r="AN20" s="48" t="s">
        <v>18</v>
      </c>
      <c r="AO20" s="29">
        <v>600</v>
      </c>
      <c r="AP20" s="29">
        <v>192</v>
      </c>
      <c r="AQ20" s="48" t="s">
        <v>18</v>
      </c>
      <c r="AR20" s="29">
        <v>600</v>
      </c>
      <c r="AS20" s="29">
        <v>39</v>
      </c>
    </row>
    <row r="21" spans="1:45">
      <c r="A21" s="24">
        <v>17</v>
      </c>
      <c r="B21" s="19" t="s">
        <v>65</v>
      </c>
      <c r="C21" s="19" t="s">
        <v>66</v>
      </c>
      <c r="D21" s="11">
        <v>244</v>
      </c>
      <c r="E21" s="9">
        <v>226</v>
      </c>
      <c r="F21" s="9">
        <v>288</v>
      </c>
      <c r="G21" s="9">
        <v>198</v>
      </c>
      <c r="H21" s="9">
        <v>247</v>
      </c>
      <c r="I21" s="3"/>
      <c r="J21" s="21">
        <v>17</v>
      </c>
      <c r="K21" s="44" t="s">
        <v>80</v>
      </c>
      <c r="L21" s="44" t="s">
        <v>81</v>
      </c>
      <c r="M21" s="44" t="s">
        <v>79</v>
      </c>
      <c r="N21" s="11">
        <v>19.470302009466966</v>
      </c>
      <c r="O21" s="9">
        <v>27.538203961690311</v>
      </c>
      <c r="P21" s="9">
        <v>22.833106816563848</v>
      </c>
      <c r="Q21" s="9">
        <v>20.169262079071505</v>
      </c>
      <c r="R21" s="9">
        <v>27.316097421593774</v>
      </c>
      <c r="T21" s="23">
        <v>17</v>
      </c>
      <c r="U21" s="28"/>
      <c r="V21" s="28"/>
      <c r="W21" s="28"/>
      <c r="X21" s="28"/>
      <c r="Y21" s="11"/>
      <c r="Z21" s="9"/>
      <c r="AA21" s="9"/>
      <c r="AB21" s="9"/>
      <c r="AC21" s="9"/>
      <c r="AE21" s="48" t="s">
        <v>19</v>
      </c>
      <c r="AF21" s="29">
        <f>600+(600-AF19)</f>
        <v>951</v>
      </c>
      <c r="AG21" s="29">
        <f>AG19</f>
        <v>109</v>
      </c>
      <c r="AH21" s="48" t="s">
        <v>19</v>
      </c>
      <c r="AI21" s="29">
        <f>600+(600-AI19)</f>
        <v>963</v>
      </c>
      <c r="AJ21" s="29">
        <f>AJ19</f>
        <v>67</v>
      </c>
      <c r="AK21" s="48" t="s">
        <v>19</v>
      </c>
      <c r="AL21" s="29">
        <f t="shared" ref="AL21" si="29">600+(600-AL19)</f>
        <v>937</v>
      </c>
      <c r="AM21" s="29">
        <f t="shared" ref="AM21" si="30">AM19</f>
        <v>74</v>
      </c>
      <c r="AN21" s="48" t="s">
        <v>19</v>
      </c>
      <c r="AO21" s="29">
        <f t="shared" ref="AO21" si="31">600+(600-AO19)</f>
        <v>858</v>
      </c>
      <c r="AP21" s="29">
        <f t="shared" ref="AP21" si="32">AP19</f>
        <v>99</v>
      </c>
      <c r="AQ21" s="48" t="s">
        <v>19</v>
      </c>
      <c r="AR21" s="29">
        <f t="shared" ref="AR21" si="33">600+(600-AR19)</f>
        <v>971</v>
      </c>
      <c r="AS21" s="29">
        <f t="shared" ref="AS21" si="34">AS19</f>
        <v>67</v>
      </c>
    </row>
    <row r="22" spans="1:45">
      <c r="A22" s="24">
        <v>18</v>
      </c>
      <c r="B22" s="19" t="s">
        <v>76</v>
      </c>
      <c r="C22" s="19" t="s">
        <v>75</v>
      </c>
      <c r="D22" s="11">
        <v>35.057096285916209</v>
      </c>
      <c r="E22" s="9">
        <v>46.173585522460783</v>
      </c>
      <c r="F22" s="9">
        <v>49.040799340956916</v>
      </c>
      <c r="G22" s="9">
        <v>41.761226035642203</v>
      </c>
      <c r="H22" s="9">
        <v>50.803543183522152</v>
      </c>
      <c r="I22" s="3"/>
      <c r="J22" s="21">
        <v>18</v>
      </c>
      <c r="K22" s="27"/>
      <c r="L22" s="27"/>
      <c r="M22" s="27"/>
      <c r="N22" s="11"/>
      <c r="O22" s="9"/>
      <c r="P22" s="9"/>
      <c r="Q22" s="9"/>
      <c r="R22" s="9"/>
      <c r="T22" s="23">
        <v>18</v>
      </c>
      <c r="U22" s="28"/>
      <c r="V22" s="28"/>
      <c r="W22" s="28"/>
      <c r="X22" s="28"/>
      <c r="Y22" s="11"/>
      <c r="Z22" s="9"/>
      <c r="AA22" s="9"/>
      <c r="AB22" s="9"/>
      <c r="AC22" s="9"/>
      <c r="AE22" s="48" t="s">
        <v>20</v>
      </c>
      <c r="AF22" s="29">
        <v>328</v>
      </c>
      <c r="AG22" s="29">
        <v>582</v>
      </c>
      <c r="AH22" s="48" t="s">
        <v>20</v>
      </c>
      <c r="AI22" s="29">
        <v>349</v>
      </c>
      <c r="AJ22" s="29">
        <v>573</v>
      </c>
      <c r="AK22" s="48" t="s">
        <v>20</v>
      </c>
      <c r="AL22" s="29">
        <v>337</v>
      </c>
      <c r="AM22" s="29">
        <v>550</v>
      </c>
      <c r="AN22" s="49" t="s">
        <v>20</v>
      </c>
      <c r="AO22" s="30">
        <v>353</v>
      </c>
      <c r="AP22" s="30">
        <v>623</v>
      </c>
      <c r="AQ22" s="48" t="s">
        <v>20</v>
      </c>
      <c r="AR22" s="29">
        <v>333</v>
      </c>
      <c r="AS22" s="29">
        <v>553</v>
      </c>
    </row>
    <row r="23" spans="1:45">
      <c r="A23" s="24">
        <v>19</v>
      </c>
      <c r="B23" s="19" t="s">
        <v>73</v>
      </c>
      <c r="C23" s="19" t="s">
        <v>74</v>
      </c>
      <c r="D23" s="11">
        <v>235.55254190944322</v>
      </c>
      <c r="E23" s="9">
        <v>202.35612172603032</v>
      </c>
      <c r="F23" s="9">
        <v>251.45377308761942</v>
      </c>
      <c r="G23" s="9">
        <v>241.09956449566639</v>
      </c>
      <c r="H23" s="9">
        <v>223.89506470666117</v>
      </c>
      <c r="I23" s="3"/>
      <c r="J23" s="21">
        <v>19</v>
      </c>
      <c r="K23" s="27"/>
      <c r="L23" s="27"/>
      <c r="M23" s="27"/>
      <c r="N23" s="11"/>
      <c r="O23" s="9"/>
      <c r="P23" s="9"/>
      <c r="Q23" s="9"/>
      <c r="R23" s="9"/>
      <c r="T23" s="23">
        <v>19</v>
      </c>
      <c r="U23" s="28"/>
      <c r="V23" s="28"/>
      <c r="W23" s="28"/>
      <c r="X23" s="28"/>
      <c r="Y23" s="11"/>
      <c r="Z23" s="9"/>
      <c r="AA23" s="9"/>
      <c r="AB23" s="9"/>
      <c r="AC23" s="9"/>
      <c r="AE23" s="48" t="s">
        <v>21</v>
      </c>
      <c r="AF23" s="29">
        <v>419</v>
      </c>
      <c r="AG23" s="29">
        <v>595</v>
      </c>
      <c r="AH23" s="49" t="s">
        <v>21</v>
      </c>
      <c r="AI23" s="30">
        <v>436</v>
      </c>
      <c r="AJ23" s="30">
        <v>594</v>
      </c>
      <c r="AK23" s="48" t="s">
        <v>21</v>
      </c>
      <c r="AL23" s="29">
        <v>413</v>
      </c>
      <c r="AM23" s="29">
        <v>556</v>
      </c>
      <c r="AN23" s="49" t="s">
        <v>21</v>
      </c>
      <c r="AO23" s="30">
        <v>425</v>
      </c>
      <c r="AP23" s="30">
        <v>653</v>
      </c>
      <c r="AQ23" s="48" t="s">
        <v>21</v>
      </c>
      <c r="AR23" s="29">
        <v>413</v>
      </c>
      <c r="AS23" s="29">
        <v>516</v>
      </c>
    </row>
    <row r="24" spans="1:45">
      <c r="A24" s="24">
        <v>20</v>
      </c>
      <c r="B24" s="19"/>
      <c r="C24" s="19"/>
      <c r="D24" s="11"/>
      <c r="E24" s="9"/>
      <c r="F24" s="9"/>
      <c r="G24" s="9"/>
      <c r="H24" s="9"/>
      <c r="I24" s="3"/>
      <c r="J24" s="21">
        <v>20</v>
      </c>
      <c r="K24" s="27"/>
      <c r="L24" s="27"/>
      <c r="M24" s="27"/>
      <c r="N24" s="11"/>
      <c r="O24" s="9"/>
      <c r="P24" s="9"/>
      <c r="Q24" s="9"/>
      <c r="R24" s="9"/>
      <c r="T24" s="23">
        <v>20</v>
      </c>
      <c r="U24" s="28"/>
      <c r="V24" s="28"/>
      <c r="W24" s="28"/>
      <c r="X24" s="28"/>
      <c r="Y24" s="11"/>
      <c r="Z24" s="9"/>
      <c r="AA24" s="9"/>
      <c r="AB24" s="9"/>
      <c r="AC24" s="9"/>
      <c r="AE24" s="48" t="s">
        <v>22</v>
      </c>
      <c r="AF24" s="29">
        <v>491</v>
      </c>
      <c r="AG24" s="29">
        <v>581</v>
      </c>
      <c r="AH24" s="49" t="s">
        <v>22</v>
      </c>
      <c r="AI24" s="30">
        <v>495</v>
      </c>
      <c r="AJ24" s="30">
        <v>569</v>
      </c>
      <c r="AK24" s="48" t="s">
        <v>22</v>
      </c>
      <c r="AL24" s="29">
        <v>480</v>
      </c>
      <c r="AM24" s="29">
        <v>545</v>
      </c>
      <c r="AN24" s="49" t="s">
        <v>22</v>
      </c>
      <c r="AO24" s="30">
        <v>507</v>
      </c>
      <c r="AP24" s="30">
        <v>653</v>
      </c>
      <c r="AQ24" s="48" t="s">
        <v>22</v>
      </c>
      <c r="AR24" s="29">
        <v>485</v>
      </c>
      <c r="AS24" s="29">
        <v>561</v>
      </c>
    </row>
    <row r="25" spans="1:45" ht="15.75" customHeight="1">
      <c r="A25" s="24">
        <v>21</v>
      </c>
      <c r="B25" s="19"/>
      <c r="C25" s="19"/>
      <c r="D25" s="9"/>
      <c r="E25" s="9"/>
      <c r="F25" s="9"/>
      <c r="G25" s="9"/>
      <c r="H25" s="9"/>
      <c r="I25" s="3"/>
      <c r="J25" s="21">
        <v>21</v>
      </c>
      <c r="K25" s="27"/>
      <c r="L25" s="27"/>
      <c r="M25" s="27"/>
      <c r="N25" s="11"/>
      <c r="O25" s="9"/>
      <c r="P25" s="9"/>
      <c r="Q25" s="9"/>
      <c r="R25" s="9"/>
      <c r="T25" s="23">
        <v>21</v>
      </c>
      <c r="U25" s="28"/>
      <c r="V25" s="28"/>
      <c r="W25" s="28"/>
      <c r="X25" s="28"/>
      <c r="Y25" s="11"/>
      <c r="Z25" s="9"/>
      <c r="AA25" s="9"/>
      <c r="AB25" s="9"/>
      <c r="AC25" s="9"/>
      <c r="AE25" s="48" t="s">
        <v>23</v>
      </c>
      <c r="AF25" s="29">
        <v>418</v>
      </c>
      <c r="AG25" s="29">
        <v>531</v>
      </c>
      <c r="AH25" s="49" t="s">
        <v>23</v>
      </c>
      <c r="AI25" s="30">
        <v>432</v>
      </c>
      <c r="AJ25" s="30">
        <v>535</v>
      </c>
      <c r="AK25" s="48" t="s">
        <v>23</v>
      </c>
      <c r="AL25" s="29">
        <v>407</v>
      </c>
      <c r="AM25" s="29">
        <v>515</v>
      </c>
      <c r="AN25" s="49" t="s">
        <v>23</v>
      </c>
      <c r="AO25" s="30">
        <v>427</v>
      </c>
      <c r="AP25" s="30">
        <v>586</v>
      </c>
      <c r="AQ25" s="48" t="s">
        <v>23</v>
      </c>
      <c r="AR25" s="29">
        <v>416</v>
      </c>
      <c r="AS25" s="29">
        <v>512</v>
      </c>
    </row>
    <row r="26" spans="1:45" ht="16.5" customHeight="1">
      <c r="A26" s="24">
        <v>22</v>
      </c>
      <c r="B26" s="19"/>
      <c r="C26" s="19"/>
      <c r="D26" s="9"/>
      <c r="E26" s="9"/>
      <c r="F26" s="9"/>
      <c r="G26" s="9"/>
      <c r="H26" s="9"/>
      <c r="I26" s="3"/>
      <c r="J26" s="21">
        <v>22</v>
      </c>
      <c r="K26" s="27"/>
      <c r="L26" s="27"/>
      <c r="M26" s="27"/>
      <c r="N26" s="11"/>
      <c r="O26" s="9"/>
      <c r="P26" s="9"/>
      <c r="Q26" s="9"/>
      <c r="R26" s="9"/>
      <c r="T26" s="23">
        <v>22</v>
      </c>
      <c r="U26" s="28"/>
      <c r="V26" s="28"/>
      <c r="W26" s="28"/>
      <c r="X26" s="28"/>
      <c r="Y26" s="11"/>
      <c r="Z26" s="9"/>
      <c r="AA26" s="9"/>
      <c r="AB26" s="9"/>
      <c r="AC26" s="9"/>
      <c r="AE26" s="48" t="s">
        <v>24</v>
      </c>
      <c r="AF26" s="31">
        <v>1180</v>
      </c>
      <c r="AG26" s="31">
        <v>1180</v>
      </c>
      <c r="AH26" s="49" t="s">
        <v>24</v>
      </c>
      <c r="AI26" s="30">
        <v>1180</v>
      </c>
      <c r="AJ26" s="30">
        <v>1180</v>
      </c>
      <c r="AK26" s="48" t="s">
        <v>24</v>
      </c>
      <c r="AL26" s="31">
        <v>1180</v>
      </c>
      <c r="AM26" s="31">
        <v>1180</v>
      </c>
      <c r="AN26" s="49" t="s">
        <v>24</v>
      </c>
      <c r="AO26" s="30">
        <v>1180</v>
      </c>
      <c r="AP26" s="30">
        <v>1180</v>
      </c>
      <c r="AQ26" s="32" t="s">
        <v>24</v>
      </c>
      <c r="AR26" s="31">
        <v>1180</v>
      </c>
      <c r="AS26" s="31">
        <v>1180</v>
      </c>
    </row>
    <row r="27" spans="1:45">
      <c r="A27" s="24">
        <v>23</v>
      </c>
      <c r="B27" s="19"/>
      <c r="C27" s="19"/>
      <c r="D27" s="9"/>
      <c r="E27" s="9"/>
      <c r="F27" s="9"/>
      <c r="G27" s="9"/>
      <c r="H27" s="9"/>
      <c r="J27" s="21">
        <v>23</v>
      </c>
      <c r="K27" s="27"/>
      <c r="L27" s="27"/>
      <c r="M27" s="27"/>
      <c r="N27" s="11"/>
      <c r="O27" s="9"/>
      <c r="P27" s="9"/>
      <c r="Q27" s="9"/>
      <c r="R27" s="9"/>
      <c r="T27" s="23">
        <v>23</v>
      </c>
      <c r="U27" s="28"/>
      <c r="V27" s="28"/>
      <c r="W27" s="28"/>
      <c r="X27" s="28"/>
      <c r="Y27" s="11"/>
      <c r="Z27" s="9"/>
      <c r="AA27" s="9"/>
      <c r="AB27" s="9"/>
      <c r="AC27" s="9"/>
      <c r="AE27" s="46" t="s">
        <v>67</v>
      </c>
      <c r="AF27" s="8">
        <v>600</v>
      </c>
      <c r="AG27" s="37">
        <v>0</v>
      </c>
      <c r="AH27" s="46" t="s">
        <v>67</v>
      </c>
      <c r="AI27" s="9">
        <v>600</v>
      </c>
      <c r="AJ27" s="38">
        <v>0</v>
      </c>
      <c r="AK27" s="46" t="s">
        <v>67</v>
      </c>
      <c r="AL27" s="8">
        <v>600</v>
      </c>
      <c r="AM27" s="37">
        <v>0</v>
      </c>
      <c r="AN27" s="46" t="s">
        <v>67</v>
      </c>
      <c r="AO27" s="9">
        <v>600</v>
      </c>
      <c r="AP27" s="38">
        <v>0</v>
      </c>
      <c r="AQ27" s="46" t="s">
        <v>67</v>
      </c>
      <c r="AR27" s="8">
        <v>600</v>
      </c>
      <c r="AS27" s="37">
        <v>0</v>
      </c>
    </row>
    <row r="28" spans="1:45" s="7" customFormat="1">
      <c r="A28" s="24">
        <v>24</v>
      </c>
      <c r="B28" s="19"/>
      <c r="C28" s="19"/>
      <c r="D28" s="9"/>
      <c r="E28" s="12"/>
      <c r="F28" s="12"/>
      <c r="G28" s="12"/>
      <c r="H28" s="12"/>
      <c r="J28" s="21">
        <v>24</v>
      </c>
      <c r="K28" s="27"/>
      <c r="L28" s="27"/>
      <c r="M28" s="27"/>
      <c r="N28" s="17"/>
      <c r="O28" s="12"/>
      <c r="P28" s="12"/>
      <c r="Q28" s="12"/>
      <c r="R28" s="12"/>
      <c r="T28" s="23">
        <v>24</v>
      </c>
      <c r="U28" s="28"/>
      <c r="V28" s="28"/>
      <c r="W28" s="28"/>
      <c r="X28" s="28"/>
      <c r="Y28" s="17"/>
      <c r="Z28" s="12"/>
      <c r="AA28" s="12"/>
      <c r="AB28" s="12"/>
      <c r="AC28" s="12"/>
      <c r="AE28" s="46" t="s">
        <v>68</v>
      </c>
      <c r="AF28" s="8">
        <v>412</v>
      </c>
      <c r="AG28" s="37">
        <v>445</v>
      </c>
      <c r="AH28" s="46" t="s">
        <v>68</v>
      </c>
      <c r="AI28" s="9">
        <v>425</v>
      </c>
      <c r="AJ28" s="38">
        <v>431</v>
      </c>
      <c r="AK28" s="46" t="s">
        <v>68</v>
      </c>
      <c r="AL28" s="8">
        <v>415</v>
      </c>
      <c r="AM28" s="37">
        <v>389</v>
      </c>
      <c r="AN28" s="46" t="s">
        <v>68</v>
      </c>
      <c r="AO28" s="9">
        <v>415</v>
      </c>
      <c r="AP28" s="38">
        <v>499</v>
      </c>
      <c r="AQ28" s="46" t="s">
        <v>68</v>
      </c>
      <c r="AR28" s="8">
        <v>418</v>
      </c>
      <c r="AS28" s="37">
        <v>378</v>
      </c>
    </row>
    <row r="29" spans="1:45">
      <c r="A29" s="24">
        <v>25</v>
      </c>
      <c r="B29" s="19"/>
      <c r="C29" s="19"/>
      <c r="D29" s="18"/>
      <c r="E29" s="13"/>
      <c r="F29" s="9"/>
      <c r="G29" s="9"/>
      <c r="H29" s="9"/>
      <c r="J29" s="21">
        <v>25</v>
      </c>
      <c r="K29" s="27"/>
      <c r="L29" s="27"/>
      <c r="M29" s="27"/>
      <c r="N29" s="11"/>
      <c r="O29" s="9"/>
      <c r="P29" s="9"/>
      <c r="Q29" s="9"/>
      <c r="R29" s="9"/>
      <c r="T29" s="23">
        <v>25</v>
      </c>
      <c r="U29" s="28"/>
      <c r="V29" s="28"/>
      <c r="W29" s="28"/>
      <c r="X29" s="28"/>
      <c r="Y29" s="11"/>
      <c r="Z29" s="9"/>
      <c r="AA29" s="9"/>
      <c r="AB29" s="9"/>
      <c r="AC29" s="9"/>
      <c r="AE29" s="46" t="s">
        <v>69</v>
      </c>
      <c r="AF29" s="8">
        <v>277</v>
      </c>
      <c r="AG29" s="37">
        <v>507</v>
      </c>
      <c r="AH29" s="46" t="s">
        <v>69</v>
      </c>
      <c r="AI29" s="9">
        <v>314</v>
      </c>
      <c r="AJ29" s="38">
        <v>480</v>
      </c>
      <c r="AK29" s="46" t="s">
        <v>69</v>
      </c>
      <c r="AL29" s="8">
        <v>284</v>
      </c>
      <c r="AM29" s="37">
        <v>456</v>
      </c>
      <c r="AN29" s="46" t="s">
        <v>69</v>
      </c>
      <c r="AO29" s="9">
        <v>280</v>
      </c>
      <c r="AP29" s="38">
        <v>534</v>
      </c>
      <c r="AQ29" s="46" t="s">
        <v>69</v>
      </c>
      <c r="AR29" s="8">
        <v>290</v>
      </c>
      <c r="AS29" s="37">
        <v>453</v>
      </c>
    </row>
    <row r="30" spans="1:45">
      <c r="A30" s="24">
        <v>26</v>
      </c>
      <c r="B30" s="19"/>
      <c r="C30" s="19"/>
      <c r="D30" s="11"/>
      <c r="E30" s="9"/>
      <c r="F30" s="9"/>
      <c r="G30" s="9"/>
      <c r="H30" s="9"/>
      <c r="J30" s="21">
        <v>26</v>
      </c>
      <c r="K30" s="27"/>
      <c r="L30" s="27"/>
      <c r="M30" s="27"/>
      <c r="N30" s="11"/>
      <c r="O30" s="9"/>
      <c r="P30" s="9"/>
      <c r="Q30" s="9"/>
      <c r="R30" s="9"/>
      <c r="T30" s="23">
        <v>26</v>
      </c>
      <c r="U30" s="28"/>
      <c r="V30" s="28"/>
      <c r="W30" s="28"/>
      <c r="X30" s="28"/>
      <c r="Y30" s="11"/>
      <c r="Z30" s="9"/>
      <c r="AA30" s="9"/>
      <c r="AB30" s="9"/>
      <c r="AC30" s="9"/>
      <c r="AE30" s="46" t="s">
        <v>70</v>
      </c>
      <c r="AF30" s="8">
        <v>511</v>
      </c>
      <c r="AG30" s="37">
        <v>480</v>
      </c>
      <c r="AH30" s="46" t="s">
        <v>70</v>
      </c>
      <c r="AI30" s="9">
        <v>516</v>
      </c>
      <c r="AJ30" s="38">
        <v>468</v>
      </c>
      <c r="AK30" s="46" t="s">
        <v>70</v>
      </c>
      <c r="AL30" s="8">
        <v>534</v>
      </c>
      <c r="AM30" s="37">
        <v>429</v>
      </c>
      <c r="AN30" s="46" t="s">
        <v>70</v>
      </c>
      <c r="AO30" s="9">
        <v>520</v>
      </c>
      <c r="AP30" s="38">
        <v>557</v>
      </c>
      <c r="AQ30" s="46" t="s">
        <v>70</v>
      </c>
      <c r="AR30" s="8">
        <v>513</v>
      </c>
      <c r="AS30" s="37">
        <v>433</v>
      </c>
    </row>
    <row r="31" spans="1:45">
      <c r="A31" s="24">
        <v>27</v>
      </c>
      <c r="B31" s="19"/>
      <c r="C31" s="19"/>
      <c r="D31" s="11"/>
      <c r="E31" s="9"/>
      <c r="F31" s="9"/>
      <c r="G31" s="9"/>
      <c r="H31" s="9"/>
      <c r="J31" s="21">
        <v>27</v>
      </c>
      <c r="K31" s="27"/>
      <c r="L31" s="27"/>
      <c r="M31" s="27"/>
      <c r="N31" s="11"/>
      <c r="O31" s="9"/>
      <c r="P31" s="9"/>
      <c r="Q31" s="9"/>
      <c r="R31" s="9"/>
      <c r="T31" s="23">
        <v>27</v>
      </c>
      <c r="U31" s="28"/>
      <c r="V31" s="28"/>
      <c r="W31" s="28"/>
      <c r="X31" s="28"/>
      <c r="Y31" s="11"/>
      <c r="Z31" s="9"/>
      <c r="AA31" s="9"/>
      <c r="AB31" s="9"/>
      <c r="AC31" s="9"/>
      <c r="AE31" s="46" t="s">
        <v>71</v>
      </c>
      <c r="AF31" s="8">
        <v>414</v>
      </c>
      <c r="AG31" s="37">
        <v>480</v>
      </c>
      <c r="AH31" s="46" t="s">
        <v>71</v>
      </c>
      <c r="AI31" s="9">
        <v>421</v>
      </c>
      <c r="AJ31" s="38">
        <v>477</v>
      </c>
      <c r="AK31" s="46" t="s">
        <v>71</v>
      </c>
      <c r="AL31" s="8">
        <v>413</v>
      </c>
      <c r="AM31" s="37">
        <v>438</v>
      </c>
      <c r="AN31" s="46" t="s">
        <v>71</v>
      </c>
      <c r="AO31" s="9">
        <v>403</v>
      </c>
      <c r="AP31" s="38">
        <v>539</v>
      </c>
      <c r="AQ31" s="46" t="s">
        <v>71</v>
      </c>
      <c r="AR31" s="8">
        <v>409</v>
      </c>
      <c r="AS31" s="37">
        <v>428</v>
      </c>
    </row>
    <row r="32" spans="1:45">
      <c r="A32" s="24">
        <v>28</v>
      </c>
      <c r="B32" s="19"/>
      <c r="C32" s="19"/>
      <c r="D32" s="11"/>
      <c r="E32" s="9"/>
      <c r="F32" s="9"/>
      <c r="G32" s="9"/>
      <c r="H32" s="9"/>
      <c r="J32" s="21">
        <v>28</v>
      </c>
      <c r="K32" s="27"/>
      <c r="L32" s="27"/>
      <c r="M32" s="27"/>
      <c r="N32" s="11"/>
      <c r="O32" s="9"/>
      <c r="P32" s="9"/>
      <c r="Q32" s="9"/>
      <c r="R32" s="9"/>
      <c r="T32" s="23">
        <v>28</v>
      </c>
      <c r="U32" s="28"/>
      <c r="V32" s="28"/>
      <c r="W32" s="28"/>
      <c r="X32" s="28"/>
      <c r="Y32" s="11"/>
      <c r="Z32" s="9"/>
      <c r="AA32" s="9"/>
      <c r="AB32" s="9"/>
      <c r="AC32" s="9"/>
      <c r="AE32" s="46"/>
      <c r="AF32" s="8"/>
      <c r="AG32" s="37"/>
      <c r="AH32" s="46"/>
      <c r="AI32" s="9"/>
      <c r="AJ32" s="38"/>
      <c r="AK32" s="46"/>
      <c r="AL32" s="8"/>
      <c r="AM32" s="37"/>
      <c r="AN32" s="46"/>
      <c r="AO32" s="9"/>
      <c r="AP32" s="38"/>
      <c r="AQ32" s="46"/>
      <c r="AR32" s="8"/>
      <c r="AS32" s="37"/>
    </row>
    <row r="33" spans="1:45">
      <c r="A33" s="24">
        <v>29</v>
      </c>
      <c r="B33" s="19"/>
      <c r="C33" s="19"/>
      <c r="D33" s="11"/>
      <c r="E33" s="9"/>
      <c r="F33" s="9"/>
      <c r="G33" s="9"/>
      <c r="H33" s="9"/>
      <c r="J33" s="21">
        <v>29</v>
      </c>
      <c r="K33" s="27"/>
      <c r="L33" s="27"/>
      <c r="M33" s="27"/>
      <c r="N33" s="11"/>
      <c r="O33" s="9"/>
      <c r="P33" s="9"/>
      <c r="Q33" s="9"/>
      <c r="R33" s="9"/>
      <c r="T33" s="23">
        <v>29</v>
      </c>
      <c r="U33" s="28"/>
      <c r="V33" s="28"/>
      <c r="W33" s="28"/>
      <c r="X33" s="28"/>
      <c r="Y33" s="11"/>
      <c r="Z33" s="9"/>
      <c r="AA33" s="9"/>
      <c r="AB33" s="9"/>
      <c r="AC33" s="9"/>
      <c r="AE33" s="46"/>
      <c r="AF33" s="8"/>
      <c r="AG33" s="37"/>
      <c r="AH33" s="47"/>
      <c r="AI33" s="9"/>
      <c r="AJ33" s="38"/>
      <c r="AK33" s="46"/>
      <c r="AL33" s="8"/>
      <c r="AM33" s="37"/>
      <c r="AN33" s="47"/>
      <c r="AO33" s="9"/>
      <c r="AP33" s="38"/>
      <c r="AQ33" s="46"/>
      <c r="AR33" s="8"/>
      <c r="AS33" s="37"/>
    </row>
    <row r="34" spans="1:45">
      <c r="A34" s="24">
        <v>30</v>
      </c>
      <c r="B34" s="19"/>
      <c r="C34" s="19"/>
      <c r="D34" s="11"/>
      <c r="E34" s="9"/>
      <c r="F34" s="9"/>
      <c r="G34" s="9"/>
      <c r="H34" s="9"/>
      <c r="J34" s="21">
        <v>30</v>
      </c>
      <c r="K34" s="27"/>
      <c r="L34" s="27"/>
      <c r="M34" s="27"/>
      <c r="N34" s="11"/>
      <c r="O34" s="9"/>
      <c r="P34" s="9"/>
      <c r="Q34" s="9"/>
      <c r="R34" s="9"/>
      <c r="T34" s="23">
        <v>30</v>
      </c>
      <c r="U34" s="28"/>
      <c r="V34" s="28"/>
      <c r="W34" s="28"/>
      <c r="X34" s="28"/>
      <c r="Y34" s="11"/>
      <c r="Z34" s="9"/>
      <c r="AA34" s="9"/>
      <c r="AB34" s="9"/>
      <c r="AC34" s="9"/>
      <c r="AE34" s="26"/>
      <c r="AF34" s="8"/>
      <c r="AG34" s="6"/>
      <c r="AH34" s="5"/>
      <c r="AI34" s="9"/>
      <c r="AJ34" s="16"/>
      <c r="AK34" s="26"/>
      <c r="AL34" s="8"/>
      <c r="AM34" s="6"/>
      <c r="AN34" s="5"/>
      <c r="AO34" s="9"/>
      <c r="AP34" s="16"/>
      <c r="AQ34" s="26"/>
      <c r="AR34" s="8"/>
      <c r="AS34" s="6"/>
    </row>
    <row r="35" spans="1:45">
      <c r="A35" s="25"/>
      <c r="B35" s="15"/>
      <c r="C35" s="15"/>
      <c r="D35" s="14"/>
      <c r="E35" s="14"/>
    </row>
    <row r="36" spans="1:45" ht="15.75" customHeight="1">
      <c r="A36" s="79" t="s">
        <v>64</v>
      </c>
      <c r="B36" s="79"/>
      <c r="C36" s="79"/>
      <c r="D36" s="79"/>
      <c r="E36" s="79"/>
      <c r="F36" s="79"/>
      <c r="G36" s="79"/>
      <c r="H36" s="79"/>
      <c r="I36" s="20"/>
      <c r="J36" s="79" t="s">
        <v>64</v>
      </c>
      <c r="K36" s="80"/>
      <c r="L36" s="80"/>
      <c r="M36" s="80"/>
      <c r="N36" s="80"/>
      <c r="O36" s="80"/>
      <c r="P36" s="80"/>
      <c r="Q36" s="80"/>
      <c r="R36" s="80"/>
      <c r="T36" s="79" t="s">
        <v>64</v>
      </c>
      <c r="U36" s="80"/>
      <c r="V36" s="80"/>
      <c r="W36" s="80"/>
      <c r="X36" s="80"/>
      <c r="Y36" s="80"/>
      <c r="Z36" s="80"/>
      <c r="AA36" s="80"/>
      <c r="AB36" s="80"/>
      <c r="AC36" s="80"/>
      <c r="AE36" s="80" t="s">
        <v>63</v>
      </c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</row>
    <row r="37" spans="1:45" ht="15.75" customHeight="1">
      <c r="A37" s="79"/>
      <c r="B37" s="79"/>
      <c r="C37" s="79"/>
      <c r="D37" s="79"/>
      <c r="E37" s="79"/>
      <c r="F37" s="79"/>
      <c r="G37" s="79"/>
      <c r="H37" s="79"/>
      <c r="I37" s="20"/>
      <c r="J37" s="80"/>
      <c r="K37" s="80"/>
      <c r="L37" s="80"/>
      <c r="M37" s="80"/>
      <c r="N37" s="80"/>
      <c r="O37" s="80"/>
      <c r="P37" s="80"/>
      <c r="Q37" s="80"/>
      <c r="R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</row>
    <row r="38" spans="1:45">
      <c r="A38" s="79"/>
      <c r="B38" s="79"/>
      <c r="C38" s="79"/>
      <c r="D38" s="79"/>
      <c r="E38" s="79"/>
      <c r="F38" s="79"/>
      <c r="G38" s="79"/>
      <c r="H38" s="79"/>
      <c r="J38" s="80"/>
      <c r="K38" s="80"/>
      <c r="L38" s="80"/>
      <c r="M38" s="80"/>
      <c r="N38" s="80"/>
      <c r="O38" s="80"/>
      <c r="P38" s="80"/>
      <c r="Q38" s="80"/>
      <c r="R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</row>
    <row r="39" spans="1:45">
      <c r="A39" s="25"/>
      <c r="B39" s="15"/>
      <c r="C39" s="15"/>
      <c r="D39" s="14"/>
      <c r="E39" s="14"/>
    </row>
    <row r="40" spans="1:45">
      <c r="A40" s="25"/>
      <c r="B40" s="15"/>
      <c r="C40" s="15"/>
      <c r="D40" s="14"/>
      <c r="E40" s="14"/>
    </row>
    <row r="41" spans="1:45">
      <c r="A41" s="25"/>
      <c r="B41" s="15"/>
      <c r="C41" s="15"/>
      <c r="D41" s="14"/>
      <c r="E41" s="14"/>
    </row>
    <row r="42" spans="1:45">
      <c r="A42" s="25"/>
      <c r="B42" s="15"/>
      <c r="C42" s="15"/>
      <c r="D42" s="14"/>
      <c r="E42" s="14"/>
    </row>
    <row r="43" spans="1:45">
      <c r="A43" s="25"/>
      <c r="B43" s="15"/>
      <c r="C43" s="15"/>
      <c r="D43" s="14"/>
      <c r="E43" s="14"/>
    </row>
    <row r="44" spans="1:45">
      <c r="A44" s="25"/>
      <c r="B44" s="15"/>
      <c r="C44" s="15"/>
      <c r="D44" s="14"/>
      <c r="E44" s="14"/>
    </row>
    <row r="45" spans="1:45">
      <c r="A45" s="25"/>
      <c r="B45" s="15"/>
      <c r="C45" s="15"/>
      <c r="D45" s="14"/>
      <c r="E45" s="14"/>
    </row>
    <row r="46" spans="1:45">
      <c r="A46" s="25"/>
      <c r="B46" s="15"/>
      <c r="C46" s="15"/>
      <c r="D46" s="14"/>
      <c r="E46" s="14"/>
    </row>
    <row r="47" spans="1:45">
      <c r="A47" s="25"/>
      <c r="B47" s="15"/>
      <c r="C47" s="15"/>
      <c r="D47" s="14"/>
      <c r="E47" s="14"/>
    </row>
    <row r="48" spans="1:45">
      <c r="A48" s="25"/>
      <c r="B48" s="15"/>
      <c r="C48" s="15"/>
      <c r="D48" s="14"/>
      <c r="E48" s="14"/>
    </row>
    <row r="49" spans="1:5">
      <c r="A49" s="25"/>
      <c r="B49" s="15"/>
      <c r="C49" s="15"/>
      <c r="D49" s="14"/>
      <c r="E49" s="14"/>
    </row>
    <row r="50" spans="1:5">
      <c r="A50" s="25"/>
      <c r="B50" s="15"/>
      <c r="C50" s="15"/>
      <c r="D50" s="14"/>
      <c r="E50" s="14"/>
    </row>
    <row r="51" spans="1:5">
      <c r="A51" s="25"/>
      <c r="B51" s="15"/>
      <c r="C51" s="15"/>
      <c r="D51" s="14"/>
      <c r="E51" s="14"/>
    </row>
    <row r="52" spans="1:5">
      <c r="A52" s="25"/>
      <c r="B52" s="15"/>
      <c r="C52" s="15"/>
      <c r="D52" s="14"/>
      <c r="E52" s="14"/>
    </row>
  </sheetData>
  <mergeCells count="27">
    <mergeCell ref="AK2:AM2"/>
    <mergeCell ref="A1:H1"/>
    <mergeCell ref="J1:R1"/>
    <mergeCell ref="T1:AC1"/>
    <mergeCell ref="AE1:AS1"/>
    <mergeCell ref="A2:C4"/>
    <mergeCell ref="D2:F3"/>
    <mergeCell ref="G2:H3"/>
    <mergeCell ref="J2:M4"/>
    <mergeCell ref="N2:P3"/>
    <mergeCell ref="Q2:R3"/>
    <mergeCell ref="A36:H38"/>
    <mergeCell ref="J36:R38"/>
    <mergeCell ref="T36:AC38"/>
    <mergeCell ref="AE36:AS38"/>
    <mergeCell ref="AN2:AP2"/>
    <mergeCell ref="AQ2:AS2"/>
    <mergeCell ref="AF3:AG3"/>
    <mergeCell ref="AI3:AJ3"/>
    <mergeCell ref="AL3:AM3"/>
    <mergeCell ref="AO3:AP3"/>
    <mergeCell ref="AR3:AS3"/>
    <mergeCell ref="T2:X4"/>
    <mergeCell ref="Y2:AA3"/>
    <mergeCell ref="AB2:AC3"/>
    <mergeCell ref="AE2:AG2"/>
    <mergeCell ref="AH2:AJ2"/>
  </mergeCells>
  <phoneticPr fontId="7" type="noConversion"/>
  <conditionalFormatting sqref="Y1:AC1 Y4:AC35 Y2 Y39:AC1048576">
    <cfRule type="cellIs" dxfId="21" priority="1" operator="lessThan">
      <formula>0</formula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/>
  <dimension ref="A1:AS52"/>
  <sheetViews>
    <sheetView tabSelected="1" topLeftCell="A12" zoomScale="85" zoomScaleNormal="85" workbookViewId="0">
      <selection activeCell="B24" sqref="B24"/>
    </sheetView>
  </sheetViews>
  <sheetFormatPr defaultColWidth="9" defaultRowHeight="15.5"/>
  <cols>
    <col min="1" max="1" width="3.58203125" style="22" customWidth="1"/>
    <col min="2" max="3" width="3.58203125" style="4" customWidth="1"/>
    <col min="4" max="8" width="10.58203125" style="10" customWidth="1"/>
    <col min="9" max="9" width="2.08203125" style="1" customWidth="1"/>
    <col min="10" max="10" width="3.58203125" style="22" customWidth="1"/>
    <col min="11" max="12" width="3.58203125" style="4" customWidth="1"/>
    <col min="13" max="13" width="3.08203125" style="4" bestFit="1" customWidth="1"/>
    <col min="14" max="18" width="10.58203125" style="10" customWidth="1"/>
    <col min="19" max="19" width="2.08203125" style="1" customWidth="1"/>
    <col min="20" max="20" width="3.58203125" style="22" customWidth="1"/>
    <col min="21" max="23" width="3.58203125" style="4" customWidth="1"/>
    <col min="24" max="24" width="3.08203125" style="4" bestFit="1" customWidth="1"/>
    <col min="25" max="29" width="10.58203125" style="10" customWidth="1"/>
    <col min="30" max="30" width="2.08203125" style="1" customWidth="1"/>
    <col min="31" max="31" width="7.58203125" style="4" customWidth="1"/>
    <col min="32" max="32" width="10.58203125" style="10" customWidth="1"/>
    <col min="33" max="33" width="10.58203125" style="1" customWidth="1"/>
    <col min="34" max="34" width="7.58203125" style="4" customWidth="1"/>
    <col min="35" max="35" width="10.58203125" style="10" customWidth="1"/>
    <col min="36" max="36" width="10.58203125" style="1" customWidth="1"/>
    <col min="37" max="37" width="7.58203125" style="4" customWidth="1"/>
    <col min="38" max="38" width="10.58203125" style="10" customWidth="1"/>
    <col min="39" max="39" width="10.58203125" style="1" customWidth="1"/>
    <col min="40" max="40" width="7.58203125" style="4" customWidth="1"/>
    <col min="41" max="41" width="10.58203125" style="10" customWidth="1"/>
    <col min="42" max="42" width="10.58203125" style="1" customWidth="1"/>
    <col min="43" max="16384" width="9" style="1"/>
  </cols>
  <sheetData>
    <row r="1" spans="1:45" ht="24" customHeight="1">
      <c r="A1" s="57" t="s">
        <v>58</v>
      </c>
      <c r="B1" s="57"/>
      <c r="C1" s="57"/>
      <c r="D1" s="57"/>
      <c r="E1" s="57"/>
      <c r="F1" s="57"/>
      <c r="G1" s="57"/>
      <c r="H1" s="58"/>
      <c r="J1" s="59" t="s">
        <v>60</v>
      </c>
      <c r="K1" s="59"/>
      <c r="L1" s="59"/>
      <c r="M1" s="59"/>
      <c r="N1" s="59"/>
      <c r="O1" s="59"/>
      <c r="P1" s="59"/>
      <c r="Q1" s="59"/>
      <c r="R1" s="59"/>
      <c r="T1" s="60" t="s">
        <v>59</v>
      </c>
      <c r="U1" s="60"/>
      <c r="V1" s="60"/>
      <c r="W1" s="60"/>
      <c r="X1" s="60"/>
      <c r="Y1" s="60"/>
      <c r="Z1" s="60"/>
      <c r="AA1" s="60"/>
      <c r="AB1" s="60"/>
      <c r="AC1" s="60"/>
      <c r="AE1" s="61" t="s">
        <v>179</v>
      </c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</row>
    <row r="2" spans="1:45" s="2" customFormat="1" ht="19.5" customHeight="1">
      <c r="A2" s="63" t="s">
        <v>55</v>
      </c>
      <c r="B2" s="63"/>
      <c r="C2" s="63"/>
      <c r="D2" s="65"/>
      <c r="E2" s="66"/>
      <c r="F2" s="67"/>
      <c r="G2" s="65"/>
      <c r="H2" s="67"/>
      <c r="J2" s="71" t="s">
        <v>56</v>
      </c>
      <c r="K2" s="71"/>
      <c r="L2" s="71"/>
      <c r="M2" s="71"/>
      <c r="N2" s="73"/>
      <c r="O2" s="74"/>
      <c r="P2" s="75"/>
      <c r="Q2" s="73"/>
      <c r="R2" s="75"/>
      <c r="T2" s="90" t="s">
        <v>57</v>
      </c>
      <c r="U2" s="90"/>
      <c r="V2" s="90"/>
      <c r="W2" s="90"/>
      <c r="X2" s="90"/>
      <c r="Y2" s="92"/>
      <c r="Z2" s="93"/>
      <c r="AA2" s="94"/>
      <c r="AB2" s="92"/>
      <c r="AC2" s="94"/>
      <c r="AE2" s="54" t="s">
        <v>130</v>
      </c>
      <c r="AF2" s="55"/>
      <c r="AG2" s="56"/>
      <c r="AH2" s="81" t="s">
        <v>131</v>
      </c>
      <c r="AI2" s="82"/>
      <c r="AJ2" s="83"/>
      <c r="AK2" s="54" t="s">
        <v>132</v>
      </c>
      <c r="AL2" s="55"/>
      <c r="AM2" s="56"/>
      <c r="AN2" s="81" t="s">
        <v>133</v>
      </c>
      <c r="AO2" s="82"/>
      <c r="AP2" s="83"/>
      <c r="AQ2" s="54" t="s">
        <v>134</v>
      </c>
      <c r="AR2" s="55"/>
      <c r="AS2" s="56"/>
    </row>
    <row r="3" spans="1:45" ht="16.5" customHeight="1">
      <c r="A3" s="63"/>
      <c r="B3" s="63"/>
      <c r="C3" s="63"/>
      <c r="D3" s="68"/>
      <c r="E3" s="69"/>
      <c r="F3" s="70"/>
      <c r="G3" s="68"/>
      <c r="H3" s="70"/>
      <c r="J3" s="71"/>
      <c r="K3" s="71"/>
      <c r="L3" s="71"/>
      <c r="M3" s="71"/>
      <c r="N3" s="76"/>
      <c r="O3" s="77"/>
      <c r="P3" s="78"/>
      <c r="Q3" s="76"/>
      <c r="R3" s="78"/>
      <c r="T3" s="90"/>
      <c r="U3" s="90"/>
      <c r="V3" s="90"/>
      <c r="W3" s="90"/>
      <c r="X3" s="90"/>
      <c r="Y3" s="95"/>
      <c r="Z3" s="96"/>
      <c r="AA3" s="97"/>
      <c r="AB3" s="95"/>
      <c r="AC3" s="97"/>
      <c r="AE3" s="48" t="s">
        <v>178</v>
      </c>
      <c r="AF3" s="85" t="s">
        <v>177</v>
      </c>
      <c r="AG3" s="85"/>
      <c r="AH3" s="52" t="s">
        <v>178</v>
      </c>
      <c r="AI3" s="85" t="s">
        <v>177</v>
      </c>
      <c r="AJ3" s="85"/>
      <c r="AK3" s="52" t="s">
        <v>178</v>
      </c>
      <c r="AL3" s="85" t="s">
        <v>177</v>
      </c>
      <c r="AM3" s="85"/>
      <c r="AN3" s="52" t="s">
        <v>178</v>
      </c>
      <c r="AO3" s="85" t="s">
        <v>177</v>
      </c>
      <c r="AP3" s="85"/>
      <c r="AQ3" s="52" t="s">
        <v>178</v>
      </c>
      <c r="AR3" s="85" t="s">
        <v>177</v>
      </c>
      <c r="AS3" s="85"/>
    </row>
    <row r="4" spans="1:45" s="4" customFormat="1" ht="15.75" customHeight="1">
      <c r="A4" s="63"/>
      <c r="B4" s="64"/>
      <c r="C4" s="64"/>
      <c r="D4" s="19" t="s">
        <v>25</v>
      </c>
      <c r="E4" s="19" t="s">
        <v>26</v>
      </c>
      <c r="F4" s="19" t="s">
        <v>27</v>
      </c>
      <c r="G4" s="19" t="s">
        <v>28</v>
      </c>
      <c r="H4" s="19" t="s">
        <v>29</v>
      </c>
      <c r="J4" s="71"/>
      <c r="K4" s="72"/>
      <c r="L4" s="72"/>
      <c r="M4" s="72"/>
      <c r="N4" s="27" t="s">
        <v>25</v>
      </c>
      <c r="O4" s="27" t="s">
        <v>26</v>
      </c>
      <c r="P4" s="27" t="s">
        <v>27</v>
      </c>
      <c r="Q4" s="27" t="s">
        <v>28</v>
      </c>
      <c r="R4" s="27" t="s">
        <v>29</v>
      </c>
      <c r="T4" s="90"/>
      <c r="U4" s="91"/>
      <c r="V4" s="91"/>
      <c r="W4" s="91"/>
      <c r="X4" s="91"/>
      <c r="Y4" s="28" t="s">
        <v>25</v>
      </c>
      <c r="Z4" s="28" t="s">
        <v>26</v>
      </c>
      <c r="AA4" s="28" t="s">
        <v>27</v>
      </c>
      <c r="AB4" s="28" t="s">
        <v>28</v>
      </c>
      <c r="AC4" s="28" t="s">
        <v>29</v>
      </c>
      <c r="AE4" s="48"/>
      <c r="AF4" s="48" t="s">
        <v>0</v>
      </c>
      <c r="AG4" s="48" t="s">
        <v>1</v>
      </c>
      <c r="AH4" s="48"/>
      <c r="AI4" s="48" t="s">
        <v>0</v>
      </c>
      <c r="AJ4" s="48" t="s">
        <v>1</v>
      </c>
      <c r="AK4" s="48" t="s">
        <v>2</v>
      </c>
      <c r="AL4" s="48" t="s">
        <v>0</v>
      </c>
      <c r="AM4" s="48" t="s">
        <v>1</v>
      </c>
      <c r="AN4" s="49" t="s">
        <v>2</v>
      </c>
      <c r="AO4" s="49" t="s">
        <v>0</v>
      </c>
      <c r="AP4" s="49" t="s">
        <v>1</v>
      </c>
      <c r="AQ4" s="48" t="s">
        <v>2</v>
      </c>
      <c r="AR4" s="48" t="s">
        <v>0</v>
      </c>
      <c r="AS4" s="48" t="s">
        <v>1</v>
      </c>
    </row>
    <row r="5" spans="1:45">
      <c r="A5" s="24">
        <v>1</v>
      </c>
      <c r="B5" s="19" t="s">
        <v>30</v>
      </c>
      <c r="C5" s="19" t="s">
        <v>32</v>
      </c>
      <c r="D5" s="11">
        <v>403</v>
      </c>
      <c r="E5" s="9">
        <v>302.0595967685847</v>
      </c>
      <c r="F5" s="9">
        <v>423.01063816410101</v>
      </c>
      <c r="G5" s="9">
        <v>377</v>
      </c>
      <c r="H5" s="9">
        <v>366</v>
      </c>
      <c r="J5" s="21">
        <v>1</v>
      </c>
      <c r="K5" s="27" t="s">
        <v>30</v>
      </c>
      <c r="L5" s="27" t="s">
        <v>35</v>
      </c>
      <c r="M5" s="27" t="s">
        <v>38</v>
      </c>
      <c r="N5" s="9">
        <v>71.972843433643746</v>
      </c>
      <c r="O5" s="9">
        <v>67.176236341492768</v>
      </c>
      <c r="P5" s="9">
        <v>72.166195488925979</v>
      </c>
      <c r="Q5" s="9">
        <v>68.892502308026607</v>
      </c>
      <c r="R5" s="9">
        <v>71.826673922772784</v>
      </c>
      <c r="T5" s="23">
        <v>1</v>
      </c>
      <c r="U5" s="28" t="s">
        <v>30</v>
      </c>
      <c r="V5" s="28" t="s">
        <v>35</v>
      </c>
      <c r="W5" s="28" t="s">
        <v>37</v>
      </c>
      <c r="X5" s="28" t="s">
        <v>38</v>
      </c>
      <c r="Y5" s="11">
        <v>44330</v>
      </c>
      <c r="Z5" s="9">
        <v>31106</v>
      </c>
      <c r="AA5" s="9">
        <v>49491</v>
      </c>
      <c r="AB5" s="9">
        <v>47879</v>
      </c>
      <c r="AC5" s="9">
        <v>39528</v>
      </c>
      <c r="AE5" s="48" t="s">
        <v>3</v>
      </c>
      <c r="AF5" s="29">
        <v>600</v>
      </c>
      <c r="AG5" s="29">
        <v>423</v>
      </c>
      <c r="AH5" s="48" t="s">
        <v>3</v>
      </c>
      <c r="AI5" s="29">
        <v>600</v>
      </c>
      <c r="AJ5" s="29">
        <v>469</v>
      </c>
      <c r="AK5" s="48" t="s">
        <v>3</v>
      </c>
      <c r="AL5" s="29">
        <v>600</v>
      </c>
      <c r="AM5" s="29">
        <v>404</v>
      </c>
      <c r="AN5" s="48" t="s">
        <v>3</v>
      </c>
      <c r="AO5" s="29">
        <v>600</v>
      </c>
      <c r="AP5" s="29">
        <v>410</v>
      </c>
      <c r="AQ5" s="48" t="s">
        <v>3</v>
      </c>
      <c r="AR5" s="29">
        <v>600</v>
      </c>
      <c r="AS5" s="29">
        <v>448</v>
      </c>
    </row>
    <row r="6" spans="1:45">
      <c r="A6" s="24">
        <v>2</v>
      </c>
      <c r="B6" s="19" t="s">
        <v>30</v>
      </c>
      <c r="C6" s="19" t="s">
        <v>33</v>
      </c>
      <c r="D6" s="11">
        <v>513</v>
      </c>
      <c r="E6" s="9">
        <v>444</v>
      </c>
      <c r="F6" s="9">
        <v>526</v>
      </c>
      <c r="G6" s="9">
        <v>492</v>
      </c>
      <c r="H6" s="9">
        <v>486</v>
      </c>
      <c r="J6" s="21">
        <v>2</v>
      </c>
      <c r="K6" s="27" t="s">
        <v>31</v>
      </c>
      <c r="L6" s="27" t="s">
        <v>41</v>
      </c>
      <c r="M6" s="27" t="s">
        <v>34</v>
      </c>
      <c r="N6" s="9">
        <v>99.727302691722386</v>
      </c>
      <c r="O6" s="9">
        <v>99.62481570132374</v>
      </c>
      <c r="P6" s="9">
        <v>88.298813790829399</v>
      </c>
      <c r="Q6" s="9">
        <v>89.393558800026128</v>
      </c>
      <c r="R6" s="9">
        <v>101.79159580201801</v>
      </c>
      <c r="T6" s="23">
        <v>2</v>
      </c>
      <c r="U6" s="28" t="s">
        <v>31</v>
      </c>
      <c r="V6" s="28" t="s">
        <v>41</v>
      </c>
      <c r="W6" s="28" t="s">
        <v>34</v>
      </c>
      <c r="X6" s="28" t="s">
        <v>42</v>
      </c>
      <c r="Y6" s="11">
        <v>224829</v>
      </c>
      <c r="Z6" s="9">
        <v>203346</v>
      </c>
      <c r="AA6" s="9">
        <v>279360</v>
      </c>
      <c r="AB6" s="9">
        <v>266420</v>
      </c>
      <c r="AC6" s="9">
        <v>224358</v>
      </c>
      <c r="AE6" s="48" t="s">
        <v>4</v>
      </c>
      <c r="AF6" s="29">
        <v>490</v>
      </c>
      <c r="AG6" s="29">
        <v>761</v>
      </c>
      <c r="AH6" s="48" t="s">
        <v>4</v>
      </c>
      <c r="AI6" s="29">
        <v>491</v>
      </c>
      <c r="AJ6" s="29">
        <v>728</v>
      </c>
      <c r="AK6" s="48" t="s">
        <v>4</v>
      </c>
      <c r="AL6" s="29">
        <v>480</v>
      </c>
      <c r="AM6" s="29">
        <v>777</v>
      </c>
      <c r="AN6" s="48" t="s">
        <v>4</v>
      </c>
      <c r="AO6" s="29">
        <v>473</v>
      </c>
      <c r="AP6" s="29">
        <v>739</v>
      </c>
      <c r="AQ6" s="48" t="s">
        <v>4</v>
      </c>
      <c r="AR6" s="29">
        <v>492</v>
      </c>
      <c r="AS6" s="29">
        <v>777</v>
      </c>
    </row>
    <row r="7" spans="1:45">
      <c r="A7" s="24">
        <v>3</v>
      </c>
      <c r="B7" s="19" t="s">
        <v>31</v>
      </c>
      <c r="C7" s="19" t="s">
        <v>34</v>
      </c>
      <c r="D7" s="11">
        <v>757</v>
      </c>
      <c r="E7" s="9">
        <v>711</v>
      </c>
      <c r="F7" s="9">
        <v>776</v>
      </c>
      <c r="G7" s="9">
        <v>770</v>
      </c>
      <c r="H7" s="9">
        <v>732</v>
      </c>
      <c r="J7" s="21">
        <v>3</v>
      </c>
      <c r="K7" s="27" t="s">
        <v>31</v>
      </c>
      <c r="L7" s="27" t="s">
        <v>44</v>
      </c>
      <c r="M7" s="27" t="s">
        <v>37</v>
      </c>
      <c r="N7" s="9">
        <v>59.192642736214488</v>
      </c>
      <c r="O7" s="9">
        <v>47.040977322293159</v>
      </c>
      <c r="P7" s="9">
        <v>53.021952320654378</v>
      </c>
      <c r="Q7" s="9">
        <v>117.95580919541204</v>
      </c>
      <c r="R7" s="9">
        <v>44.979074190230918</v>
      </c>
      <c r="T7" s="23">
        <v>3</v>
      </c>
      <c r="U7" s="28" t="s">
        <v>41</v>
      </c>
      <c r="V7" s="28" t="s">
        <v>39</v>
      </c>
      <c r="W7" s="28" t="s">
        <v>34</v>
      </c>
      <c r="X7" s="28" t="s">
        <v>42</v>
      </c>
      <c r="Y7" s="11">
        <v>81966</v>
      </c>
      <c r="Z7" s="9">
        <v>81652</v>
      </c>
      <c r="AA7" s="9">
        <v>88275</v>
      </c>
      <c r="AB7" s="9">
        <v>81196</v>
      </c>
      <c r="AC7" s="9">
        <v>87463.5</v>
      </c>
      <c r="AE7" s="48" t="s">
        <v>5</v>
      </c>
      <c r="AF7" s="29">
        <v>600</v>
      </c>
      <c r="AG7" s="29">
        <v>826</v>
      </c>
      <c r="AH7" s="48" t="s">
        <v>5</v>
      </c>
      <c r="AI7" s="29">
        <v>594</v>
      </c>
      <c r="AJ7" s="29">
        <v>771</v>
      </c>
      <c r="AK7" s="48" t="s">
        <v>5</v>
      </c>
      <c r="AL7" s="29">
        <v>597</v>
      </c>
      <c r="AM7" s="29">
        <v>827</v>
      </c>
      <c r="AN7" s="48" t="s">
        <v>5</v>
      </c>
      <c r="AO7" s="29">
        <v>600</v>
      </c>
      <c r="AP7" s="29">
        <v>787</v>
      </c>
      <c r="AQ7" s="48" t="s">
        <v>5</v>
      </c>
      <c r="AR7" s="29">
        <v>600</v>
      </c>
      <c r="AS7" s="29">
        <v>814</v>
      </c>
    </row>
    <row r="8" spans="1:45" ht="15.75" customHeight="1">
      <c r="A8" s="24">
        <v>4</v>
      </c>
      <c r="B8" s="19" t="s">
        <v>35</v>
      </c>
      <c r="C8" s="19" t="s">
        <v>38</v>
      </c>
      <c r="D8" s="11">
        <v>220</v>
      </c>
      <c r="E8" s="9">
        <v>206</v>
      </c>
      <c r="F8" s="9">
        <v>234</v>
      </c>
      <c r="G8" s="9">
        <v>254</v>
      </c>
      <c r="H8" s="9">
        <v>216</v>
      </c>
      <c r="J8" s="21">
        <v>4</v>
      </c>
      <c r="K8" s="27" t="s">
        <v>35</v>
      </c>
      <c r="L8" s="27" t="s">
        <v>37</v>
      </c>
      <c r="M8" s="27" t="s">
        <v>38</v>
      </c>
      <c r="N8" s="9">
        <v>118.84154625502195</v>
      </c>
      <c r="O8" s="9">
        <v>134.68129591998829</v>
      </c>
      <c r="P8" s="9">
        <v>133.7210764735766</v>
      </c>
      <c r="Q8" s="9">
        <v>138.59155274131595</v>
      </c>
      <c r="R8" s="9">
        <v>142.17783985087229</v>
      </c>
      <c r="T8" s="23">
        <v>4</v>
      </c>
      <c r="U8" s="28" t="s">
        <v>46</v>
      </c>
      <c r="V8" s="28" t="s">
        <v>43</v>
      </c>
      <c r="W8" s="28" t="s">
        <v>33</v>
      </c>
      <c r="X8" s="28" t="s">
        <v>47</v>
      </c>
      <c r="Y8" s="11">
        <v>428066</v>
      </c>
      <c r="Z8" s="9">
        <v>360705</v>
      </c>
      <c r="AA8" s="9">
        <v>491980.5</v>
      </c>
      <c r="AB8" s="9">
        <v>474032</v>
      </c>
      <c r="AC8" s="9">
        <v>426627</v>
      </c>
      <c r="AE8" s="48" t="s">
        <v>6</v>
      </c>
      <c r="AF8" s="29">
        <f>AF7+(AF7-AF6)</f>
        <v>710</v>
      </c>
      <c r="AG8" s="29">
        <f>AG6</f>
        <v>761</v>
      </c>
      <c r="AH8" s="48" t="s">
        <v>6</v>
      </c>
      <c r="AI8" s="29">
        <f>AI7+(AI7-AI6)</f>
        <v>697</v>
      </c>
      <c r="AJ8" s="29">
        <f>AJ6</f>
        <v>728</v>
      </c>
      <c r="AK8" s="48" t="s">
        <v>6</v>
      </c>
      <c r="AL8" s="29">
        <f t="shared" ref="AL8" si="0">AL7+(AL7-AL6)</f>
        <v>714</v>
      </c>
      <c r="AM8" s="29">
        <f t="shared" ref="AM8" si="1">AM6</f>
        <v>777</v>
      </c>
      <c r="AN8" s="48" t="s">
        <v>6</v>
      </c>
      <c r="AO8" s="29">
        <f t="shared" ref="AO8" si="2">AO7+(AO7-AO6)</f>
        <v>727</v>
      </c>
      <c r="AP8" s="29">
        <f t="shared" ref="AP8" si="3">AP6</f>
        <v>739</v>
      </c>
      <c r="AQ8" s="48" t="s">
        <v>6</v>
      </c>
      <c r="AR8" s="29">
        <f t="shared" ref="AR8" si="4">AR7+(AR7-AR6)</f>
        <v>708</v>
      </c>
      <c r="AS8" s="29">
        <f t="shared" ref="AS8" si="5">AS6</f>
        <v>777</v>
      </c>
    </row>
    <row r="9" spans="1:45" ht="15.75" customHeight="1">
      <c r="A9" s="24">
        <v>5</v>
      </c>
      <c r="B9" s="19" t="s">
        <v>36</v>
      </c>
      <c r="C9" s="19" t="s">
        <v>33</v>
      </c>
      <c r="D9" s="11">
        <v>110</v>
      </c>
      <c r="E9" s="9">
        <v>142.12670403551894</v>
      </c>
      <c r="F9" s="9">
        <v>103.04368005850722</v>
      </c>
      <c r="G9" s="9">
        <v>115</v>
      </c>
      <c r="H9" s="9">
        <v>120</v>
      </c>
      <c r="J9" s="21">
        <v>5</v>
      </c>
      <c r="K9" s="27" t="s">
        <v>39</v>
      </c>
      <c r="L9" s="27" t="s">
        <v>34</v>
      </c>
      <c r="M9" s="27" t="s">
        <v>61</v>
      </c>
      <c r="N9" s="9">
        <v>137.79032283014072</v>
      </c>
      <c r="O9" s="9">
        <v>138.05301315735841</v>
      </c>
      <c r="P9" s="9">
        <v>154.45751487019717</v>
      </c>
      <c r="Q9" s="9">
        <v>161.38011965002795</v>
      </c>
      <c r="R9" s="9">
        <v>142.31354924610594</v>
      </c>
      <c r="T9" s="23">
        <v>5</v>
      </c>
      <c r="U9" s="28" t="s">
        <v>48</v>
      </c>
      <c r="V9" s="28" t="s">
        <v>43</v>
      </c>
      <c r="W9" s="28" t="s">
        <v>34</v>
      </c>
      <c r="X9" s="28" t="s">
        <v>44</v>
      </c>
      <c r="Y9" s="11">
        <v>367798</v>
      </c>
      <c r="Z9" s="9">
        <v>373190</v>
      </c>
      <c r="AA9" s="9">
        <v>452384</v>
      </c>
      <c r="AB9" s="9">
        <v>291082</v>
      </c>
      <c r="AC9" s="9">
        <v>412776</v>
      </c>
      <c r="AE9" s="48" t="s">
        <v>77</v>
      </c>
      <c r="AF9" s="29">
        <v>600</v>
      </c>
      <c r="AG9" s="29">
        <v>936</v>
      </c>
      <c r="AH9" s="48" t="s">
        <v>77</v>
      </c>
      <c r="AI9" s="29">
        <v>600</v>
      </c>
      <c r="AJ9" s="29">
        <v>913</v>
      </c>
      <c r="AK9" s="48" t="s">
        <v>77</v>
      </c>
      <c r="AL9" s="29">
        <v>600</v>
      </c>
      <c r="AM9" s="29">
        <v>930</v>
      </c>
      <c r="AN9" s="48" t="s">
        <v>77</v>
      </c>
      <c r="AO9" s="29">
        <v>600</v>
      </c>
      <c r="AP9" s="29">
        <v>902</v>
      </c>
      <c r="AQ9" s="48" t="s">
        <v>77</v>
      </c>
      <c r="AR9" s="29">
        <v>600</v>
      </c>
      <c r="AS9" s="29">
        <v>934</v>
      </c>
    </row>
    <row r="10" spans="1:45">
      <c r="A10" s="24">
        <v>6</v>
      </c>
      <c r="B10" s="19" t="s">
        <v>37</v>
      </c>
      <c r="C10" s="19" t="s">
        <v>34</v>
      </c>
      <c r="D10" s="11">
        <v>354</v>
      </c>
      <c r="E10" s="9">
        <v>409.04400741240545</v>
      </c>
      <c r="F10" s="9">
        <v>353.01274764518064</v>
      </c>
      <c r="G10" s="9">
        <v>393</v>
      </c>
      <c r="H10" s="9">
        <v>366</v>
      </c>
      <c r="J10" s="21">
        <v>6</v>
      </c>
      <c r="K10" s="27" t="s">
        <v>40</v>
      </c>
      <c r="L10" s="27" t="s">
        <v>34</v>
      </c>
      <c r="M10" s="27" t="s">
        <v>62</v>
      </c>
      <c r="N10" s="9">
        <v>21.104838584929684</v>
      </c>
      <c r="O10" s="9">
        <v>20.973493421320779</v>
      </c>
      <c r="P10" s="9">
        <v>12.771242564901378</v>
      </c>
      <c r="Q10" s="9">
        <v>9.3099401749860888</v>
      </c>
      <c r="R10" s="9">
        <v>18.843225376947029</v>
      </c>
      <c r="T10" s="23">
        <v>6</v>
      </c>
      <c r="U10" s="28" t="s">
        <v>52</v>
      </c>
      <c r="V10" s="28" t="s">
        <v>53</v>
      </c>
      <c r="W10" s="28" t="s">
        <v>54</v>
      </c>
      <c r="X10" s="28" t="s">
        <v>50</v>
      </c>
      <c r="Y10" s="11">
        <v>3765</v>
      </c>
      <c r="Z10" s="9">
        <v>3916</v>
      </c>
      <c r="AA10" s="9">
        <v>3944.5</v>
      </c>
      <c r="AB10" s="9">
        <v>3375</v>
      </c>
      <c r="AC10" s="9">
        <v>6553</v>
      </c>
      <c r="AE10" s="48" t="s">
        <v>8</v>
      </c>
      <c r="AF10" s="29">
        <v>486</v>
      </c>
      <c r="AG10" s="29">
        <v>1136</v>
      </c>
      <c r="AH10" s="48" t="s">
        <v>8</v>
      </c>
      <c r="AI10" s="29">
        <v>480</v>
      </c>
      <c r="AJ10" s="29">
        <v>1134</v>
      </c>
      <c r="AK10" s="48" t="s">
        <v>8</v>
      </c>
      <c r="AL10" s="29">
        <v>450</v>
      </c>
      <c r="AM10" s="29">
        <v>1146</v>
      </c>
      <c r="AN10" s="48" t="s">
        <v>8</v>
      </c>
      <c r="AO10" s="29">
        <v>478</v>
      </c>
      <c r="AP10" s="29">
        <v>1160</v>
      </c>
      <c r="AQ10" s="48" t="s">
        <v>8</v>
      </c>
      <c r="AR10" s="29">
        <v>474</v>
      </c>
      <c r="AS10" s="29">
        <v>1137</v>
      </c>
    </row>
    <row r="11" spans="1:45">
      <c r="A11" s="24">
        <v>7</v>
      </c>
      <c r="B11" s="19" t="s">
        <v>39</v>
      </c>
      <c r="C11" s="19" t="s">
        <v>40</v>
      </c>
      <c r="D11" s="11">
        <v>228</v>
      </c>
      <c r="E11" s="9">
        <v>240</v>
      </c>
      <c r="F11" s="9">
        <v>300</v>
      </c>
      <c r="G11" s="9">
        <v>244</v>
      </c>
      <c r="H11" s="9">
        <v>252</v>
      </c>
      <c r="J11" s="21">
        <v>7</v>
      </c>
      <c r="K11" s="27" t="s">
        <v>41</v>
      </c>
      <c r="L11" s="27" t="s">
        <v>34</v>
      </c>
      <c r="M11" s="27" t="s">
        <v>62</v>
      </c>
      <c r="N11" s="9">
        <v>139.91097584665127</v>
      </c>
      <c r="O11" s="9">
        <v>138.27953605378892</v>
      </c>
      <c r="P11" s="9">
        <v>148.91936117491574</v>
      </c>
      <c r="Q11" s="9">
        <v>148.98756397283154</v>
      </c>
      <c r="R11" s="9">
        <v>137.89993403674472</v>
      </c>
      <c r="T11" s="23">
        <v>7</v>
      </c>
      <c r="U11" s="35" t="s">
        <v>76</v>
      </c>
      <c r="V11" s="35" t="s">
        <v>73</v>
      </c>
      <c r="W11" s="35" t="s">
        <v>75</v>
      </c>
      <c r="X11" s="35" t="s">
        <v>74</v>
      </c>
      <c r="Y11" s="11">
        <v>3969.5</v>
      </c>
      <c r="Z11" s="9">
        <v>3644</v>
      </c>
      <c r="AA11" s="9">
        <v>6764.5</v>
      </c>
      <c r="AB11" s="9">
        <v>4497</v>
      </c>
      <c r="AC11" s="9">
        <v>6988</v>
      </c>
      <c r="AE11" s="48" t="s">
        <v>9</v>
      </c>
      <c r="AF11" s="29">
        <v>600</v>
      </c>
      <c r="AG11" s="29">
        <v>1180</v>
      </c>
      <c r="AH11" s="48" t="s">
        <v>9</v>
      </c>
      <c r="AI11" s="29">
        <v>600</v>
      </c>
      <c r="AJ11" s="29">
        <v>1180</v>
      </c>
      <c r="AK11" s="48" t="s">
        <v>9</v>
      </c>
      <c r="AL11" s="29">
        <v>600</v>
      </c>
      <c r="AM11" s="29">
        <v>1180</v>
      </c>
      <c r="AN11" s="48" t="s">
        <v>9</v>
      </c>
      <c r="AO11" s="29">
        <v>600</v>
      </c>
      <c r="AP11" s="29">
        <v>1180</v>
      </c>
      <c r="AQ11" s="48" t="s">
        <v>9</v>
      </c>
      <c r="AR11" s="29">
        <v>600</v>
      </c>
      <c r="AS11" s="29">
        <v>1180</v>
      </c>
    </row>
    <row r="12" spans="1:45">
      <c r="A12" s="24">
        <v>8</v>
      </c>
      <c r="B12" s="19" t="s">
        <v>41</v>
      </c>
      <c r="C12" s="19" t="s">
        <v>42</v>
      </c>
      <c r="D12" s="11">
        <v>594</v>
      </c>
      <c r="E12" s="9">
        <v>572</v>
      </c>
      <c r="F12" s="9">
        <v>720</v>
      </c>
      <c r="G12" s="9">
        <v>692</v>
      </c>
      <c r="H12" s="9">
        <v>613</v>
      </c>
      <c r="J12" s="21">
        <v>8</v>
      </c>
      <c r="K12" s="27" t="s">
        <v>42</v>
      </c>
      <c r="L12" s="27" t="s">
        <v>34</v>
      </c>
      <c r="M12" s="27" t="s">
        <v>62</v>
      </c>
      <c r="N12" s="9">
        <v>40.089024153348703</v>
      </c>
      <c r="O12" s="9">
        <v>41.720463946211062</v>
      </c>
      <c r="P12" s="9">
        <v>31.080638825084222</v>
      </c>
      <c r="Q12" s="9">
        <v>31.012436027168484</v>
      </c>
      <c r="R12" s="9">
        <v>37.226107850129331</v>
      </c>
      <c r="T12" s="23">
        <v>8</v>
      </c>
      <c r="U12" s="28"/>
      <c r="V12" s="28"/>
      <c r="W12" s="28"/>
      <c r="X12" s="28"/>
      <c r="Y12" s="11"/>
      <c r="Z12" s="9"/>
      <c r="AA12" s="9"/>
      <c r="AB12" s="9"/>
      <c r="AC12" s="9"/>
      <c r="AE12" s="48" t="s">
        <v>10</v>
      </c>
      <c r="AF12" s="29">
        <f>AF11+(AF11-AF10)</f>
        <v>714</v>
      </c>
      <c r="AG12" s="29">
        <f>AG10</f>
        <v>1136</v>
      </c>
      <c r="AH12" s="48" t="s">
        <v>10</v>
      </c>
      <c r="AI12" s="29">
        <f>AI11+(AI11-AI10)</f>
        <v>720</v>
      </c>
      <c r="AJ12" s="29">
        <f>AJ10</f>
        <v>1134</v>
      </c>
      <c r="AK12" s="48" t="s">
        <v>10</v>
      </c>
      <c r="AL12" s="29">
        <f t="shared" ref="AL12" si="6">AL11+(AL11-AL10)</f>
        <v>750</v>
      </c>
      <c r="AM12" s="29">
        <f t="shared" ref="AM12" si="7">AM10</f>
        <v>1146</v>
      </c>
      <c r="AN12" s="48" t="s">
        <v>10</v>
      </c>
      <c r="AO12" s="29">
        <f t="shared" ref="AO12" si="8">AO11+(AO11-AO10)</f>
        <v>722</v>
      </c>
      <c r="AP12" s="29">
        <f t="shared" ref="AP12" si="9">AP10</f>
        <v>1160</v>
      </c>
      <c r="AQ12" s="48" t="s">
        <v>10</v>
      </c>
      <c r="AR12" s="29">
        <f t="shared" ref="AR12" si="10">AR11+(AR11-AR10)</f>
        <v>726</v>
      </c>
      <c r="AS12" s="29">
        <f t="shared" ref="AS12" si="11">AS10</f>
        <v>1137</v>
      </c>
    </row>
    <row r="13" spans="1:45">
      <c r="A13" s="24">
        <v>9</v>
      </c>
      <c r="B13" s="19" t="s">
        <v>43</v>
      </c>
      <c r="C13" s="19" t="s">
        <v>44</v>
      </c>
      <c r="D13" s="11">
        <v>692</v>
      </c>
      <c r="E13" s="9">
        <v>670</v>
      </c>
      <c r="F13" s="9">
        <v>844</v>
      </c>
      <c r="G13" s="9">
        <v>524.64464163850948</v>
      </c>
      <c r="H13" s="9">
        <v>784.00573977490751</v>
      </c>
      <c r="J13" s="21">
        <v>9</v>
      </c>
      <c r="K13" s="27" t="s">
        <v>43</v>
      </c>
      <c r="L13" s="27" t="s">
        <v>41</v>
      </c>
      <c r="M13" s="27" t="s">
        <v>34</v>
      </c>
      <c r="N13" s="9">
        <v>141.53548324628721</v>
      </c>
      <c r="O13" s="9">
        <v>143.16692303914962</v>
      </c>
      <c r="P13" s="9">
        <v>131.7212585274948</v>
      </c>
      <c r="Q13" s="9">
        <v>137.63319294106051</v>
      </c>
      <c r="R13" s="9">
        <v>151.09281420972309</v>
      </c>
      <c r="T13" s="23">
        <v>9</v>
      </c>
      <c r="U13" s="28"/>
      <c r="V13" s="28"/>
      <c r="W13" s="28"/>
      <c r="X13" s="28"/>
      <c r="Y13" s="11"/>
      <c r="Z13" s="9"/>
      <c r="AA13" s="9"/>
      <c r="AB13" s="9"/>
      <c r="AC13" s="9"/>
      <c r="AE13" s="48" t="s">
        <v>11</v>
      </c>
      <c r="AF13" s="29">
        <v>303</v>
      </c>
      <c r="AG13" s="29">
        <v>930</v>
      </c>
      <c r="AH13" s="48" t="s">
        <v>11</v>
      </c>
      <c r="AI13" s="29">
        <v>314</v>
      </c>
      <c r="AJ13" s="29">
        <v>925</v>
      </c>
      <c r="AK13" s="48" t="s">
        <v>11</v>
      </c>
      <c r="AL13" s="29">
        <v>240</v>
      </c>
      <c r="AM13" s="29">
        <v>963</v>
      </c>
      <c r="AN13" s="48" t="s">
        <v>11</v>
      </c>
      <c r="AO13" s="29">
        <v>254</v>
      </c>
      <c r="AP13" s="29">
        <v>972</v>
      </c>
      <c r="AQ13" s="48" t="s">
        <v>11</v>
      </c>
      <c r="AR13" s="29">
        <v>320</v>
      </c>
      <c r="AS13" s="29">
        <v>927</v>
      </c>
    </row>
    <row r="14" spans="1:45">
      <c r="A14" s="24">
        <v>10</v>
      </c>
      <c r="B14" s="19" t="s">
        <v>45</v>
      </c>
      <c r="C14" s="19" t="s">
        <v>43</v>
      </c>
      <c r="D14" s="11">
        <v>61.073725938409879</v>
      </c>
      <c r="E14" s="9">
        <v>63.600314464631381</v>
      </c>
      <c r="F14" s="9">
        <v>83.21658488546619</v>
      </c>
      <c r="G14" s="9">
        <v>20.396078054371138</v>
      </c>
      <c r="H14" s="9">
        <v>46</v>
      </c>
      <c r="J14" s="21">
        <v>10</v>
      </c>
      <c r="K14" s="27" t="s">
        <v>44</v>
      </c>
      <c r="L14" s="27" t="s">
        <v>32</v>
      </c>
      <c r="M14" s="27" t="s">
        <v>62</v>
      </c>
      <c r="N14" s="9">
        <v>53.141873164743856</v>
      </c>
      <c r="O14" s="9">
        <v>49.383494062417554</v>
      </c>
      <c r="P14" s="9">
        <v>55.729740996024709</v>
      </c>
      <c r="Q14" s="9">
        <v>82.162867434433593</v>
      </c>
      <c r="R14" s="9">
        <v>45.975635798884873</v>
      </c>
      <c r="T14" s="23">
        <v>10</v>
      </c>
      <c r="U14" s="28"/>
      <c r="V14" s="28"/>
      <c r="W14" s="28"/>
      <c r="X14" s="28"/>
      <c r="Y14" s="11"/>
      <c r="Z14" s="9"/>
      <c r="AA14" s="9"/>
      <c r="AB14" s="9"/>
      <c r="AC14" s="9"/>
      <c r="AE14" s="48" t="s">
        <v>12</v>
      </c>
      <c r="AF14" s="29">
        <f>600+(600-AF13)</f>
        <v>897</v>
      </c>
      <c r="AG14" s="29">
        <f>AG13</f>
        <v>930</v>
      </c>
      <c r="AH14" s="48" t="s">
        <v>12</v>
      </c>
      <c r="AI14" s="29">
        <f>600+(600-AI13)</f>
        <v>886</v>
      </c>
      <c r="AJ14" s="29">
        <f>AJ13</f>
        <v>925</v>
      </c>
      <c r="AK14" s="48" t="s">
        <v>12</v>
      </c>
      <c r="AL14" s="29">
        <f t="shared" ref="AL14" si="12">600+(600-AL13)</f>
        <v>960</v>
      </c>
      <c r="AM14" s="29">
        <f t="shared" ref="AM14" si="13">AM13</f>
        <v>963</v>
      </c>
      <c r="AN14" s="48" t="s">
        <v>12</v>
      </c>
      <c r="AO14" s="29">
        <f t="shared" ref="AO14" si="14">600+(600-AO13)</f>
        <v>946</v>
      </c>
      <c r="AP14" s="29">
        <f t="shared" ref="AP14" si="15">AP13</f>
        <v>972</v>
      </c>
      <c r="AQ14" s="48" t="s">
        <v>12</v>
      </c>
      <c r="AR14" s="29">
        <v>933</v>
      </c>
      <c r="AS14" s="29">
        <f t="shared" ref="AS14" si="16">AS13</f>
        <v>927</v>
      </c>
    </row>
    <row r="15" spans="1:45">
      <c r="A15" s="24">
        <v>11</v>
      </c>
      <c r="B15" s="19" t="s">
        <v>46</v>
      </c>
      <c r="C15" s="19" t="s">
        <v>47</v>
      </c>
      <c r="D15" s="11">
        <v>668</v>
      </c>
      <c r="E15" s="9">
        <v>560</v>
      </c>
      <c r="F15" s="9">
        <v>766</v>
      </c>
      <c r="G15" s="9">
        <v>728</v>
      </c>
      <c r="H15" s="9">
        <v>666</v>
      </c>
      <c r="J15" s="21">
        <v>11</v>
      </c>
      <c r="K15" s="27" t="s">
        <v>44</v>
      </c>
      <c r="L15" s="27" t="s">
        <v>33</v>
      </c>
      <c r="M15" s="27" t="s">
        <v>62</v>
      </c>
      <c r="N15" s="9">
        <v>58.447540571624181</v>
      </c>
      <c r="O15" s="9">
        <v>59.190948646086824</v>
      </c>
      <c r="P15" s="9">
        <v>58.455264464123083</v>
      </c>
      <c r="Q15" s="9">
        <v>91.979504426060672</v>
      </c>
      <c r="R15" s="9">
        <v>50.604717769980532</v>
      </c>
      <c r="T15" s="23">
        <v>11</v>
      </c>
      <c r="U15" s="28"/>
      <c r="V15" s="28"/>
      <c r="W15" s="28"/>
      <c r="X15" s="28"/>
      <c r="Y15" s="11"/>
      <c r="Z15" s="9"/>
      <c r="AA15" s="9"/>
      <c r="AB15" s="9"/>
      <c r="AC15" s="9"/>
      <c r="AE15" s="48" t="s">
        <v>13</v>
      </c>
      <c r="AF15" s="29">
        <v>254</v>
      </c>
      <c r="AG15" s="29">
        <v>688</v>
      </c>
      <c r="AH15" s="48" t="s">
        <v>13</v>
      </c>
      <c r="AI15" s="29">
        <v>265</v>
      </c>
      <c r="AJ15" s="29">
        <v>683</v>
      </c>
      <c r="AK15" s="48" t="s">
        <v>13</v>
      </c>
      <c r="AL15" s="29">
        <v>178</v>
      </c>
      <c r="AM15" s="29">
        <v>633</v>
      </c>
      <c r="AN15" s="48" t="s">
        <v>13</v>
      </c>
      <c r="AO15" s="29">
        <v>174</v>
      </c>
      <c r="AP15" s="29">
        <v>704</v>
      </c>
      <c r="AQ15" s="48" t="s">
        <v>13</v>
      </c>
      <c r="AR15" s="29">
        <v>246</v>
      </c>
      <c r="AS15" s="29">
        <v>712</v>
      </c>
    </row>
    <row r="16" spans="1:45" ht="15.75" customHeight="1">
      <c r="A16" s="24">
        <v>12</v>
      </c>
      <c r="B16" s="19" t="s">
        <v>48</v>
      </c>
      <c r="C16" s="19" t="s">
        <v>31</v>
      </c>
      <c r="D16" s="11">
        <v>306</v>
      </c>
      <c r="E16" s="9">
        <v>403</v>
      </c>
      <c r="F16" s="9">
        <v>296</v>
      </c>
      <c r="G16" s="9">
        <v>341</v>
      </c>
      <c r="H16" s="9">
        <v>321</v>
      </c>
      <c r="J16" s="21">
        <v>12</v>
      </c>
      <c r="K16" s="27" t="s">
        <v>47</v>
      </c>
      <c r="L16" s="27" t="s">
        <v>30</v>
      </c>
      <c r="M16" s="27" t="s">
        <v>62</v>
      </c>
      <c r="N16" s="9">
        <v>103.57825636869732</v>
      </c>
      <c r="O16" s="9">
        <v>107.96552799975507</v>
      </c>
      <c r="P16" s="9">
        <v>99.325023659955079</v>
      </c>
      <c r="Q16" s="9">
        <v>100.13232800951748</v>
      </c>
      <c r="R16" s="9">
        <v>103.39743891275565</v>
      </c>
      <c r="T16" s="23">
        <v>12</v>
      </c>
      <c r="U16" s="28"/>
      <c r="V16" s="28"/>
      <c r="W16" s="28"/>
      <c r="X16" s="28"/>
      <c r="Y16" s="11"/>
      <c r="Z16" s="9"/>
      <c r="AA16" s="9"/>
      <c r="AB16" s="9"/>
      <c r="AC16" s="9"/>
      <c r="AE16" s="48" t="s">
        <v>14</v>
      </c>
      <c r="AF16" s="29">
        <f>600+(600-AF15)</f>
        <v>946</v>
      </c>
      <c r="AG16" s="29">
        <f>AG15</f>
        <v>688</v>
      </c>
      <c r="AH16" s="48" t="s">
        <v>14</v>
      </c>
      <c r="AI16" s="29">
        <f>600+(600-AI15)</f>
        <v>935</v>
      </c>
      <c r="AJ16" s="29">
        <f>AJ15</f>
        <v>683</v>
      </c>
      <c r="AK16" s="48" t="s">
        <v>14</v>
      </c>
      <c r="AL16" s="29">
        <f t="shared" ref="AL16" si="17">600+(600-AL15)</f>
        <v>1022</v>
      </c>
      <c r="AM16" s="29">
        <f t="shared" ref="AM16" si="18">AM15</f>
        <v>633</v>
      </c>
      <c r="AN16" s="48" t="s">
        <v>14</v>
      </c>
      <c r="AO16" s="29">
        <v>698</v>
      </c>
      <c r="AP16" s="29">
        <v>678</v>
      </c>
      <c r="AQ16" s="48" t="s">
        <v>14</v>
      </c>
      <c r="AR16" s="29">
        <v>1030</v>
      </c>
      <c r="AS16" s="29">
        <v>709</v>
      </c>
    </row>
    <row r="17" spans="1:45" ht="15.75" customHeight="1">
      <c r="A17" s="24">
        <v>13</v>
      </c>
      <c r="B17" s="19" t="s">
        <v>49</v>
      </c>
      <c r="C17" s="19" t="s">
        <v>37</v>
      </c>
      <c r="D17" s="11">
        <v>709</v>
      </c>
      <c r="E17" s="9">
        <v>705.02553145258503</v>
      </c>
      <c r="F17" s="9">
        <v>719.00625866538883</v>
      </c>
      <c r="G17" s="9">
        <v>718</v>
      </c>
      <c r="H17" s="9">
        <v>687</v>
      </c>
      <c r="J17" s="21">
        <v>13</v>
      </c>
      <c r="K17" s="27" t="s">
        <v>47</v>
      </c>
      <c r="L17" s="27" t="s">
        <v>48</v>
      </c>
      <c r="M17" s="27" t="s">
        <v>62</v>
      </c>
      <c r="N17" s="9">
        <v>79.14533085426217</v>
      </c>
      <c r="O17" s="9">
        <v>68.81415831872313</v>
      </c>
      <c r="P17" s="9">
        <v>76.497420847101168</v>
      </c>
      <c r="Q17" s="9">
        <v>70.408875992847598</v>
      </c>
      <c r="R17" s="9">
        <v>78.183866378051576</v>
      </c>
      <c r="T17" s="23">
        <v>13</v>
      </c>
      <c r="U17" s="28"/>
      <c r="V17" s="28"/>
      <c r="W17" s="28"/>
      <c r="X17" s="28"/>
      <c r="Y17" s="11"/>
      <c r="Z17" s="9"/>
      <c r="AA17" s="9"/>
      <c r="AB17" s="9"/>
      <c r="AC17" s="9"/>
      <c r="AE17" s="48" t="s">
        <v>15</v>
      </c>
      <c r="AF17" s="29">
        <v>193</v>
      </c>
      <c r="AG17" s="29">
        <v>685</v>
      </c>
      <c r="AH17" s="48" t="s">
        <v>15</v>
      </c>
      <c r="AI17" s="29">
        <v>204</v>
      </c>
      <c r="AJ17" s="29">
        <v>701</v>
      </c>
      <c r="AK17" s="48" t="s">
        <v>15</v>
      </c>
      <c r="AL17" s="29">
        <v>95</v>
      </c>
      <c r="AM17" s="29">
        <v>639</v>
      </c>
      <c r="AN17" s="48" t="s">
        <v>15</v>
      </c>
      <c r="AO17" s="29">
        <v>194</v>
      </c>
      <c r="AP17" s="29">
        <v>700</v>
      </c>
      <c r="AQ17" s="48" t="s">
        <v>15</v>
      </c>
      <c r="AR17" s="29">
        <v>200</v>
      </c>
      <c r="AS17" s="29">
        <v>712</v>
      </c>
    </row>
    <row r="18" spans="1:45">
      <c r="A18" s="24">
        <v>14</v>
      </c>
      <c r="B18" s="19" t="s">
        <v>49</v>
      </c>
      <c r="C18" s="19" t="s">
        <v>33</v>
      </c>
      <c r="D18" s="11">
        <v>819</v>
      </c>
      <c r="E18" s="9">
        <v>847</v>
      </c>
      <c r="F18" s="9">
        <v>822</v>
      </c>
      <c r="G18" s="9">
        <v>833</v>
      </c>
      <c r="H18" s="9">
        <v>807</v>
      </c>
      <c r="J18" s="21">
        <v>14</v>
      </c>
      <c r="K18" s="44" t="s">
        <v>48</v>
      </c>
      <c r="L18" s="44" t="s">
        <v>78</v>
      </c>
      <c r="M18" s="44" t="s">
        <v>79</v>
      </c>
      <c r="N18" s="11">
        <v>48.433630362450494</v>
      </c>
      <c r="O18" s="9">
        <v>50.566573149792703</v>
      </c>
      <c r="P18" s="9">
        <v>43.816217953867316</v>
      </c>
      <c r="Q18" s="9">
        <v>45.216696077110193</v>
      </c>
      <c r="R18" s="9">
        <v>47.175935056582098</v>
      </c>
      <c r="T18" s="23">
        <v>14</v>
      </c>
      <c r="U18" s="28"/>
      <c r="V18" s="28"/>
      <c r="W18" s="28"/>
      <c r="X18" s="28"/>
      <c r="Y18" s="11"/>
      <c r="Z18" s="9"/>
      <c r="AA18" s="9"/>
      <c r="AB18" s="9"/>
      <c r="AC18" s="9"/>
      <c r="AE18" s="48" t="s">
        <v>16</v>
      </c>
      <c r="AF18" s="29">
        <f>600+(600-AF17)</f>
        <v>1007</v>
      </c>
      <c r="AG18" s="29">
        <f>AG17</f>
        <v>685</v>
      </c>
      <c r="AH18" s="48" t="s">
        <v>16</v>
      </c>
      <c r="AI18" s="29">
        <f>600+(600-AI17)</f>
        <v>996</v>
      </c>
      <c r="AJ18" s="29">
        <f>AJ17</f>
        <v>701</v>
      </c>
      <c r="AK18" s="48" t="s">
        <v>16</v>
      </c>
      <c r="AL18" s="29">
        <f t="shared" ref="AL18" si="19">600+(600-AL17)</f>
        <v>1105</v>
      </c>
      <c r="AM18" s="29">
        <f t="shared" ref="AM18" si="20">AM17</f>
        <v>639</v>
      </c>
      <c r="AN18" s="48" t="s">
        <v>16</v>
      </c>
      <c r="AO18" s="29">
        <f t="shared" ref="AO18" si="21">600+(600-AO17)</f>
        <v>1006</v>
      </c>
      <c r="AP18" s="29">
        <f t="shared" ref="AP18" si="22">AP17</f>
        <v>700</v>
      </c>
      <c r="AQ18" s="48" t="s">
        <v>16</v>
      </c>
      <c r="AR18" s="29">
        <f t="shared" ref="AR18" si="23">600+(600-AR17)</f>
        <v>1000</v>
      </c>
      <c r="AS18" s="29">
        <f t="shared" ref="AS18" si="24">AS17</f>
        <v>712</v>
      </c>
    </row>
    <row r="19" spans="1:45">
      <c r="A19" s="24">
        <v>15</v>
      </c>
      <c r="B19" s="19" t="s">
        <v>48</v>
      </c>
      <c r="C19" s="19" t="s">
        <v>34</v>
      </c>
      <c r="D19" s="11">
        <v>1063</v>
      </c>
      <c r="E19" s="9">
        <v>1114</v>
      </c>
      <c r="F19" s="9">
        <v>1072</v>
      </c>
      <c r="G19" s="9">
        <v>1111</v>
      </c>
      <c r="H19" s="9">
        <v>1053</v>
      </c>
      <c r="J19" s="21">
        <v>15</v>
      </c>
      <c r="K19" s="44" t="s">
        <v>80</v>
      </c>
      <c r="L19" s="44" t="s">
        <v>78</v>
      </c>
      <c r="M19" s="44" t="s">
        <v>79</v>
      </c>
      <c r="N19" s="11">
        <v>24.511124479437264</v>
      </c>
      <c r="O19" s="9">
        <v>20.360878936116162</v>
      </c>
      <c r="P19" s="9">
        <v>26.270240467034903</v>
      </c>
      <c r="Q19" s="9">
        <v>17.852919178142905</v>
      </c>
      <c r="R19" s="9">
        <v>28.110951537017119</v>
      </c>
      <c r="T19" s="23">
        <v>15</v>
      </c>
      <c r="U19" s="28"/>
      <c r="V19" s="28"/>
      <c r="W19" s="28"/>
      <c r="X19" s="28"/>
      <c r="Y19" s="11"/>
      <c r="Z19" s="9"/>
      <c r="AA19" s="9"/>
      <c r="AB19" s="9"/>
      <c r="AC19" s="9"/>
      <c r="AE19" s="48" t="s">
        <v>17</v>
      </c>
      <c r="AF19" s="29">
        <v>266</v>
      </c>
      <c r="AG19" s="29">
        <v>10</v>
      </c>
      <c r="AH19" s="48" t="s">
        <v>17</v>
      </c>
      <c r="AI19" s="29">
        <v>320</v>
      </c>
      <c r="AJ19" s="29">
        <v>35</v>
      </c>
      <c r="AK19" s="48" t="s">
        <v>17</v>
      </c>
      <c r="AL19" s="29">
        <v>217</v>
      </c>
      <c r="AM19" s="29">
        <v>6</v>
      </c>
      <c r="AN19" s="48" t="s">
        <v>17</v>
      </c>
      <c r="AO19" s="29">
        <v>236</v>
      </c>
      <c r="AP19" s="29">
        <v>18</v>
      </c>
      <c r="AQ19" s="48" t="s">
        <v>17</v>
      </c>
      <c r="AR19" s="29">
        <v>267</v>
      </c>
      <c r="AS19" s="29">
        <v>25</v>
      </c>
    </row>
    <row r="20" spans="1:45">
      <c r="A20" s="24">
        <v>16</v>
      </c>
      <c r="B20" s="19" t="s">
        <v>50</v>
      </c>
      <c r="C20" s="19" t="s">
        <v>51</v>
      </c>
      <c r="D20" s="11">
        <v>54.589376255824725</v>
      </c>
      <c r="E20" s="9">
        <v>53.366656256505337</v>
      </c>
      <c r="F20" s="9">
        <v>49.497474683058329</v>
      </c>
      <c r="G20" s="9">
        <v>45</v>
      </c>
      <c r="H20" s="9">
        <v>74.953318805774032</v>
      </c>
      <c r="I20" s="3"/>
      <c r="J20" s="21">
        <v>16</v>
      </c>
      <c r="K20" s="44" t="s">
        <v>48</v>
      </c>
      <c r="L20" s="44" t="s">
        <v>81</v>
      </c>
      <c r="M20" s="44" t="s">
        <v>79</v>
      </c>
      <c r="N20" s="11">
        <v>112.5715437829648</v>
      </c>
      <c r="O20" s="9">
        <v>103.33659737241284</v>
      </c>
      <c r="P20" s="9">
        <v>121.05250279691219</v>
      </c>
      <c r="Q20" s="9">
        <v>111.4276404263898</v>
      </c>
      <c r="R20" s="9">
        <v>111.6863315493769</v>
      </c>
      <c r="T20" s="23">
        <v>16</v>
      </c>
      <c r="U20" s="28"/>
      <c r="V20" s="28"/>
      <c r="W20" s="28"/>
      <c r="X20" s="28"/>
      <c r="Y20" s="11"/>
      <c r="Z20" s="9"/>
      <c r="AA20" s="9"/>
      <c r="AB20" s="9"/>
      <c r="AC20" s="9"/>
      <c r="AE20" s="48" t="s">
        <v>18</v>
      </c>
      <c r="AF20" s="29">
        <v>600</v>
      </c>
      <c r="AG20" s="29">
        <v>117</v>
      </c>
      <c r="AH20" s="48" t="s">
        <v>18</v>
      </c>
      <c r="AI20" s="29">
        <v>600</v>
      </c>
      <c r="AJ20" s="29">
        <v>66</v>
      </c>
      <c r="AK20" s="48" t="s">
        <v>18</v>
      </c>
      <c r="AL20" s="29">
        <v>600</v>
      </c>
      <c r="AM20" s="29">
        <v>108</v>
      </c>
      <c r="AN20" s="48" t="s">
        <v>18</v>
      </c>
      <c r="AO20" s="29">
        <v>600</v>
      </c>
      <c r="AP20" s="29">
        <v>69</v>
      </c>
      <c r="AQ20" s="48" t="s">
        <v>18</v>
      </c>
      <c r="AR20" s="29">
        <v>600</v>
      </c>
      <c r="AS20" s="29">
        <v>127</v>
      </c>
    </row>
    <row r="21" spans="1:45">
      <c r="A21" s="24">
        <v>17</v>
      </c>
      <c r="B21" s="19" t="s">
        <v>65</v>
      </c>
      <c r="C21" s="19" t="s">
        <v>66</v>
      </c>
      <c r="D21" s="11">
        <v>244</v>
      </c>
      <c r="E21" s="9">
        <v>267</v>
      </c>
      <c r="F21" s="9">
        <v>250</v>
      </c>
      <c r="G21" s="9">
        <v>278</v>
      </c>
      <c r="H21" s="9">
        <v>246</v>
      </c>
      <c r="I21" s="3"/>
      <c r="J21" s="21">
        <v>17</v>
      </c>
      <c r="K21" s="44" t="s">
        <v>80</v>
      </c>
      <c r="L21" s="44" t="s">
        <v>81</v>
      </c>
      <c r="M21" s="44" t="s">
        <v>79</v>
      </c>
      <c r="N21" s="11">
        <v>26.082189809251069</v>
      </c>
      <c r="O21" s="9">
        <v>24.451621818978179</v>
      </c>
      <c r="P21" s="9">
        <v>37.355530572915157</v>
      </c>
      <c r="Q21" s="9">
        <v>23.223811500029797</v>
      </c>
      <c r="R21" s="9">
        <v>31.100741273048879</v>
      </c>
      <c r="T21" s="23">
        <v>17</v>
      </c>
      <c r="U21" s="28"/>
      <c r="V21" s="28"/>
      <c r="W21" s="28"/>
      <c r="X21" s="28"/>
      <c r="Y21" s="11"/>
      <c r="Z21" s="9"/>
      <c r="AA21" s="9"/>
      <c r="AB21" s="9"/>
      <c r="AC21" s="9"/>
      <c r="AE21" s="48" t="s">
        <v>19</v>
      </c>
      <c r="AF21" s="29">
        <f>600+(600-AF19)</f>
        <v>934</v>
      </c>
      <c r="AG21" s="29">
        <f>AG19</f>
        <v>10</v>
      </c>
      <c r="AH21" s="48" t="s">
        <v>19</v>
      </c>
      <c r="AI21" s="29">
        <f>600+(600-AI19)</f>
        <v>880</v>
      </c>
      <c r="AJ21" s="29">
        <f>AJ19</f>
        <v>35</v>
      </c>
      <c r="AK21" s="48" t="s">
        <v>19</v>
      </c>
      <c r="AL21" s="29">
        <f t="shared" ref="AL21" si="25">600+(600-AL19)</f>
        <v>983</v>
      </c>
      <c r="AM21" s="29">
        <f t="shared" ref="AM21" si="26">AM19</f>
        <v>6</v>
      </c>
      <c r="AN21" s="48" t="s">
        <v>19</v>
      </c>
      <c r="AO21" s="29">
        <f t="shared" ref="AO21" si="27">600+(600-AO19)</f>
        <v>964</v>
      </c>
      <c r="AP21" s="29">
        <f t="shared" ref="AP21" si="28">AP19</f>
        <v>18</v>
      </c>
      <c r="AQ21" s="48" t="s">
        <v>19</v>
      </c>
      <c r="AR21" s="29">
        <f t="shared" ref="AR21" si="29">600+(600-AR19)</f>
        <v>933</v>
      </c>
      <c r="AS21" s="29">
        <f t="shared" ref="AS21" si="30">AS19</f>
        <v>25</v>
      </c>
    </row>
    <row r="22" spans="1:45">
      <c r="A22" s="24">
        <v>18</v>
      </c>
      <c r="B22" s="19" t="s">
        <v>76</v>
      </c>
      <c r="C22" s="19" t="s">
        <v>75</v>
      </c>
      <c r="D22" s="11">
        <v>43.185645763378368</v>
      </c>
      <c r="E22" s="9">
        <v>43.08131845707603</v>
      </c>
      <c r="F22" s="9">
        <v>62.201286160335947</v>
      </c>
      <c r="G22" s="9">
        <v>40.607881008493905</v>
      </c>
      <c r="H22" s="9">
        <v>62.649820430708338</v>
      </c>
      <c r="I22" s="3"/>
      <c r="J22" s="21">
        <v>18</v>
      </c>
      <c r="K22" s="27"/>
      <c r="L22" s="27"/>
      <c r="M22" s="27"/>
      <c r="N22" s="11"/>
      <c r="O22" s="9"/>
      <c r="P22" s="9"/>
      <c r="Q22" s="9"/>
      <c r="R22" s="9"/>
      <c r="T22" s="23">
        <v>18</v>
      </c>
      <c r="U22" s="28"/>
      <c r="V22" s="28"/>
      <c r="W22" s="28"/>
      <c r="X22" s="28"/>
      <c r="Y22" s="11"/>
      <c r="Z22" s="9"/>
      <c r="AA22" s="9"/>
      <c r="AB22" s="9"/>
      <c r="AC22" s="9"/>
      <c r="AE22" s="48" t="s">
        <v>20</v>
      </c>
      <c r="AF22" s="29">
        <v>364</v>
      </c>
      <c r="AG22" s="29">
        <v>546</v>
      </c>
      <c r="AH22" s="48" t="s">
        <v>20</v>
      </c>
      <c r="AI22" s="29">
        <v>364</v>
      </c>
      <c r="AJ22" s="29">
        <v>556</v>
      </c>
      <c r="AK22" s="48" t="s">
        <v>20</v>
      </c>
      <c r="AL22" s="29">
        <v>336</v>
      </c>
      <c r="AM22" s="29">
        <v>519</v>
      </c>
      <c r="AN22" s="49" t="s">
        <v>20</v>
      </c>
      <c r="AO22" s="30">
        <v>346</v>
      </c>
      <c r="AP22" s="30">
        <v>527</v>
      </c>
      <c r="AQ22" s="48" t="s">
        <v>20</v>
      </c>
      <c r="AR22" s="29">
        <v>338</v>
      </c>
      <c r="AS22" s="29">
        <v>562</v>
      </c>
    </row>
    <row r="23" spans="1:45">
      <c r="A23" s="24">
        <v>19</v>
      </c>
      <c r="B23" s="19" t="s">
        <v>73</v>
      </c>
      <c r="C23" s="19" t="s">
        <v>74</v>
      </c>
      <c r="D23" s="11">
        <v>185.04323819042943</v>
      </c>
      <c r="E23" s="9">
        <v>187.3846311734236</v>
      </c>
      <c r="F23" s="9">
        <v>217.51781536232843</v>
      </c>
      <c r="G23" s="9">
        <v>222.09232314512809</v>
      </c>
      <c r="H23" s="9">
        <v>226.03539545832197</v>
      </c>
      <c r="I23" s="3"/>
      <c r="J23" s="21">
        <v>19</v>
      </c>
      <c r="K23" s="27"/>
      <c r="L23" s="27"/>
      <c r="M23" s="27"/>
      <c r="N23" s="11"/>
      <c r="O23" s="9"/>
      <c r="P23" s="9"/>
      <c r="Q23" s="9"/>
      <c r="R23" s="9"/>
      <c r="T23" s="23">
        <v>19</v>
      </c>
      <c r="U23" s="28"/>
      <c r="V23" s="28"/>
      <c r="W23" s="28"/>
      <c r="X23" s="28"/>
      <c r="Y23" s="11"/>
      <c r="Z23" s="9"/>
      <c r="AA23" s="9"/>
      <c r="AB23" s="9"/>
      <c r="AC23" s="9"/>
      <c r="AE23" s="48" t="s">
        <v>21</v>
      </c>
      <c r="AF23" s="29">
        <v>448</v>
      </c>
      <c r="AG23" s="29">
        <v>562</v>
      </c>
      <c r="AH23" s="49" t="s">
        <v>21</v>
      </c>
      <c r="AI23" s="30">
        <v>442</v>
      </c>
      <c r="AJ23" s="30">
        <v>565</v>
      </c>
      <c r="AK23" s="48" t="s">
        <v>21</v>
      </c>
      <c r="AL23" s="29">
        <v>418</v>
      </c>
      <c r="AM23" s="29">
        <v>542</v>
      </c>
      <c r="AN23" s="49" t="s">
        <v>21</v>
      </c>
      <c r="AO23" s="30">
        <v>423</v>
      </c>
      <c r="AP23" s="30">
        <v>547</v>
      </c>
      <c r="AQ23" s="48" t="s">
        <v>21</v>
      </c>
      <c r="AR23" s="29">
        <v>440</v>
      </c>
      <c r="AS23" s="29">
        <v>582</v>
      </c>
    </row>
    <row r="24" spans="1:45">
      <c r="A24" s="24">
        <v>20</v>
      </c>
      <c r="B24" s="19"/>
      <c r="C24" s="19"/>
      <c r="D24" s="9"/>
      <c r="E24" s="9"/>
      <c r="F24" s="9"/>
      <c r="G24" s="9"/>
      <c r="H24" s="9"/>
      <c r="I24" s="3"/>
      <c r="J24" s="21">
        <v>20</v>
      </c>
      <c r="K24" s="27"/>
      <c r="L24" s="27"/>
      <c r="M24" s="27"/>
      <c r="N24" s="11"/>
      <c r="O24" s="9"/>
      <c r="P24" s="9"/>
      <c r="Q24" s="9"/>
      <c r="R24" s="9"/>
      <c r="T24" s="23">
        <v>20</v>
      </c>
      <c r="U24" s="28"/>
      <c r="V24" s="28"/>
      <c r="W24" s="28"/>
      <c r="X24" s="28"/>
      <c r="Y24" s="11"/>
      <c r="Z24" s="9"/>
      <c r="AA24" s="9"/>
      <c r="AB24" s="9"/>
      <c r="AC24" s="9"/>
      <c r="AE24" s="48" t="s">
        <v>22</v>
      </c>
      <c r="AF24" s="29">
        <v>503</v>
      </c>
      <c r="AG24" s="29">
        <v>543</v>
      </c>
      <c r="AH24" s="49" t="s">
        <v>22</v>
      </c>
      <c r="AI24" s="30">
        <v>516</v>
      </c>
      <c r="AJ24" s="30">
        <v>550</v>
      </c>
      <c r="AK24" s="48" t="s">
        <v>22</v>
      </c>
      <c r="AL24" s="29">
        <v>495</v>
      </c>
      <c r="AM24" s="29">
        <v>533</v>
      </c>
      <c r="AN24" s="49" t="s">
        <v>22</v>
      </c>
      <c r="AO24" s="30">
        <v>496</v>
      </c>
      <c r="AP24" s="30">
        <v>541</v>
      </c>
      <c r="AQ24" s="48" t="s">
        <v>22</v>
      </c>
      <c r="AR24" s="29">
        <v>518</v>
      </c>
      <c r="AS24" s="29">
        <v>564</v>
      </c>
    </row>
    <row r="25" spans="1:45" ht="15.75" customHeight="1">
      <c r="A25" s="24">
        <v>21</v>
      </c>
      <c r="B25" s="19"/>
      <c r="C25" s="19"/>
      <c r="D25" s="9"/>
      <c r="E25" s="9"/>
      <c r="F25" s="9"/>
      <c r="G25" s="9"/>
      <c r="H25" s="9"/>
      <c r="I25" s="3"/>
      <c r="J25" s="21">
        <v>21</v>
      </c>
      <c r="K25" s="27"/>
      <c r="L25" s="27"/>
      <c r="M25" s="27"/>
      <c r="N25" s="11"/>
      <c r="O25" s="9"/>
      <c r="P25" s="9"/>
      <c r="Q25" s="9"/>
      <c r="R25" s="9"/>
      <c r="T25" s="23">
        <v>21</v>
      </c>
      <c r="U25" s="28"/>
      <c r="V25" s="28"/>
      <c r="W25" s="28"/>
      <c r="X25" s="28"/>
      <c r="Y25" s="11"/>
      <c r="Z25" s="9"/>
      <c r="AA25" s="9"/>
      <c r="AB25" s="9"/>
      <c r="AC25" s="9"/>
      <c r="AE25" s="48" t="s">
        <v>23</v>
      </c>
      <c r="AF25" s="29">
        <v>440</v>
      </c>
      <c r="AG25" s="29">
        <v>508</v>
      </c>
      <c r="AH25" s="49" t="s">
        <v>23</v>
      </c>
      <c r="AI25" s="30">
        <v>454</v>
      </c>
      <c r="AJ25" s="30">
        <v>513</v>
      </c>
      <c r="AK25" s="48" t="s">
        <v>23</v>
      </c>
      <c r="AL25" s="29">
        <v>425</v>
      </c>
      <c r="AM25" s="29">
        <v>493</v>
      </c>
      <c r="AN25" s="49" t="s">
        <v>23</v>
      </c>
      <c r="AO25" s="30">
        <v>423</v>
      </c>
      <c r="AP25" s="30">
        <v>502</v>
      </c>
      <c r="AQ25" s="48" t="s">
        <v>23</v>
      </c>
      <c r="AR25" s="29">
        <v>423</v>
      </c>
      <c r="AS25" s="29">
        <v>509</v>
      </c>
    </row>
    <row r="26" spans="1:45" ht="16.5" customHeight="1">
      <c r="A26" s="24">
        <v>22</v>
      </c>
      <c r="B26" s="19"/>
      <c r="C26" s="19"/>
      <c r="D26" s="9"/>
      <c r="E26" s="9"/>
      <c r="F26" s="9"/>
      <c r="G26" s="9"/>
      <c r="H26" s="9"/>
      <c r="I26" s="3"/>
      <c r="J26" s="21">
        <v>22</v>
      </c>
      <c r="K26" s="27"/>
      <c r="L26" s="27"/>
      <c r="M26" s="27"/>
      <c r="N26" s="11"/>
      <c r="O26" s="9"/>
      <c r="P26" s="9"/>
      <c r="Q26" s="9"/>
      <c r="R26" s="9"/>
      <c r="T26" s="23">
        <v>22</v>
      </c>
      <c r="U26" s="28"/>
      <c r="V26" s="28"/>
      <c r="W26" s="28"/>
      <c r="X26" s="28"/>
      <c r="Y26" s="11"/>
      <c r="Z26" s="9"/>
      <c r="AA26" s="9"/>
      <c r="AB26" s="9"/>
      <c r="AC26" s="9"/>
      <c r="AE26" s="48" t="s">
        <v>24</v>
      </c>
      <c r="AF26" s="31">
        <v>1180</v>
      </c>
      <c r="AG26" s="31">
        <v>1180</v>
      </c>
      <c r="AH26" s="49" t="s">
        <v>24</v>
      </c>
      <c r="AI26" s="30">
        <v>1180</v>
      </c>
      <c r="AJ26" s="30">
        <v>1180</v>
      </c>
      <c r="AK26" s="48" t="s">
        <v>24</v>
      </c>
      <c r="AL26" s="31">
        <v>1180</v>
      </c>
      <c r="AM26" s="31">
        <v>1180</v>
      </c>
      <c r="AN26" s="49" t="s">
        <v>24</v>
      </c>
      <c r="AO26" s="30">
        <v>1180</v>
      </c>
      <c r="AP26" s="30">
        <v>1180</v>
      </c>
      <c r="AQ26" s="32" t="s">
        <v>24</v>
      </c>
      <c r="AR26" s="31">
        <v>1180</v>
      </c>
      <c r="AS26" s="31">
        <v>1180</v>
      </c>
    </row>
    <row r="27" spans="1:45">
      <c r="A27" s="24">
        <v>23</v>
      </c>
      <c r="B27" s="19"/>
      <c r="C27" s="19"/>
      <c r="D27" s="9"/>
      <c r="E27" s="9"/>
      <c r="F27" s="9"/>
      <c r="G27" s="9"/>
      <c r="H27" s="9"/>
      <c r="J27" s="21">
        <v>23</v>
      </c>
      <c r="K27" s="27"/>
      <c r="L27" s="27"/>
      <c r="M27" s="27"/>
      <c r="N27" s="11"/>
      <c r="O27" s="9"/>
      <c r="P27" s="9"/>
      <c r="Q27" s="9"/>
      <c r="R27" s="9"/>
      <c r="T27" s="23">
        <v>23</v>
      </c>
      <c r="U27" s="28"/>
      <c r="V27" s="28"/>
      <c r="W27" s="28"/>
      <c r="X27" s="28"/>
      <c r="Y27" s="11"/>
      <c r="Z27" s="9"/>
      <c r="AA27" s="9"/>
      <c r="AB27" s="9"/>
      <c r="AC27" s="9"/>
      <c r="AE27" s="46" t="s">
        <v>67</v>
      </c>
      <c r="AF27" s="8">
        <v>600</v>
      </c>
      <c r="AG27" s="37">
        <v>0</v>
      </c>
      <c r="AH27" s="46" t="s">
        <v>67</v>
      </c>
      <c r="AI27" s="9">
        <v>600</v>
      </c>
      <c r="AJ27" s="38">
        <v>0</v>
      </c>
      <c r="AK27" s="46" t="s">
        <v>67</v>
      </c>
      <c r="AL27" s="8">
        <v>600</v>
      </c>
      <c r="AM27" s="37">
        <v>0</v>
      </c>
      <c r="AN27" s="46" t="s">
        <v>67</v>
      </c>
      <c r="AO27" s="9">
        <v>600</v>
      </c>
      <c r="AP27" s="38">
        <v>0</v>
      </c>
      <c r="AQ27" s="46" t="s">
        <v>67</v>
      </c>
      <c r="AR27" s="8">
        <v>600</v>
      </c>
      <c r="AS27" s="37">
        <v>0</v>
      </c>
    </row>
    <row r="28" spans="1:45" s="7" customFormat="1">
      <c r="A28" s="24">
        <v>24</v>
      </c>
      <c r="B28" s="19"/>
      <c r="C28" s="19"/>
      <c r="D28" s="17"/>
      <c r="E28" s="12"/>
      <c r="F28" s="12"/>
      <c r="G28" s="12"/>
      <c r="H28" s="12"/>
      <c r="J28" s="21">
        <v>24</v>
      </c>
      <c r="K28" s="27"/>
      <c r="L28" s="27"/>
      <c r="M28" s="27"/>
      <c r="N28" s="17"/>
      <c r="O28" s="12"/>
      <c r="P28" s="12"/>
      <c r="Q28" s="12"/>
      <c r="R28" s="12"/>
      <c r="T28" s="23">
        <v>24</v>
      </c>
      <c r="U28" s="28"/>
      <c r="V28" s="28"/>
      <c r="W28" s="28"/>
      <c r="X28" s="28"/>
      <c r="Y28" s="17"/>
      <c r="Z28" s="12"/>
      <c r="AA28" s="12"/>
      <c r="AB28" s="12"/>
      <c r="AC28" s="12"/>
      <c r="AE28" s="46" t="s">
        <v>68</v>
      </c>
      <c r="AF28" s="8">
        <v>391</v>
      </c>
      <c r="AG28" s="37">
        <v>385</v>
      </c>
      <c r="AH28" s="46" t="s">
        <v>68</v>
      </c>
      <c r="AI28" s="9">
        <v>438</v>
      </c>
      <c r="AJ28" s="38">
        <v>406</v>
      </c>
      <c r="AK28" s="46" t="s">
        <v>68</v>
      </c>
      <c r="AL28" s="8">
        <v>399</v>
      </c>
      <c r="AM28" s="37">
        <v>356</v>
      </c>
      <c r="AN28" s="46" t="s">
        <v>68</v>
      </c>
      <c r="AO28" s="9">
        <v>417</v>
      </c>
      <c r="AP28" s="38">
        <v>378</v>
      </c>
      <c r="AQ28" s="46" t="s">
        <v>68</v>
      </c>
      <c r="AR28" s="8">
        <v>403</v>
      </c>
      <c r="AS28" s="37">
        <v>378</v>
      </c>
    </row>
    <row r="29" spans="1:45">
      <c r="A29" s="24">
        <v>25</v>
      </c>
      <c r="B29" s="19"/>
      <c r="C29" s="19"/>
      <c r="D29" s="18"/>
      <c r="E29" s="13"/>
      <c r="F29" s="9"/>
      <c r="G29" s="9"/>
      <c r="H29" s="9"/>
      <c r="J29" s="21">
        <v>25</v>
      </c>
      <c r="K29" s="27"/>
      <c r="L29" s="27"/>
      <c r="M29" s="27"/>
      <c r="N29" s="11"/>
      <c r="O29" s="9"/>
      <c r="P29" s="9"/>
      <c r="Q29" s="9"/>
      <c r="R29" s="9"/>
      <c r="T29" s="23">
        <v>25</v>
      </c>
      <c r="U29" s="28"/>
      <c r="V29" s="28"/>
      <c r="W29" s="28"/>
      <c r="X29" s="28"/>
      <c r="Y29" s="11"/>
      <c r="Z29" s="9"/>
      <c r="AA29" s="9"/>
      <c r="AB29" s="9"/>
      <c r="AC29" s="9"/>
      <c r="AE29" s="46" t="s">
        <v>69</v>
      </c>
      <c r="AF29" s="8">
        <v>295</v>
      </c>
      <c r="AG29" s="37">
        <v>422</v>
      </c>
      <c r="AH29" s="46" t="s">
        <v>69</v>
      </c>
      <c r="AI29" s="9">
        <v>339</v>
      </c>
      <c r="AJ29" s="38">
        <v>454</v>
      </c>
      <c r="AK29" s="46" t="s">
        <v>69</v>
      </c>
      <c r="AL29" s="8">
        <v>273</v>
      </c>
      <c r="AM29" s="37">
        <v>417</v>
      </c>
      <c r="AN29" s="46" t="s">
        <v>69</v>
      </c>
      <c r="AO29" s="9">
        <v>295</v>
      </c>
      <c r="AP29" s="38">
        <v>428</v>
      </c>
      <c r="AQ29" s="46" t="s">
        <v>69</v>
      </c>
      <c r="AR29" s="8">
        <v>283</v>
      </c>
      <c r="AS29" s="37">
        <v>434</v>
      </c>
    </row>
    <row r="30" spans="1:45">
      <c r="A30" s="24">
        <v>26</v>
      </c>
      <c r="B30" s="19"/>
      <c r="C30" s="19"/>
      <c r="D30" s="11"/>
      <c r="E30" s="9"/>
      <c r="F30" s="9"/>
      <c r="G30" s="9"/>
      <c r="H30" s="9"/>
      <c r="J30" s="21">
        <v>26</v>
      </c>
      <c r="K30" s="27"/>
      <c r="L30" s="27"/>
      <c r="M30" s="27"/>
      <c r="N30" s="11"/>
      <c r="O30" s="9"/>
      <c r="P30" s="9"/>
      <c r="Q30" s="9"/>
      <c r="R30" s="9"/>
      <c r="T30" s="23">
        <v>26</v>
      </c>
      <c r="U30" s="28"/>
      <c r="V30" s="28"/>
      <c r="W30" s="28"/>
      <c r="X30" s="28"/>
      <c r="Y30" s="11"/>
      <c r="Z30" s="9"/>
      <c r="AA30" s="9"/>
      <c r="AB30" s="9"/>
      <c r="AC30" s="9"/>
      <c r="AE30" s="46" t="s">
        <v>70</v>
      </c>
      <c r="AF30" s="8">
        <v>480</v>
      </c>
      <c r="AG30" s="37">
        <v>426</v>
      </c>
      <c r="AH30" s="46" t="s">
        <v>70</v>
      </c>
      <c r="AI30" s="9">
        <v>526</v>
      </c>
      <c r="AJ30" s="38">
        <v>442</v>
      </c>
      <c r="AK30" s="46" t="s">
        <v>70</v>
      </c>
      <c r="AL30" s="8">
        <v>490</v>
      </c>
      <c r="AM30" s="37">
        <v>402</v>
      </c>
      <c r="AN30" s="46" t="s">
        <v>70</v>
      </c>
      <c r="AO30" s="9">
        <v>516</v>
      </c>
      <c r="AP30" s="38">
        <v>406</v>
      </c>
      <c r="AQ30" s="46" t="s">
        <v>70</v>
      </c>
      <c r="AR30" s="8">
        <v>509</v>
      </c>
      <c r="AS30" s="37">
        <v>430</v>
      </c>
    </row>
    <row r="31" spans="1:45">
      <c r="A31" s="24">
        <v>27</v>
      </c>
      <c r="B31" s="19"/>
      <c r="C31" s="19"/>
      <c r="D31" s="11"/>
      <c r="E31" s="9"/>
      <c r="F31" s="9"/>
      <c r="G31" s="9"/>
      <c r="H31" s="9"/>
      <c r="J31" s="21">
        <v>27</v>
      </c>
      <c r="K31" s="27"/>
      <c r="L31" s="27"/>
      <c r="M31" s="27"/>
      <c r="N31" s="11"/>
      <c r="O31" s="9"/>
      <c r="P31" s="9"/>
      <c r="Q31" s="9"/>
      <c r="R31" s="9"/>
      <c r="T31" s="23">
        <v>27</v>
      </c>
      <c r="U31" s="28"/>
      <c r="V31" s="28"/>
      <c r="W31" s="28"/>
      <c r="X31" s="28"/>
      <c r="Y31" s="11"/>
      <c r="Z31" s="9"/>
      <c r="AA31" s="9"/>
      <c r="AB31" s="9"/>
      <c r="AC31" s="9"/>
      <c r="AE31" s="46" t="s">
        <v>71</v>
      </c>
      <c r="AF31" s="8">
        <v>395</v>
      </c>
      <c r="AG31" s="37">
        <v>428</v>
      </c>
      <c r="AH31" s="46" t="s">
        <v>71</v>
      </c>
      <c r="AI31" s="9">
        <v>422</v>
      </c>
      <c r="AJ31" s="38">
        <v>446</v>
      </c>
      <c r="AK31" s="46" t="s">
        <v>71</v>
      </c>
      <c r="AL31" s="8">
        <v>404</v>
      </c>
      <c r="AM31" s="37">
        <v>418</v>
      </c>
      <c r="AN31" s="46" t="s">
        <v>71</v>
      </c>
      <c r="AO31" s="9">
        <v>424</v>
      </c>
      <c r="AP31" s="38">
        <v>418</v>
      </c>
      <c r="AQ31" s="46" t="s">
        <v>71</v>
      </c>
      <c r="AR31" s="8">
        <v>394</v>
      </c>
      <c r="AS31" s="37">
        <v>440</v>
      </c>
    </row>
    <row r="32" spans="1:45">
      <c r="A32" s="24">
        <v>28</v>
      </c>
      <c r="B32" s="19"/>
      <c r="C32" s="19"/>
      <c r="D32" s="11"/>
      <c r="E32" s="9"/>
      <c r="F32" s="9"/>
      <c r="G32" s="9"/>
      <c r="H32" s="9"/>
      <c r="J32" s="21">
        <v>28</v>
      </c>
      <c r="K32" s="27"/>
      <c r="L32" s="27"/>
      <c r="M32" s="27"/>
      <c r="N32" s="11"/>
      <c r="O32" s="9"/>
      <c r="P32" s="9"/>
      <c r="Q32" s="9"/>
      <c r="R32" s="9"/>
      <c r="T32" s="23">
        <v>28</v>
      </c>
      <c r="U32" s="28"/>
      <c r="V32" s="28"/>
      <c r="W32" s="28"/>
      <c r="X32" s="28"/>
      <c r="Y32" s="11"/>
      <c r="Z32" s="9"/>
      <c r="AA32" s="9"/>
      <c r="AB32" s="9"/>
      <c r="AC32" s="9"/>
      <c r="AE32" s="46"/>
      <c r="AF32" s="8"/>
      <c r="AG32" s="37"/>
      <c r="AH32" s="46"/>
      <c r="AI32" s="9"/>
      <c r="AJ32" s="38"/>
      <c r="AK32" s="46"/>
      <c r="AL32" s="8"/>
      <c r="AM32" s="37"/>
      <c r="AN32" s="46"/>
      <c r="AO32" s="9"/>
      <c r="AP32" s="38"/>
      <c r="AQ32" s="46"/>
      <c r="AR32" s="8"/>
      <c r="AS32" s="37"/>
    </row>
    <row r="33" spans="1:45">
      <c r="A33" s="24">
        <v>29</v>
      </c>
      <c r="B33" s="19"/>
      <c r="C33" s="19"/>
      <c r="D33" s="11"/>
      <c r="E33" s="9"/>
      <c r="F33" s="9"/>
      <c r="G33" s="9"/>
      <c r="H33" s="9"/>
      <c r="J33" s="21">
        <v>29</v>
      </c>
      <c r="K33" s="27"/>
      <c r="L33" s="27"/>
      <c r="M33" s="27"/>
      <c r="N33" s="11"/>
      <c r="O33" s="9"/>
      <c r="P33" s="9"/>
      <c r="Q33" s="9"/>
      <c r="R33" s="9"/>
      <c r="T33" s="23">
        <v>29</v>
      </c>
      <c r="U33" s="28"/>
      <c r="V33" s="28"/>
      <c r="W33" s="28"/>
      <c r="X33" s="28"/>
      <c r="Y33" s="11"/>
      <c r="Z33" s="9"/>
      <c r="AA33" s="9"/>
      <c r="AB33" s="9"/>
      <c r="AC33" s="9"/>
      <c r="AE33" s="46"/>
      <c r="AF33" s="8"/>
      <c r="AG33" s="37"/>
      <c r="AH33" s="47"/>
      <c r="AI33" s="9"/>
      <c r="AJ33" s="38"/>
      <c r="AK33" s="46"/>
      <c r="AL33" s="8"/>
      <c r="AM33" s="37"/>
      <c r="AN33" s="47"/>
      <c r="AO33" s="9"/>
      <c r="AP33" s="38"/>
      <c r="AQ33" s="46"/>
      <c r="AR33" s="8"/>
      <c r="AS33" s="37"/>
    </row>
    <row r="34" spans="1:45">
      <c r="A34" s="24">
        <v>30</v>
      </c>
      <c r="B34" s="19"/>
      <c r="C34" s="19"/>
      <c r="D34" s="11"/>
      <c r="E34" s="9"/>
      <c r="F34" s="9"/>
      <c r="G34" s="9"/>
      <c r="H34" s="9"/>
      <c r="J34" s="21">
        <v>30</v>
      </c>
      <c r="K34" s="27"/>
      <c r="L34" s="27"/>
      <c r="M34" s="27"/>
      <c r="N34" s="11"/>
      <c r="O34" s="9"/>
      <c r="P34" s="9"/>
      <c r="Q34" s="9"/>
      <c r="R34" s="9"/>
      <c r="T34" s="23">
        <v>30</v>
      </c>
      <c r="U34" s="28"/>
      <c r="V34" s="28"/>
      <c r="W34" s="28"/>
      <c r="X34" s="28"/>
      <c r="Y34" s="11"/>
      <c r="Z34" s="9"/>
      <c r="AA34" s="9"/>
      <c r="AB34" s="9"/>
      <c r="AC34" s="9"/>
      <c r="AE34" s="26"/>
      <c r="AF34" s="8"/>
      <c r="AG34" s="6"/>
      <c r="AH34" s="5"/>
      <c r="AI34" s="9"/>
      <c r="AJ34" s="16"/>
      <c r="AK34" s="26"/>
      <c r="AL34" s="8"/>
      <c r="AM34" s="6"/>
      <c r="AN34" s="5"/>
      <c r="AO34" s="9"/>
      <c r="AP34" s="16"/>
      <c r="AQ34" s="26"/>
      <c r="AR34" s="8"/>
      <c r="AS34" s="6"/>
    </row>
    <row r="35" spans="1:45">
      <c r="A35" s="25"/>
      <c r="B35" s="15"/>
      <c r="C35" s="15"/>
      <c r="D35" s="14"/>
      <c r="E35" s="14"/>
    </row>
    <row r="36" spans="1:45" ht="15.75" customHeight="1">
      <c r="A36" s="79" t="s">
        <v>64</v>
      </c>
      <c r="B36" s="79"/>
      <c r="C36" s="79"/>
      <c r="D36" s="79"/>
      <c r="E36" s="79"/>
      <c r="F36" s="79"/>
      <c r="G36" s="79"/>
      <c r="H36" s="79"/>
      <c r="I36" s="20"/>
      <c r="J36" s="79" t="s">
        <v>64</v>
      </c>
      <c r="K36" s="80"/>
      <c r="L36" s="80"/>
      <c r="M36" s="80"/>
      <c r="N36" s="80"/>
      <c r="O36" s="80"/>
      <c r="P36" s="80"/>
      <c r="Q36" s="80"/>
      <c r="R36" s="80"/>
      <c r="T36" s="79" t="s">
        <v>64</v>
      </c>
      <c r="U36" s="80"/>
      <c r="V36" s="80"/>
      <c r="W36" s="80"/>
      <c r="X36" s="80"/>
      <c r="Y36" s="80"/>
      <c r="Z36" s="80"/>
      <c r="AA36" s="80"/>
      <c r="AB36" s="80"/>
      <c r="AC36" s="80"/>
      <c r="AE36" s="80" t="s">
        <v>63</v>
      </c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</row>
    <row r="37" spans="1:45" ht="15.75" customHeight="1">
      <c r="A37" s="79"/>
      <c r="B37" s="79"/>
      <c r="C37" s="79"/>
      <c r="D37" s="79"/>
      <c r="E37" s="79"/>
      <c r="F37" s="79"/>
      <c r="G37" s="79"/>
      <c r="H37" s="79"/>
      <c r="I37" s="20"/>
      <c r="J37" s="80"/>
      <c r="K37" s="80"/>
      <c r="L37" s="80"/>
      <c r="M37" s="80"/>
      <c r="N37" s="80"/>
      <c r="O37" s="80"/>
      <c r="P37" s="80"/>
      <c r="Q37" s="80"/>
      <c r="R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</row>
    <row r="38" spans="1:45">
      <c r="A38" s="79"/>
      <c r="B38" s="79"/>
      <c r="C38" s="79"/>
      <c r="D38" s="79"/>
      <c r="E38" s="79"/>
      <c r="F38" s="79"/>
      <c r="G38" s="79"/>
      <c r="H38" s="79"/>
      <c r="J38" s="80"/>
      <c r="K38" s="80"/>
      <c r="L38" s="80"/>
      <c r="M38" s="80"/>
      <c r="N38" s="80"/>
      <c r="O38" s="80"/>
      <c r="P38" s="80"/>
      <c r="Q38" s="80"/>
      <c r="R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</row>
    <row r="39" spans="1:45">
      <c r="A39" s="25"/>
      <c r="B39" s="15"/>
      <c r="C39" s="15"/>
      <c r="D39" s="14"/>
      <c r="E39" s="14"/>
    </row>
    <row r="40" spans="1:45">
      <c r="A40" s="25"/>
      <c r="B40" s="15"/>
      <c r="C40" s="15"/>
      <c r="D40" s="14"/>
      <c r="E40" s="14"/>
    </row>
    <row r="41" spans="1:45">
      <c r="A41" s="25"/>
      <c r="B41" s="15"/>
      <c r="C41" s="15"/>
      <c r="D41" s="14"/>
      <c r="E41" s="14"/>
    </row>
    <row r="42" spans="1:45">
      <c r="A42" s="25"/>
      <c r="B42" s="15"/>
      <c r="C42" s="15"/>
      <c r="D42" s="14"/>
      <c r="E42" s="14"/>
    </row>
    <row r="43" spans="1:45">
      <c r="A43" s="25"/>
      <c r="B43" s="15"/>
      <c r="C43" s="15"/>
      <c r="D43" s="14"/>
      <c r="E43" s="14"/>
    </row>
    <row r="44" spans="1:45">
      <c r="A44" s="25"/>
      <c r="B44" s="15"/>
      <c r="C44" s="15"/>
      <c r="D44" s="14"/>
      <c r="E44" s="14"/>
    </row>
    <row r="45" spans="1:45">
      <c r="A45" s="25"/>
      <c r="B45" s="15"/>
      <c r="C45" s="15"/>
      <c r="D45" s="14"/>
      <c r="E45" s="14"/>
    </row>
    <row r="46" spans="1:45">
      <c r="A46" s="25"/>
      <c r="B46" s="15"/>
      <c r="C46" s="15"/>
      <c r="D46" s="14"/>
      <c r="E46" s="14"/>
    </row>
    <row r="47" spans="1:45">
      <c r="A47" s="25"/>
      <c r="B47" s="15"/>
      <c r="C47" s="15"/>
      <c r="D47" s="14"/>
      <c r="E47" s="14"/>
    </row>
    <row r="48" spans="1:45">
      <c r="A48" s="25"/>
      <c r="B48" s="15"/>
      <c r="C48" s="15"/>
      <c r="D48" s="14"/>
      <c r="E48" s="14"/>
    </row>
    <row r="49" spans="1:5">
      <c r="A49" s="25"/>
      <c r="B49" s="15"/>
      <c r="C49" s="15"/>
      <c r="D49" s="14"/>
      <c r="E49" s="14"/>
    </row>
    <row r="50" spans="1:5">
      <c r="A50" s="25"/>
      <c r="B50" s="15"/>
      <c r="C50" s="15"/>
      <c r="D50" s="14"/>
      <c r="E50" s="14"/>
    </row>
    <row r="51" spans="1:5">
      <c r="A51" s="25"/>
      <c r="B51" s="15"/>
      <c r="C51" s="15"/>
      <c r="D51" s="14"/>
      <c r="E51" s="14"/>
    </row>
    <row r="52" spans="1:5">
      <c r="A52" s="25"/>
      <c r="B52" s="15"/>
      <c r="C52" s="15"/>
      <c r="D52" s="14"/>
      <c r="E52" s="14"/>
    </row>
  </sheetData>
  <mergeCells count="27">
    <mergeCell ref="AK2:AM2"/>
    <mergeCell ref="A1:H1"/>
    <mergeCell ref="J1:R1"/>
    <mergeCell ref="T1:AC1"/>
    <mergeCell ref="AE1:AS1"/>
    <mergeCell ref="A2:C4"/>
    <mergeCell ref="D2:F3"/>
    <mergeCell ref="G2:H3"/>
    <mergeCell ref="J2:M4"/>
    <mergeCell ref="N2:P3"/>
    <mergeCell ref="Q2:R3"/>
    <mergeCell ref="A36:H38"/>
    <mergeCell ref="J36:R38"/>
    <mergeCell ref="T36:AC38"/>
    <mergeCell ref="AE36:AS38"/>
    <mergeCell ref="AN2:AP2"/>
    <mergeCell ref="AQ2:AS2"/>
    <mergeCell ref="AF3:AG3"/>
    <mergeCell ref="AI3:AJ3"/>
    <mergeCell ref="AL3:AM3"/>
    <mergeCell ref="AO3:AP3"/>
    <mergeCell ref="AR3:AS3"/>
    <mergeCell ref="T2:X4"/>
    <mergeCell ref="Y2:AA3"/>
    <mergeCell ref="AB2:AC3"/>
    <mergeCell ref="AE2:AG2"/>
    <mergeCell ref="AH2:AJ2"/>
  </mergeCells>
  <phoneticPr fontId="7" type="noConversion"/>
  <conditionalFormatting sqref="Y1:AC1 Y4:AC35 Y2 Y39:AC1048576">
    <cfRule type="cellIs" dxfId="20" priority="1" operator="lessThan">
      <formula>0</formula>
    </cfRule>
  </conditionalFormatting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23"/>
  <dimension ref="A1:AS52"/>
  <sheetViews>
    <sheetView zoomScale="55" zoomScaleNormal="55" workbookViewId="0">
      <selection activeCell="AI3" sqref="AI3:AJ3"/>
    </sheetView>
  </sheetViews>
  <sheetFormatPr defaultColWidth="9" defaultRowHeight="15.5"/>
  <cols>
    <col min="1" max="1" width="3.58203125" style="22" customWidth="1"/>
    <col min="2" max="3" width="3.58203125" style="4" customWidth="1"/>
    <col min="4" max="8" width="10.58203125" style="10" customWidth="1"/>
    <col min="9" max="9" width="2.08203125" style="1" customWidth="1"/>
    <col min="10" max="10" width="3.58203125" style="22" customWidth="1"/>
    <col min="11" max="12" width="3.58203125" style="4" customWidth="1"/>
    <col min="13" max="13" width="3.08203125" style="4" bestFit="1" customWidth="1"/>
    <col min="14" max="18" width="10.58203125" style="10" customWidth="1"/>
    <col min="19" max="19" width="2.08203125" style="1" customWidth="1"/>
    <col min="20" max="20" width="3.58203125" style="22" customWidth="1"/>
    <col min="21" max="23" width="3.58203125" style="4" customWidth="1"/>
    <col min="24" max="24" width="3.08203125" style="4" bestFit="1" customWidth="1"/>
    <col min="25" max="29" width="10.58203125" style="10" customWidth="1"/>
    <col min="30" max="30" width="2.08203125" style="1" customWidth="1"/>
    <col min="31" max="31" width="7.58203125" style="4" customWidth="1"/>
    <col min="32" max="32" width="10.58203125" style="10" customWidth="1"/>
    <col min="33" max="33" width="10.58203125" style="1" customWidth="1"/>
    <col min="34" max="34" width="7.58203125" style="4" customWidth="1"/>
    <col min="35" max="35" width="10.58203125" style="10" customWidth="1"/>
    <col min="36" max="36" width="10.58203125" style="1" customWidth="1"/>
    <col min="37" max="37" width="7.58203125" style="4" customWidth="1"/>
    <col min="38" max="38" width="10.58203125" style="10" customWidth="1"/>
    <col min="39" max="39" width="10.58203125" style="1" customWidth="1"/>
    <col min="40" max="40" width="7.58203125" style="4" customWidth="1"/>
    <col min="41" max="41" width="10.58203125" style="10" customWidth="1"/>
    <col min="42" max="42" width="10.58203125" style="1" customWidth="1"/>
    <col min="43" max="16384" width="9" style="1"/>
  </cols>
  <sheetData>
    <row r="1" spans="1:45" ht="24" customHeight="1">
      <c r="A1" s="57" t="s">
        <v>58</v>
      </c>
      <c r="B1" s="57"/>
      <c r="C1" s="57"/>
      <c r="D1" s="57"/>
      <c r="E1" s="57"/>
      <c r="F1" s="57"/>
      <c r="G1" s="57"/>
      <c r="H1" s="58"/>
      <c r="J1" s="59" t="s">
        <v>60</v>
      </c>
      <c r="K1" s="59"/>
      <c r="L1" s="59"/>
      <c r="M1" s="59"/>
      <c r="N1" s="59"/>
      <c r="O1" s="59"/>
      <c r="P1" s="59"/>
      <c r="Q1" s="59"/>
      <c r="R1" s="59"/>
      <c r="T1" s="60" t="s">
        <v>59</v>
      </c>
      <c r="U1" s="60"/>
      <c r="V1" s="60"/>
      <c r="W1" s="60"/>
      <c r="X1" s="60"/>
      <c r="Y1" s="60"/>
      <c r="Z1" s="60"/>
      <c r="AA1" s="60"/>
      <c r="AB1" s="60"/>
      <c r="AC1" s="60"/>
      <c r="AE1" s="61" t="s">
        <v>179</v>
      </c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</row>
    <row r="2" spans="1:45" s="2" customFormat="1" ht="19.5" customHeight="1">
      <c r="A2" s="63" t="s">
        <v>55</v>
      </c>
      <c r="B2" s="63"/>
      <c r="C2" s="63"/>
      <c r="D2" s="65"/>
      <c r="E2" s="66"/>
      <c r="F2" s="67"/>
      <c r="G2" s="65"/>
      <c r="H2" s="67"/>
      <c r="J2" s="71" t="s">
        <v>56</v>
      </c>
      <c r="K2" s="71"/>
      <c r="L2" s="71"/>
      <c r="M2" s="71"/>
      <c r="N2" s="73"/>
      <c r="O2" s="74"/>
      <c r="P2" s="75"/>
      <c r="Q2" s="73"/>
      <c r="R2" s="75"/>
      <c r="T2" s="90" t="s">
        <v>57</v>
      </c>
      <c r="U2" s="90"/>
      <c r="V2" s="90"/>
      <c r="W2" s="90"/>
      <c r="X2" s="90"/>
      <c r="Y2" s="92"/>
      <c r="Z2" s="93"/>
      <c r="AA2" s="94"/>
      <c r="AB2" s="92"/>
      <c r="AC2" s="94"/>
      <c r="AE2" s="54" t="s">
        <v>135</v>
      </c>
      <c r="AF2" s="55"/>
      <c r="AG2" s="56"/>
      <c r="AH2" s="81" t="s">
        <v>136</v>
      </c>
      <c r="AI2" s="82"/>
      <c r="AJ2" s="83"/>
      <c r="AK2" s="54" t="s">
        <v>137</v>
      </c>
      <c r="AL2" s="55"/>
      <c r="AM2" s="56"/>
      <c r="AN2" s="81" t="s">
        <v>138</v>
      </c>
      <c r="AO2" s="82"/>
      <c r="AP2" s="83"/>
      <c r="AQ2" s="54" t="s">
        <v>139</v>
      </c>
      <c r="AR2" s="55"/>
      <c r="AS2" s="56"/>
    </row>
    <row r="3" spans="1:45" ht="16.5" customHeight="1">
      <c r="A3" s="63"/>
      <c r="B3" s="63"/>
      <c r="C3" s="63"/>
      <c r="D3" s="68"/>
      <c r="E3" s="69"/>
      <c r="F3" s="70"/>
      <c r="G3" s="68"/>
      <c r="H3" s="70"/>
      <c r="J3" s="71"/>
      <c r="K3" s="71"/>
      <c r="L3" s="71"/>
      <c r="M3" s="71"/>
      <c r="N3" s="76"/>
      <c r="O3" s="77"/>
      <c r="P3" s="78"/>
      <c r="Q3" s="76"/>
      <c r="R3" s="78"/>
      <c r="T3" s="90"/>
      <c r="U3" s="90"/>
      <c r="V3" s="90"/>
      <c r="W3" s="90"/>
      <c r="X3" s="90"/>
      <c r="Y3" s="95"/>
      <c r="Z3" s="96"/>
      <c r="AA3" s="97"/>
      <c r="AB3" s="95"/>
      <c r="AC3" s="97"/>
      <c r="AE3" s="48" t="s">
        <v>178</v>
      </c>
      <c r="AF3" s="85" t="s">
        <v>177</v>
      </c>
      <c r="AG3" s="85"/>
      <c r="AH3" s="52" t="s">
        <v>178</v>
      </c>
      <c r="AI3" s="85" t="s">
        <v>177</v>
      </c>
      <c r="AJ3" s="85"/>
      <c r="AK3" s="52" t="s">
        <v>178</v>
      </c>
      <c r="AL3" s="85" t="s">
        <v>177</v>
      </c>
      <c r="AM3" s="85"/>
      <c r="AN3" s="52" t="s">
        <v>178</v>
      </c>
      <c r="AO3" s="85" t="s">
        <v>177</v>
      </c>
      <c r="AP3" s="85"/>
      <c r="AQ3" s="52" t="s">
        <v>178</v>
      </c>
      <c r="AR3" s="85" t="s">
        <v>177</v>
      </c>
      <c r="AS3" s="85"/>
    </row>
    <row r="4" spans="1:45" s="4" customFormat="1" ht="42.65" customHeight="1">
      <c r="A4" s="63"/>
      <c r="B4" s="64"/>
      <c r="C4" s="64"/>
      <c r="D4" s="19" t="s">
        <v>25</v>
      </c>
      <c r="E4" s="19" t="s">
        <v>26</v>
      </c>
      <c r="F4" s="19" t="s">
        <v>27</v>
      </c>
      <c r="G4" s="19" t="s">
        <v>28</v>
      </c>
      <c r="H4" s="19" t="s">
        <v>29</v>
      </c>
      <c r="J4" s="71"/>
      <c r="K4" s="72"/>
      <c r="L4" s="72"/>
      <c r="M4" s="72"/>
      <c r="N4" s="34" t="s">
        <v>25</v>
      </c>
      <c r="O4" s="34" t="s">
        <v>26</v>
      </c>
      <c r="P4" s="34" t="s">
        <v>27</v>
      </c>
      <c r="Q4" s="34" t="s">
        <v>28</v>
      </c>
      <c r="R4" s="34" t="s">
        <v>29</v>
      </c>
      <c r="T4" s="90"/>
      <c r="U4" s="91"/>
      <c r="V4" s="91"/>
      <c r="W4" s="91"/>
      <c r="X4" s="91"/>
      <c r="Y4" s="35" t="s">
        <v>25</v>
      </c>
      <c r="Z4" s="35" t="s">
        <v>26</v>
      </c>
      <c r="AA4" s="35" t="s">
        <v>27</v>
      </c>
      <c r="AB4" s="35" t="s">
        <v>28</v>
      </c>
      <c r="AC4" s="35" t="s">
        <v>29</v>
      </c>
      <c r="AE4" s="48"/>
      <c r="AF4" s="48" t="s">
        <v>0</v>
      </c>
      <c r="AG4" s="48" t="s">
        <v>1</v>
      </c>
      <c r="AH4" s="48"/>
      <c r="AI4" s="48" t="s">
        <v>0</v>
      </c>
      <c r="AJ4" s="48" t="s">
        <v>1</v>
      </c>
      <c r="AK4" s="48" t="s">
        <v>2</v>
      </c>
      <c r="AL4" s="48" t="s">
        <v>0</v>
      </c>
      <c r="AM4" s="48" t="s">
        <v>1</v>
      </c>
      <c r="AN4" s="49" t="s">
        <v>2</v>
      </c>
      <c r="AO4" s="49" t="s">
        <v>0</v>
      </c>
      <c r="AP4" s="49" t="s">
        <v>1</v>
      </c>
      <c r="AQ4" s="48" t="s">
        <v>2</v>
      </c>
      <c r="AR4" s="48" t="s">
        <v>0</v>
      </c>
      <c r="AS4" s="48" t="s">
        <v>1</v>
      </c>
    </row>
    <row r="5" spans="1:45">
      <c r="A5" s="24">
        <v>1</v>
      </c>
      <c r="B5" s="19" t="s">
        <v>30</v>
      </c>
      <c r="C5" s="19" t="s">
        <v>32</v>
      </c>
      <c r="D5" s="11">
        <v>346</v>
      </c>
      <c r="E5" s="9">
        <v>320</v>
      </c>
      <c r="F5" s="9">
        <v>293</v>
      </c>
      <c r="G5" s="9">
        <v>318</v>
      </c>
      <c r="H5" s="9">
        <v>374</v>
      </c>
      <c r="J5" s="21">
        <v>1</v>
      </c>
      <c r="K5" s="34" t="s">
        <v>30</v>
      </c>
      <c r="L5" s="34" t="s">
        <v>35</v>
      </c>
      <c r="M5" s="34" t="s">
        <v>38</v>
      </c>
      <c r="N5" s="9">
        <v>68.06611495893695</v>
      </c>
      <c r="O5" s="9">
        <v>66.948699083526975</v>
      </c>
      <c r="P5" s="9">
        <v>69.321893227723606</v>
      </c>
      <c r="Q5" s="9">
        <v>72.778492699909847</v>
      </c>
      <c r="R5" s="9">
        <v>71.039416570620375</v>
      </c>
      <c r="T5" s="23">
        <v>1</v>
      </c>
      <c r="U5" s="35" t="s">
        <v>30</v>
      </c>
      <c r="V5" s="35" t="s">
        <v>35</v>
      </c>
      <c r="W5" s="35" t="s">
        <v>32</v>
      </c>
      <c r="X5" s="35" t="s">
        <v>38</v>
      </c>
      <c r="Y5" s="11">
        <v>41520</v>
      </c>
      <c r="Z5" s="9">
        <v>32000</v>
      </c>
      <c r="AA5" s="9">
        <v>28421</v>
      </c>
      <c r="AB5" s="9">
        <v>26712</v>
      </c>
      <c r="AC5" s="9">
        <v>41888</v>
      </c>
      <c r="AE5" s="48" t="s">
        <v>3</v>
      </c>
      <c r="AF5" s="29">
        <v>600</v>
      </c>
      <c r="AG5" s="29">
        <v>494</v>
      </c>
      <c r="AH5" s="48" t="s">
        <v>3</v>
      </c>
      <c r="AI5" s="29">
        <v>600</v>
      </c>
      <c r="AJ5" s="29">
        <v>491</v>
      </c>
      <c r="AK5" s="48" t="s">
        <v>3</v>
      </c>
      <c r="AL5" s="29">
        <v>600</v>
      </c>
      <c r="AM5" s="29">
        <v>519</v>
      </c>
      <c r="AN5" s="48" t="s">
        <v>3</v>
      </c>
      <c r="AO5" s="29">
        <v>600</v>
      </c>
      <c r="AP5" s="29">
        <v>483</v>
      </c>
      <c r="AQ5" s="48" t="s">
        <v>3</v>
      </c>
      <c r="AR5" s="29">
        <v>600</v>
      </c>
      <c r="AS5" s="29">
        <v>458</v>
      </c>
    </row>
    <row r="6" spans="1:45">
      <c r="A6" s="24">
        <v>2</v>
      </c>
      <c r="B6" s="19" t="s">
        <v>30</v>
      </c>
      <c r="C6" s="19" t="s">
        <v>33</v>
      </c>
      <c r="D6" s="11">
        <v>456</v>
      </c>
      <c r="E6" s="9">
        <v>443</v>
      </c>
      <c r="F6" s="9">
        <v>416</v>
      </c>
      <c r="G6" s="9">
        <v>412</v>
      </c>
      <c r="H6" s="9">
        <v>492</v>
      </c>
      <c r="J6" s="21">
        <v>2</v>
      </c>
      <c r="K6" s="34" t="s">
        <v>30</v>
      </c>
      <c r="L6" s="34" t="s">
        <v>41</v>
      </c>
      <c r="M6" s="34" t="s">
        <v>34</v>
      </c>
      <c r="N6" s="9">
        <v>90.6972002976986</v>
      </c>
      <c r="O6" s="9">
        <v>98.734556878976207</v>
      </c>
      <c r="P6" s="9">
        <v>86.565093785512673</v>
      </c>
      <c r="Q6" s="9">
        <v>101.32876671448538</v>
      </c>
      <c r="R6" s="9">
        <v>90.829434379981208</v>
      </c>
      <c r="T6" s="23">
        <v>2</v>
      </c>
      <c r="U6" s="35" t="s">
        <v>30</v>
      </c>
      <c r="V6" s="35" t="s">
        <v>41</v>
      </c>
      <c r="W6" s="35" t="s">
        <v>34</v>
      </c>
      <c r="X6" s="35" t="s">
        <v>42</v>
      </c>
      <c r="Y6" s="11">
        <v>218834</v>
      </c>
      <c r="Z6" s="9">
        <v>188097</v>
      </c>
      <c r="AA6" s="9">
        <v>217469</v>
      </c>
      <c r="AB6" s="9">
        <v>196554</v>
      </c>
      <c r="AC6" s="9">
        <v>244036</v>
      </c>
      <c r="AE6" s="48" t="s">
        <v>4</v>
      </c>
      <c r="AF6" s="29">
        <v>480</v>
      </c>
      <c r="AG6" s="29">
        <v>792</v>
      </c>
      <c r="AH6" s="48" t="s">
        <v>4</v>
      </c>
      <c r="AI6" s="29">
        <v>500</v>
      </c>
      <c r="AJ6" s="29">
        <v>726</v>
      </c>
      <c r="AK6" s="48" t="s">
        <v>4</v>
      </c>
      <c r="AL6" s="29">
        <v>503</v>
      </c>
      <c r="AM6" s="29">
        <v>776</v>
      </c>
      <c r="AN6" s="48" t="s">
        <v>4</v>
      </c>
      <c r="AO6" s="29">
        <v>516</v>
      </c>
      <c r="AP6" s="29">
        <v>754</v>
      </c>
      <c r="AQ6" s="48" t="s">
        <v>4</v>
      </c>
      <c r="AR6" s="29">
        <v>488</v>
      </c>
      <c r="AS6" s="29">
        <v>784</v>
      </c>
    </row>
    <row r="7" spans="1:45">
      <c r="A7" s="24">
        <v>3</v>
      </c>
      <c r="B7" s="19" t="s">
        <v>30</v>
      </c>
      <c r="C7" s="19" t="s">
        <v>34</v>
      </c>
      <c r="D7" s="11">
        <v>686</v>
      </c>
      <c r="E7" s="9">
        <v>689</v>
      </c>
      <c r="F7" s="9">
        <v>661</v>
      </c>
      <c r="G7" s="9">
        <v>697</v>
      </c>
      <c r="H7" s="9">
        <v>722</v>
      </c>
      <c r="J7" s="21">
        <v>3</v>
      </c>
      <c r="K7" s="34" t="s">
        <v>30</v>
      </c>
      <c r="L7" s="34" t="s">
        <v>44</v>
      </c>
      <c r="M7" s="34" t="s">
        <v>32</v>
      </c>
      <c r="N7" s="9">
        <v>48.581767170870997</v>
      </c>
      <c r="O7" s="9">
        <v>56.288013661197702</v>
      </c>
      <c r="P7" s="9">
        <v>42.186413766881671</v>
      </c>
      <c r="Q7" s="9">
        <v>52.407687968095537</v>
      </c>
      <c r="R7" s="9">
        <v>51.443833134867468</v>
      </c>
      <c r="T7" s="23">
        <v>3</v>
      </c>
      <c r="U7" s="35" t="s">
        <v>41</v>
      </c>
      <c r="V7" s="35" t="s">
        <v>39</v>
      </c>
      <c r="W7" s="35" t="s">
        <v>34</v>
      </c>
      <c r="X7" s="35" t="s">
        <v>42</v>
      </c>
      <c r="Y7" s="11">
        <v>78482.5</v>
      </c>
      <c r="Z7" s="9">
        <v>69543.5</v>
      </c>
      <c r="AA7" s="9">
        <v>77028.5</v>
      </c>
      <c r="AB7" s="9">
        <v>94001</v>
      </c>
      <c r="AC7" s="9">
        <v>91790.5</v>
      </c>
      <c r="AE7" s="48" t="s">
        <v>5</v>
      </c>
      <c r="AF7" s="29">
        <v>600</v>
      </c>
      <c r="AG7" s="29">
        <v>840</v>
      </c>
      <c r="AH7" s="48" t="s">
        <v>5</v>
      </c>
      <c r="AI7" s="29">
        <v>600</v>
      </c>
      <c r="AJ7" s="29">
        <v>811</v>
      </c>
      <c r="AK7" s="48" t="s">
        <v>5</v>
      </c>
      <c r="AL7" s="29">
        <v>600</v>
      </c>
      <c r="AM7" s="29">
        <v>812</v>
      </c>
      <c r="AN7" s="48" t="s">
        <v>5</v>
      </c>
      <c r="AO7" s="29">
        <v>600</v>
      </c>
      <c r="AP7" s="29">
        <v>801</v>
      </c>
      <c r="AQ7" s="48" t="s">
        <v>5</v>
      </c>
      <c r="AR7" s="29">
        <v>600</v>
      </c>
      <c r="AS7" s="29">
        <v>832</v>
      </c>
    </row>
    <row r="8" spans="1:45" ht="15.75" customHeight="1">
      <c r="A8" s="24">
        <v>4</v>
      </c>
      <c r="B8" s="19" t="s">
        <v>35</v>
      </c>
      <c r="C8" s="19" t="s">
        <v>38</v>
      </c>
      <c r="D8" s="11">
        <v>240</v>
      </c>
      <c r="E8" s="9">
        <v>200</v>
      </c>
      <c r="F8" s="9">
        <v>194</v>
      </c>
      <c r="G8" s="9">
        <v>168</v>
      </c>
      <c r="H8" s="9">
        <v>224</v>
      </c>
      <c r="J8" s="21">
        <v>4</v>
      </c>
      <c r="K8" s="34" t="s">
        <v>35</v>
      </c>
      <c r="L8" s="34" t="s">
        <v>32</v>
      </c>
      <c r="M8" s="34" t="s">
        <v>38</v>
      </c>
      <c r="N8" s="9">
        <v>136.39718102729643</v>
      </c>
      <c r="O8" s="9">
        <v>99.270926853805278</v>
      </c>
      <c r="P8" s="9">
        <v>139.27679344922771</v>
      </c>
      <c r="Q8" s="9">
        <v>121.54389611370972</v>
      </c>
      <c r="R8" s="9">
        <v>133.6028189727036</v>
      </c>
      <c r="T8" s="23">
        <v>4</v>
      </c>
      <c r="U8" s="35" t="s">
        <v>46</v>
      </c>
      <c r="V8" s="35" t="s">
        <v>43</v>
      </c>
      <c r="W8" s="35" t="s">
        <v>33</v>
      </c>
      <c r="X8" s="35" t="s">
        <v>47</v>
      </c>
      <c r="Y8" s="11">
        <v>443233</v>
      </c>
      <c r="Z8" s="9">
        <v>359694</v>
      </c>
      <c r="AA8" s="9">
        <v>431922.5</v>
      </c>
      <c r="AB8" s="9">
        <v>330765</v>
      </c>
      <c r="AC8" s="9">
        <v>431174</v>
      </c>
      <c r="AE8" s="48" t="s">
        <v>6</v>
      </c>
      <c r="AF8" s="29">
        <f>AF7+(AF7-AF6)</f>
        <v>720</v>
      </c>
      <c r="AG8" s="29">
        <f>AG6</f>
        <v>792</v>
      </c>
      <c r="AH8" s="48" t="s">
        <v>6</v>
      </c>
      <c r="AI8" s="29">
        <f>AI7+(AI7-AI6)</f>
        <v>700</v>
      </c>
      <c r="AJ8" s="29">
        <f>AJ6</f>
        <v>726</v>
      </c>
      <c r="AK8" s="48" t="s">
        <v>6</v>
      </c>
      <c r="AL8" s="29">
        <f t="shared" ref="AL8" si="0">AL7+(AL7-AL6)</f>
        <v>697</v>
      </c>
      <c r="AM8" s="29">
        <f t="shared" ref="AM8" si="1">AM6</f>
        <v>776</v>
      </c>
      <c r="AN8" s="48" t="s">
        <v>6</v>
      </c>
      <c r="AO8" s="29">
        <f t="shared" ref="AO8" si="2">AO7+(AO7-AO6)</f>
        <v>684</v>
      </c>
      <c r="AP8" s="29">
        <f t="shared" ref="AP8" si="3">AP6</f>
        <v>754</v>
      </c>
      <c r="AQ8" s="48" t="s">
        <v>6</v>
      </c>
      <c r="AR8" s="29">
        <f t="shared" ref="AR8" si="4">AR7+(AR7-AR6)</f>
        <v>712</v>
      </c>
      <c r="AS8" s="29">
        <f t="shared" ref="AS8" si="5">AS6</f>
        <v>784</v>
      </c>
    </row>
    <row r="9" spans="1:45" ht="15.75" customHeight="1">
      <c r="A9" s="24">
        <v>5</v>
      </c>
      <c r="B9" s="19" t="s">
        <v>32</v>
      </c>
      <c r="C9" s="19" t="s">
        <v>33</v>
      </c>
      <c r="D9" s="11">
        <v>110</v>
      </c>
      <c r="E9" s="9">
        <v>123</v>
      </c>
      <c r="F9" s="9">
        <v>123</v>
      </c>
      <c r="G9" s="9">
        <v>94</v>
      </c>
      <c r="H9" s="9">
        <v>118</v>
      </c>
      <c r="J9" s="21">
        <v>5</v>
      </c>
      <c r="K9" s="34" t="s">
        <v>39</v>
      </c>
      <c r="L9" s="34" t="s">
        <v>34</v>
      </c>
      <c r="M9" s="34" t="s">
        <v>40</v>
      </c>
      <c r="N9" s="9">
        <v>135.23972989608089</v>
      </c>
      <c r="O9" s="9">
        <v>145.97490638151194</v>
      </c>
      <c r="P9" s="9">
        <v>148.23229253215786</v>
      </c>
      <c r="Q9" s="9">
        <v>141.41990756162252</v>
      </c>
      <c r="R9" s="9">
        <v>140.03378695620003</v>
      </c>
      <c r="T9" s="23">
        <v>5</v>
      </c>
      <c r="U9" s="35" t="s">
        <v>48</v>
      </c>
      <c r="V9" s="35" t="s">
        <v>43</v>
      </c>
      <c r="W9" s="35" t="s">
        <v>34</v>
      </c>
      <c r="X9" s="35" t="s">
        <v>44</v>
      </c>
      <c r="Y9" s="11">
        <v>375642</v>
      </c>
      <c r="Z9" s="9">
        <v>317226</v>
      </c>
      <c r="AA9" s="9">
        <v>356625</v>
      </c>
      <c r="AB9" s="9">
        <v>329600</v>
      </c>
      <c r="AC9" s="9">
        <v>393300</v>
      </c>
      <c r="AE9" s="48" t="s">
        <v>77</v>
      </c>
      <c r="AF9" s="29">
        <v>600</v>
      </c>
      <c r="AG9" s="29">
        <v>950</v>
      </c>
      <c r="AH9" s="48" t="s">
        <v>77</v>
      </c>
      <c r="AI9" s="29">
        <v>600</v>
      </c>
      <c r="AJ9" s="29">
        <v>934</v>
      </c>
      <c r="AK9" s="48" t="s">
        <v>77</v>
      </c>
      <c r="AL9" s="29">
        <v>600</v>
      </c>
      <c r="AM9" s="29">
        <v>935</v>
      </c>
      <c r="AN9" s="48" t="s">
        <v>77</v>
      </c>
      <c r="AO9" s="29">
        <v>600</v>
      </c>
      <c r="AP9" s="29">
        <v>895</v>
      </c>
      <c r="AQ9" s="48" t="s">
        <v>77</v>
      </c>
      <c r="AR9" s="29">
        <v>600</v>
      </c>
      <c r="AS9" s="29">
        <v>950</v>
      </c>
    </row>
    <row r="10" spans="1:45">
      <c r="A10" s="24">
        <v>6</v>
      </c>
      <c r="B10" s="19" t="s">
        <v>32</v>
      </c>
      <c r="C10" s="19" t="s">
        <v>34</v>
      </c>
      <c r="D10" s="11">
        <v>340</v>
      </c>
      <c r="E10" s="9">
        <v>369</v>
      </c>
      <c r="F10" s="9">
        <v>368</v>
      </c>
      <c r="G10" s="9">
        <v>379</v>
      </c>
      <c r="H10" s="9">
        <v>348</v>
      </c>
      <c r="J10" s="21">
        <v>6</v>
      </c>
      <c r="K10" s="34" t="s">
        <v>40</v>
      </c>
      <c r="L10" s="34" t="s">
        <v>34</v>
      </c>
      <c r="M10" s="34" t="s">
        <v>62</v>
      </c>
      <c r="N10" s="9">
        <v>22.380135051959545</v>
      </c>
      <c r="O10" s="9">
        <v>17.012546809244075</v>
      </c>
      <c r="P10" s="9">
        <v>15.88385373392107</v>
      </c>
      <c r="Q10" s="9">
        <v>19.290046219188689</v>
      </c>
      <c r="R10" s="9">
        <v>19.983106521900023</v>
      </c>
      <c r="T10" s="23">
        <v>6</v>
      </c>
      <c r="U10" s="35" t="s">
        <v>52</v>
      </c>
      <c r="V10" s="35" t="s">
        <v>51</v>
      </c>
      <c r="W10" s="35" t="s">
        <v>54</v>
      </c>
      <c r="X10" s="35" t="s">
        <v>50</v>
      </c>
      <c r="Y10" s="11">
        <v>6105</v>
      </c>
      <c r="Z10" s="9">
        <v>5670</v>
      </c>
      <c r="AA10" s="9">
        <v>5202</v>
      </c>
      <c r="AB10" s="9">
        <v>4795.5</v>
      </c>
      <c r="AC10" s="9">
        <v>7277</v>
      </c>
      <c r="AE10" s="48" t="s">
        <v>8</v>
      </c>
      <c r="AF10" s="29">
        <v>481</v>
      </c>
      <c r="AG10" s="29">
        <v>1131</v>
      </c>
      <c r="AH10" s="48" t="s">
        <v>8</v>
      </c>
      <c r="AI10" s="29">
        <v>466</v>
      </c>
      <c r="AJ10" s="29">
        <v>1139</v>
      </c>
      <c r="AK10" s="48" t="s">
        <v>8</v>
      </c>
      <c r="AL10" s="29">
        <v>477</v>
      </c>
      <c r="AM10" s="29">
        <v>1145</v>
      </c>
      <c r="AN10" s="48" t="s">
        <v>8</v>
      </c>
      <c r="AO10" s="29">
        <v>500</v>
      </c>
      <c r="AP10" s="29">
        <v>1145</v>
      </c>
      <c r="AQ10" s="48" t="s">
        <v>8</v>
      </c>
      <c r="AR10" s="29">
        <v>479</v>
      </c>
      <c r="AS10" s="29">
        <v>1136</v>
      </c>
    </row>
    <row r="11" spans="1:45">
      <c r="A11" s="24">
        <v>7</v>
      </c>
      <c r="B11" s="19" t="s">
        <v>39</v>
      </c>
      <c r="C11" s="19" t="s">
        <v>40</v>
      </c>
      <c r="D11" s="11">
        <v>238</v>
      </c>
      <c r="E11" s="9">
        <v>268</v>
      </c>
      <c r="F11" s="9">
        <v>246</v>
      </c>
      <c r="G11" s="9">
        <v>200</v>
      </c>
      <c r="H11" s="9">
        <v>242</v>
      </c>
      <c r="J11" s="21">
        <v>7</v>
      </c>
      <c r="K11" s="34" t="s">
        <v>41</v>
      </c>
      <c r="L11" s="34" t="s">
        <v>34</v>
      </c>
      <c r="M11" s="34" t="s">
        <v>62</v>
      </c>
      <c r="N11" s="9">
        <v>144.44533561513077</v>
      </c>
      <c r="O11" s="9">
        <v>141.00900595749451</v>
      </c>
      <c r="P11" s="9">
        <v>147.20320321788185</v>
      </c>
      <c r="Q11" s="9">
        <v>133.41982752719997</v>
      </c>
      <c r="R11" s="9">
        <v>143.62143096366739</v>
      </c>
      <c r="T11" s="23">
        <v>7</v>
      </c>
      <c r="U11" s="35" t="s">
        <v>76</v>
      </c>
      <c r="V11" s="35" t="s">
        <v>73</v>
      </c>
      <c r="W11" s="35" t="s">
        <v>75</v>
      </c>
      <c r="X11" s="35" t="s">
        <v>74</v>
      </c>
      <c r="Y11" s="11">
        <v>6138</v>
      </c>
      <c r="Z11" s="9">
        <v>4849</v>
      </c>
      <c r="AA11" s="9">
        <v>4639.5</v>
      </c>
      <c r="AB11" s="9">
        <v>4432.5</v>
      </c>
      <c r="AC11" s="9">
        <v>5272.5</v>
      </c>
      <c r="AE11" s="48" t="s">
        <v>9</v>
      </c>
      <c r="AF11" s="29">
        <v>600</v>
      </c>
      <c r="AG11" s="29">
        <v>1180</v>
      </c>
      <c r="AH11" s="48" t="s">
        <v>9</v>
      </c>
      <c r="AI11" s="29">
        <v>600</v>
      </c>
      <c r="AJ11" s="29">
        <v>1180</v>
      </c>
      <c r="AK11" s="48" t="s">
        <v>9</v>
      </c>
      <c r="AL11" s="29">
        <v>600</v>
      </c>
      <c r="AM11" s="29">
        <v>1180</v>
      </c>
      <c r="AN11" s="48" t="s">
        <v>9</v>
      </c>
      <c r="AO11" s="29">
        <v>600</v>
      </c>
      <c r="AP11" s="29">
        <v>1180</v>
      </c>
      <c r="AQ11" s="48" t="s">
        <v>9</v>
      </c>
      <c r="AR11" s="29">
        <v>600</v>
      </c>
      <c r="AS11" s="29">
        <v>1180</v>
      </c>
    </row>
    <row r="12" spans="1:45">
      <c r="A12" s="24">
        <v>8</v>
      </c>
      <c r="B12" s="19" t="s">
        <v>41</v>
      </c>
      <c r="C12" s="19" t="s">
        <v>42</v>
      </c>
      <c r="D12" s="11">
        <v>638</v>
      </c>
      <c r="E12" s="9">
        <v>546</v>
      </c>
      <c r="F12" s="9">
        <v>658</v>
      </c>
      <c r="G12" s="9">
        <v>564</v>
      </c>
      <c r="H12" s="9">
        <v>676</v>
      </c>
      <c r="J12" s="21">
        <v>8</v>
      </c>
      <c r="K12" s="34" t="s">
        <v>42</v>
      </c>
      <c r="L12" s="34" t="s">
        <v>34</v>
      </c>
      <c r="M12" s="34" t="s">
        <v>62</v>
      </c>
      <c r="N12" s="9">
        <v>35.554664384869241</v>
      </c>
      <c r="O12" s="9">
        <v>38.990994042505477</v>
      </c>
      <c r="P12" s="9">
        <v>32.796796782118101</v>
      </c>
      <c r="Q12" s="9">
        <v>46.580172472800008</v>
      </c>
      <c r="R12" s="9">
        <v>36.3785690363326</v>
      </c>
      <c r="T12" s="23">
        <v>8</v>
      </c>
      <c r="U12" s="35"/>
      <c r="V12" s="35"/>
      <c r="W12" s="35"/>
      <c r="X12" s="35"/>
      <c r="Y12" s="11"/>
      <c r="Z12" s="9"/>
      <c r="AA12" s="9"/>
      <c r="AB12" s="9"/>
      <c r="AC12" s="9"/>
      <c r="AE12" s="48" t="s">
        <v>10</v>
      </c>
      <c r="AF12" s="29">
        <f>AF11+(AF11-AF10)</f>
        <v>719</v>
      </c>
      <c r="AG12" s="29">
        <f>AG10</f>
        <v>1131</v>
      </c>
      <c r="AH12" s="48" t="s">
        <v>10</v>
      </c>
      <c r="AI12" s="29">
        <f>AI11+(AI11-AI10)</f>
        <v>734</v>
      </c>
      <c r="AJ12" s="29">
        <f>AJ10</f>
        <v>1139</v>
      </c>
      <c r="AK12" s="48" t="s">
        <v>10</v>
      </c>
      <c r="AL12" s="29">
        <f t="shared" ref="AL12" si="6">AL11+(AL11-AL10)</f>
        <v>723</v>
      </c>
      <c r="AM12" s="29">
        <f t="shared" ref="AM12" si="7">AM10</f>
        <v>1145</v>
      </c>
      <c r="AN12" s="48" t="s">
        <v>10</v>
      </c>
      <c r="AO12" s="29">
        <f t="shared" ref="AO12" si="8">AO11+(AO11-AO10)</f>
        <v>700</v>
      </c>
      <c r="AP12" s="29">
        <f t="shared" ref="AP12" si="9">AP10</f>
        <v>1145</v>
      </c>
      <c r="AQ12" s="48" t="s">
        <v>10</v>
      </c>
      <c r="AR12" s="29">
        <f t="shared" ref="AR12" si="10">AR11+(AR11-AR10)</f>
        <v>721</v>
      </c>
      <c r="AS12" s="29">
        <f t="shared" ref="AS12" si="11">AS10</f>
        <v>1136</v>
      </c>
    </row>
    <row r="13" spans="1:45">
      <c r="A13" s="24">
        <v>9</v>
      </c>
      <c r="B13" s="19" t="s">
        <v>43</v>
      </c>
      <c r="C13" s="19" t="s">
        <v>44</v>
      </c>
      <c r="D13" s="11">
        <v>738</v>
      </c>
      <c r="E13" s="9">
        <v>588</v>
      </c>
      <c r="F13" s="9">
        <v>750</v>
      </c>
      <c r="G13" s="9">
        <v>640</v>
      </c>
      <c r="H13" s="9">
        <v>760</v>
      </c>
      <c r="J13" s="21">
        <v>9</v>
      </c>
      <c r="K13" s="34" t="s">
        <v>43</v>
      </c>
      <c r="L13" s="34" t="s">
        <v>41</v>
      </c>
      <c r="M13" s="34" t="s">
        <v>34</v>
      </c>
      <c r="N13" s="9">
        <v>139.26162538894908</v>
      </c>
      <c r="O13" s="9">
        <v>133.53903645163092</v>
      </c>
      <c r="P13" s="9">
        <v>132.94461512876131</v>
      </c>
      <c r="Q13" s="9">
        <v>147.08165748145129</v>
      </c>
      <c r="R13" s="9">
        <v>136.99822431248774</v>
      </c>
      <c r="T13" s="23">
        <v>9</v>
      </c>
      <c r="U13" s="35"/>
      <c r="V13" s="35"/>
      <c r="W13" s="35"/>
      <c r="X13" s="35"/>
      <c r="Y13" s="11"/>
      <c r="Z13" s="9"/>
      <c r="AA13" s="9"/>
      <c r="AB13" s="9"/>
      <c r="AC13" s="9"/>
      <c r="AE13" s="48" t="s">
        <v>11</v>
      </c>
      <c r="AF13" s="29">
        <v>281</v>
      </c>
      <c r="AG13" s="29">
        <v>952</v>
      </c>
      <c r="AH13" s="48" t="s">
        <v>11</v>
      </c>
      <c r="AI13" s="29">
        <v>327</v>
      </c>
      <c r="AJ13" s="29">
        <v>959</v>
      </c>
      <c r="AK13" s="48" t="s">
        <v>11</v>
      </c>
      <c r="AL13" s="29">
        <v>271</v>
      </c>
      <c r="AM13" s="29">
        <v>968</v>
      </c>
      <c r="AN13" s="48" t="s">
        <v>11</v>
      </c>
      <c r="AO13" s="29">
        <v>318</v>
      </c>
      <c r="AP13" s="29">
        <v>882</v>
      </c>
      <c r="AQ13" s="48" t="s">
        <v>11</v>
      </c>
      <c r="AR13" s="29">
        <v>262</v>
      </c>
      <c r="AS13" s="29">
        <v>931</v>
      </c>
    </row>
    <row r="14" spans="1:45">
      <c r="A14" s="24">
        <v>10</v>
      </c>
      <c r="B14" s="19" t="s">
        <v>45</v>
      </c>
      <c r="C14" s="19" t="s">
        <v>43</v>
      </c>
      <c r="D14" s="11">
        <v>71.175838597096984</v>
      </c>
      <c r="E14" s="9">
        <v>64.280634719952786</v>
      </c>
      <c r="F14" s="9">
        <v>68.117545463705611</v>
      </c>
      <c r="G14" s="9">
        <v>65.620118866091673</v>
      </c>
      <c r="H14" s="9">
        <v>86.005813756978085</v>
      </c>
      <c r="J14" s="21">
        <v>10</v>
      </c>
      <c r="K14" s="34" t="s">
        <v>44</v>
      </c>
      <c r="L14" s="34" t="s">
        <v>32</v>
      </c>
      <c r="M14" s="34" t="s">
        <v>62</v>
      </c>
      <c r="N14" s="9">
        <v>44.524921505471333</v>
      </c>
      <c r="O14" s="9">
        <v>53.996900920620696</v>
      </c>
      <c r="P14" s="9">
        <v>47.468389984541332</v>
      </c>
      <c r="Q14" s="9">
        <v>54.343888726997498</v>
      </c>
      <c r="R14" s="9">
        <v>49.172241002654367</v>
      </c>
      <c r="T14" s="23">
        <v>10</v>
      </c>
      <c r="U14" s="35"/>
      <c r="V14" s="35"/>
      <c r="W14" s="35"/>
      <c r="X14" s="35"/>
      <c r="Y14" s="11"/>
      <c r="Z14" s="9"/>
      <c r="AA14" s="9"/>
      <c r="AB14" s="9"/>
      <c r="AC14" s="9"/>
      <c r="AE14" s="48" t="s">
        <v>12</v>
      </c>
      <c r="AF14" s="29">
        <f>600+(600-AF13)</f>
        <v>919</v>
      </c>
      <c r="AG14" s="29">
        <f>AG13</f>
        <v>952</v>
      </c>
      <c r="AH14" s="48" t="s">
        <v>12</v>
      </c>
      <c r="AI14" s="29">
        <f>600+(600-AI13)</f>
        <v>873</v>
      </c>
      <c r="AJ14" s="29">
        <f>AJ13</f>
        <v>959</v>
      </c>
      <c r="AK14" s="48" t="s">
        <v>12</v>
      </c>
      <c r="AL14" s="29">
        <f t="shared" ref="AL14" si="12">600+(600-AL13)</f>
        <v>929</v>
      </c>
      <c r="AM14" s="29">
        <f t="shared" ref="AM14" si="13">AM13</f>
        <v>968</v>
      </c>
      <c r="AN14" s="48" t="s">
        <v>12</v>
      </c>
      <c r="AO14" s="29">
        <f t="shared" ref="AO14" si="14">600+(600-AO13)</f>
        <v>882</v>
      </c>
      <c r="AP14" s="29">
        <f t="shared" ref="AP14" si="15">AP13</f>
        <v>882</v>
      </c>
      <c r="AQ14" s="48" t="s">
        <v>12</v>
      </c>
      <c r="AR14" s="29">
        <f t="shared" ref="AR14" si="16">600+(600-AR13)</f>
        <v>938</v>
      </c>
      <c r="AS14" s="29">
        <f t="shared" ref="AS14" si="17">AS13</f>
        <v>931</v>
      </c>
    </row>
    <row r="15" spans="1:45">
      <c r="A15" s="24">
        <v>11</v>
      </c>
      <c r="B15" s="19" t="s">
        <v>46</v>
      </c>
      <c r="C15" s="19" t="s">
        <v>47</v>
      </c>
      <c r="D15" s="11">
        <v>716</v>
      </c>
      <c r="E15" s="9">
        <v>576</v>
      </c>
      <c r="F15" s="9">
        <v>680</v>
      </c>
      <c r="G15" s="9">
        <v>510</v>
      </c>
      <c r="H15" s="9">
        <v>632</v>
      </c>
      <c r="J15" s="21">
        <v>11</v>
      </c>
      <c r="K15" s="34" t="s">
        <v>44</v>
      </c>
      <c r="L15" s="34" t="s">
        <v>33</v>
      </c>
      <c r="M15" s="34" t="s">
        <v>62</v>
      </c>
      <c r="N15" s="9">
        <v>50.447640818678167</v>
      </c>
      <c r="O15" s="9">
        <v>62.092172209112199</v>
      </c>
      <c r="P15" s="9">
        <v>53.751146213439974</v>
      </c>
      <c r="Q15" s="9">
        <v>60.433194693862546</v>
      </c>
      <c r="R15" s="9">
        <v>54.228731723945721</v>
      </c>
      <c r="T15" s="23">
        <v>11</v>
      </c>
      <c r="U15" s="35"/>
      <c r="V15" s="35"/>
      <c r="W15" s="35"/>
      <c r="X15" s="35"/>
      <c r="Y15" s="11"/>
      <c r="Z15" s="9"/>
      <c r="AA15" s="9"/>
      <c r="AB15" s="9"/>
      <c r="AC15" s="9"/>
      <c r="AE15" s="48" t="s">
        <v>13</v>
      </c>
      <c r="AF15" s="29">
        <v>231</v>
      </c>
      <c r="AG15" s="29">
        <v>747</v>
      </c>
      <c r="AH15" s="48" t="s">
        <v>13</v>
      </c>
      <c r="AI15" s="29">
        <v>306</v>
      </c>
      <c r="AJ15" s="29">
        <v>695</v>
      </c>
      <c r="AK15" s="48" t="s">
        <v>13</v>
      </c>
      <c r="AL15" s="29">
        <v>225</v>
      </c>
      <c r="AM15" s="29">
        <v>711</v>
      </c>
      <c r="AN15" s="48" t="s">
        <v>13</v>
      </c>
      <c r="AO15" s="29">
        <v>280</v>
      </c>
      <c r="AP15" s="29">
        <v>677</v>
      </c>
      <c r="AQ15" s="48" t="s">
        <v>13</v>
      </c>
      <c r="AR15" s="29">
        <v>220</v>
      </c>
      <c r="AS15" s="29">
        <v>707</v>
      </c>
    </row>
    <row r="16" spans="1:45" ht="15.75" customHeight="1">
      <c r="A16" s="24">
        <v>12</v>
      </c>
      <c r="B16" s="19" t="s">
        <v>48</v>
      </c>
      <c r="C16" s="19" t="s">
        <v>30</v>
      </c>
      <c r="D16" s="11">
        <v>332</v>
      </c>
      <c r="E16" s="9">
        <v>390</v>
      </c>
      <c r="F16" s="9">
        <v>290</v>
      </c>
      <c r="G16" s="9">
        <v>333</v>
      </c>
      <c r="H16" s="9">
        <v>313</v>
      </c>
      <c r="J16" s="21">
        <v>12</v>
      </c>
      <c r="K16" s="34" t="s">
        <v>47</v>
      </c>
      <c r="L16" s="34" t="s">
        <v>30</v>
      </c>
      <c r="M16" s="34" t="s">
        <v>62</v>
      </c>
      <c r="N16" s="9">
        <v>99.875364468584664</v>
      </c>
      <c r="O16" s="9">
        <v>108.02647579025559</v>
      </c>
      <c r="P16" s="9">
        <v>103.13970676170192</v>
      </c>
      <c r="Q16" s="9">
        <v>110.80495858474411</v>
      </c>
      <c r="R16" s="9">
        <v>105.29075040214158</v>
      </c>
      <c r="T16" s="23">
        <v>12</v>
      </c>
      <c r="U16" s="35"/>
      <c r="V16" s="35"/>
      <c r="W16" s="35"/>
      <c r="X16" s="35"/>
      <c r="Y16" s="11"/>
      <c r="Z16" s="9"/>
      <c r="AA16" s="9"/>
      <c r="AB16" s="9"/>
      <c r="AC16" s="9"/>
      <c r="AE16" s="48" t="s">
        <v>14</v>
      </c>
      <c r="AF16" s="29">
        <f>600+(600-AF15)</f>
        <v>969</v>
      </c>
      <c r="AG16" s="29">
        <f>AG15</f>
        <v>747</v>
      </c>
      <c r="AH16" s="48" t="s">
        <v>14</v>
      </c>
      <c r="AI16" s="29">
        <f>600+(600-AI15)</f>
        <v>894</v>
      </c>
      <c r="AJ16" s="29">
        <f>AJ15</f>
        <v>695</v>
      </c>
      <c r="AK16" s="48" t="s">
        <v>14</v>
      </c>
      <c r="AL16" s="29">
        <f t="shared" ref="AL16" si="18">600+(600-AL15)</f>
        <v>975</v>
      </c>
      <c r="AM16" s="29">
        <f t="shared" ref="AM16" si="19">AM15</f>
        <v>711</v>
      </c>
      <c r="AN16" s="48" t="s">
        <v>14</v>
      </c>
      <c r="AO16" s="29">
        <f t="shared" ref="AO16" si="20">600+(600-AO15)</f>
        <v>920</v>
      </c>
      <c r="AP16" s="29">
        <f t="shared" ref="AP16" si="21">AP15</f>
        <v>677</v>
      </c>
      <c r="AQ16" s="48" t="s">
        <v>14</v>
      </c>
      <c r="AR16" s="29">
        <f t="shared" ref="AR16" si="22">600+(600-AR15)</f>
        <v>980</v>
      </c>
      <c r="AS16" s="29">
        <f t="shared" ref="AS16" si="23">AS15</f>
        <v>707</v>
      </c>
    </row>
    <row r="17" spans="1:45" ht="15.75" customHeight="1">
      <c r="A17" s="24">
        <v>13</v>
      </c>
      <c r="B17" s="19" t="s">
        <v>48</v>
      </c>
      <c r="C17" s="19" t="s">
        <v>32</v>
      </c>
      <c r="D17" s="11">
        <v>678</v>
      </c>
      <c r="E17" s="9">
        <v>710</v>
      </c>
      <c r="F17" s="9">
        <v>583</v>
      </c>
      <c r="G17" s="9">
        <v>651</v>
      </c>
      <c r="H17" s="9">
        <v>687</v>
      </c>
      <c r="J17" s="21">
        <v>13</v>
      </c>
      <c r="K17" s="34" t="s">
        <v>47</v>
      </c>
      <c r="L17" s="34" t="s">
        <v>48</v>
      </c>
      <c r="M17" s="34" t="s">
        <v>62</v>
      </c>
      <c r="N17" s="9">
        <v>75.338983596768685</v>
      </c>
      <c r="O17" s="9">
        <v>75.963756532073475</v>
      </c>
      <c r="P17" s="9">
        <v>87.173031086168507</v>
      </c>
      <c r="Q17" s="9">
        <v>85.632736352148754</v>
      </c>
      <c r="R17" s="9">
        <v>82.002322558007933</v>
      </c>
      <c r="T17" s="23">
        <v>13</v>
      </c>
      <c r="U17" s="35"/>
      <c r="V17" s="35"/>
      <c r="W17" s="35"/>
      <c r="X17" s="35"/>
      <c r="Y17" s="11"/>
      <c r="Z17" s="9"/>
      <c r="AA17" s="9"/>
      <c r="AB17" s="9"/>
      <c r="AC17" s="9"/>
      <c r="AE17" s="48" t="s">
        <v>15</v>
      </c>
      <c r="AF17" s="29">
        <v>160</v>
      </c>
      <c r="AG17" s="29">
        <v>742</v>
      </c>
      <c r="AH17" s="48" t="s">
        <v>15</v>
      </c>
      <c r="AI17" s="29">
        <v>242</v>
      </c>
      <c r="AJ17" s="29">
        <v>701</v>
      </c>
      <c r="AK17" s="48" t="s">
        <v>15</v>
      </c>
      <c r="AL17" s="29">
        <v>157</v>
      </c>
      <c r="AM17" s="29">
        <v>707</v>
      </c>
      <c r="AN17" s="48" t="s">
        <v>15</v>
      </c>
      <c r="AO17" s="29">
        <v>215</v>
      </c>
      <c r="AP17" s="29">
        <v>686</v>
      </c>
      <c r="AQ17" s="48" t="s">
        <v>15</v>
      </c>
      <c r="AR17" s="29">
        <v>134</v>
      </c>
      <c r="AS17" s="29">
        <v>708</v>
      </c>
    </row>
    <row r="18" spans="1:45">
      <c r="A18" s="24">
        <v>14</v>
      </c>
      <c r="B18" s="19" t="s">
        <v>48</v>
      </c>
      <c r="C18" s="19" t="s">
        <v>33</v>
      </c>
      <c r="D18" s="11">
        <v>788</v>
      </c>
      <c r="E18" s="9">
        <v>833</v>
      </c>
      <c r="F18" s="9">
        <v>706</v>
      </c>
      <c r="G18" s="9">
        <v>745</v>
      </c>
      <c r="H18" s="9">
        <v>805</v>
      </c>
      <c r="J18" s="21">
        <v>14</v>
      </c>
      <c r="K18" s="44" t="s">
        <v>48</v>
      </c>
      <c r="L18" s="44" t="s">
        <v>78</v>
      </c>
      <c r="M18" s="44" t="s">
        <v>79</v>
      </c>
      <c r="N18" s="11">
        <v>24.224379581126787</v>
      </c>
      <c r="O18" s="9">
        <v>46.915981983563178</v>
      </c>
      <c r="P18" s="9">
        <v>39.0409342588082</v>
      </c>
      <c r="Q18" s="9">
        <v>60.515650955971026</v>
      </c>
      <c r="R18" s="9">
        <v>44.910991106880594</v>
      </c>
      <c r="T18" s="23">
        <v>14</v>
      </c>
      <c r="U18" s="35"/>
      <c r="V18" s="35"/>
      <c r="W18" s="35"/>
      <c r="X18" s="35"/>
      <c r="Y18" s="11"/>
      <c r="Z18" s="9"/>
      <c r="AA18" s="9"/>
      <c r="AB18" s="9"/>
      <c r="AC18" s="9"/>
      <c r="AE18" s="48" t="s">
        <v>16</v>
      </c>
      <c r="AF18" s="29">
        <f>600+(600-AF17)</f>
        <v>1040</v>
      </c>
      <c r="AG18" s="29">
        <f>AG17</f>
        <v>742</v>
      </c>
      <c r="AH18" s="48" t="s">
        <v>16</v>
      </c>
      <c r="AI18" s="29">
        <f>600+(600-AI17)</f>
        <v>958</v>
      </c>
      <c r="AJ18" s="29">
        <f>AJ17</f>
        <v>701</v>
      </c>
      <c r="AK18" s="48" t="s">
        <v>16</v>
      </c>
      <c r="AL18" s="29">
        <f t="shared" ref="AL18" si="24">600+(600-AL17)</f>
        <v>1043</v>
      </c>
      <c r="AM18" s="29">
        <f t="shared" ref="AM18" si="25">AM17</f>
        <v>707</v>
      </c>
      <c r="AN18" s="48" t="s">
        <v>16</v>
      </c>
      <c r="AO18" s="29">
        <f t="shared" ref="AO18" si="26">600+(600-AO17)</f>
        <v>985</v>
      </c>
      <c r="AP18" s="29">
        <f t="shared" ref="AP18" si="27">AP17</f>
        <v>686</v>
      </c>
      <c r="AQ18" s="48" t="s">
        <v>16</v>
      </c>
      <c r="AR18" s="29">
        <f t="shared" ref="AR18" si="28">600+(600-AR17)</f>
        <v>1066</v>
      </c>
      <c r="AS18" s="29">
        <f t="shared" ref="AS18" si="29">AS17</f>
        <v>708</v>
      </c>
    </row>
    <row r="19" spans="1:45">
      <c r="A19" s="24">
        <v>15</v>
      </c>
      <c r="B19" s="19" t="s">
        <v>48</v>
      </c>
      <c r="C19" s="19" t="s">
        <v>34</v>
      </c>
      <c r="D19" s="11">
        <v>1018</v>
      </c>
      <c r="E19" s="9">
        <v>1079</v>
      </c>
      <c r="F19" s="9">
        <v>951</v>
      </c>
      <c r="G19" s="9">
        <v>1030</v>
      </c>
      <c r="H19" s="9">
        <v>1035</v>
      </c>
      <c r="J19" s="21">
        <v>15</v>
      </c>
      <c r="K19" s="44" t="s">
        <v>80</v>
      </c>
      <c r="L19" s="44" t="s">
        <v>78</v>
      </c>
      <c r="M19" s="44" t="s">
        <v>79</v>
      </c>
      <c r="N19" s="11">
        <v>25.182894131229894</v>
      </c>
      <c r="O19" s="9">
        <v>28.265274756766512</v>
      </c>
      <c r="P19" s="9">
        <v>15.955084763171145</v>
      </c>
      <c r="Q19" s="9">
        <v>23.431626916002493</v>
      </c>
      <c r="R19" s="9">
        <v>17.746084727484725</v>
      </c>
      <c r="T19" s="23">
        <v>15</v>
      </c>
      <c r="U19" s="35"/>
      <c r="V19" s="35"/>
      <c r="W19" s="35"/>
      <c r="X19" s="35"/>
      <c r="Y19" s="11"/>
      <c r="Z19" s="9"/>
      <c r="AA19" s="9"/>
      <c r="AB19" s="9"/>
      <c r="AC19" s="9"/>
      <c r="AE19" s="48" t="s">
        <v>17</v>
      </c>
      <c r="AF19" s="29">
        <v>242</v>
      </c>
      <c r="AG19" s="29">
        <v>66</v>
      </c>
      <c r="AH19" s="48" t="s">
        <v>17</v>
      </c>
      <c r="AI19" s="29">
        <v>312</v>
      </c>
      <c r="AJ19" s="29">
        <v>28</v>
      </c>
      <c r="AK19" s="48" t="s">
        <v>17</v>
      </c>
      <c r="AL19" s="29">
        <v>260</v>
      </c>
      <c r="AM19" s="29">
        <v>44</v>
      </c>
      <c r="AN19" s="48" t="s">
        <v>17</v>
      </c>
      <c r="AO19" s="29">
        <v>345</v>
      </c>
      <c r="AP19" s="29">
        <v>31</v>
      </c>
      <c r="AQ19" s="48" t="s">
        <v>17</v>
      </c>
      <c r="AR19" s="29">
        <v>284</v>
      </c>
      <c r="AS19" s="29">
        <v>22</v>
      </c>
    </row>
    <row r="20" spans="1:45">
      <c r="A20" s="24">
        <v>16</v>
      </c>
      <c r="B20" s="19" t="s">
        <v>50</v>
      </c>
      <c r="C20" s="19" t="s">
        <v>51</v>
      </c>
      <c r="D20" s="11">
        <v>74</v>
      </c>
      <c r="E20" s="9">
        <v>67.468511173731997</v>
      </c>
      <c r="F20" s="9">
        <v>63.63961030678928</v>
      </c>
      <c r="G20" s="9">
        <v>64.195015382816138</v>
      </c>
      <c r="H20" s="9">
        <v>83.432607534464609</v>
      </c>
      <c r="I20" s="3"/>
      <c r="J20" s="21">
        <v>16</v>
      </c>
      <c r="K20" s="44" t="s">
        <v>48</v>
      </c>
      <c r="L20" s="44" t="s">
        <v>81</v>
      </c>
      <c r="M20" s="44" t="s">
        <v>79</v>
      </c>
      <c r="N20" s="11">
        <v>102.10379193422443</v>
      </c>
      <c r="O20" s="9">
        <v>95.727167538763979</v>
      </c>
      <c r="P20" s="9">
        <v>90.357572512978152</v>
      </c>
      <c r="Q20" s="9">
        <v>109.91176596797834</v>
      </c>
      <c r="R20" s="9">
        <v>94.92477982959079</v>
      </c>
      <c r="T20" s="23">
        <v>16</v>
      </c>
      <c r="U20" s="35"/>
      <c r="V20" s="35"/>
      <c r="W20" s="35"/>
      <c r="X20" s="35"/>
      <c r="Y20" s="11"/>
      <c r="Z20" s="9"/>
      <c r="AA20" s="9"/>
      <c r="AB20" s="9"/>
      <c r="AC20" s="9"/>
      <c r="AE20" s="48" t="s">
        <v>18</v>
      </c>
      <c r="AF20" s="29">
        <v>600</v>
      </c>
      <c r="AG20" s="29">
        <v>162</v>
      </c>
      <c r="AH20" s="48" t="s">
        <v>18</v>
      </c>
      <c r="AI20" s="29">
        <v>600</v>
      </c>
      <c r="AJ20" s="29">
        <v>101</v>
      </c>
      <c r="AK20" s="48" t="s">
        <v>18</v>
      </c>
      <c r="AL20" s="29">
        <v>600</v>
      </c>
      <c r="AM20" s="29">
        <v>229</v>
      </c>
      <c r="AN20" s="48" t="s">
        <v>18</v>
      </c>
      <c r="AO20" s="29">
        <v>600</v>
      </c>
      <c r="AP20" s="29">
        <v>150</v>
      </c>
      <c r="AQ20" s="48" t="s">
        <v>18</v>
      </c>
      <c r="AR20" s="29">
        <v>600</v>
      </c>
      <c r="AS20" s="29">
        <v>145</v>
      </c>
    </row>
    <row r="21" spans="1:45">
      <c r="A21" s="24">
        <v>17</v>
      </c>
      <c r="B21" s="19" t="s">
        <v>65</v>
      </c>
      <c r="C21" s="19" t="s">
        <v>66</v>
      </c>
      <c r="D21" s="11">
        <v>230</v>
      </c>
      <c r="E21" s="9">
        <v>246</v>
      </c>
      <c r="F21" s="9">
        <v>245</v>
      </c>
      <c r="G21" s="9">
        <v>285</v>
      </c>
      <c r="H21" s="9">
        <v>230</v>
      </c>
      <c r="I21" s="3"/>
      <c r="J21" s="21">
        <v>17</v>
      </c>
      <c r="K21" s="44" t="s">
        <v>80</v>
      </c>
      <c r="L21" s="44" t="s">
        <v>81</v>
      </c>
      <c r="M21" s="44" t="s">
        <v>79</v>
      </c>
      <c r="N21" s="11">
        <v>37.111407931623297</v>
      </c>
      <c r="O21" s="9">
        <v>21.347384203001774</v>
      </c>
      <c r="P21" s="9">
        <v>13.918270169622051</v>
      </c>
      <c r="Q21" s="9">
        <v>28.398530038867055</v>
      </c>
      <c r="R21" s="9">
        <v>21.039712803862979</v>
      </c>
      <c r="T21" s="23">
        <v>17</v>
      </c>
      <c r="U21" s="35"/>
      <c r="V21" s="35"/>
      <c r="W21" s="35"/>
      <c r="X21" s="35"/>
      <c r="Y21" s="11"/>
      <c r="Z21" s="9"/>
      <c r="AA21" s="9"/>
      <c r="AB21" s="9"/>
      <c r="AC21" s="9"/>
      <c r="AE21" s="48" t="s">
        <v>19</v>
      </c>
      <c r="AF21" s="29">
        <f>600+(600-AF19)</f>
        <v>958</v>
      </c>
      <c r="AG21" s="29">
        <f>AG19</f>
        <v>66</v>
      </c>
      <c r="AH21" s="48" t="s">
        <v>19</v>
      </c>
      <c r="AI21" s="29">
        <f>600+(600-AI19)</f>
        <v>888</v>
      </c>
      <c r="AJ21" s="29">
        <f>AJ19</f>
        <v>28</v>
      </c>
      <c r="AK21" s="48" t="s">
        <v>19</v>
      </c>
      <c r="AL21" s="29">
        <f t="shared" ref="AL21" si="30">600+(600-AL19)</f>
        <v>940</v>
      </c>
      <c r="AM21" s="29">
        <f t="shared" ref="AM21" si="31">AM19</f>
        <v>44</v>
      </c>
      <c r="AN21" s="48" t="s">
        <v>19</v>
      </c>
      <c r="AO21" s="29">
        <f t="shared" ref="AO21" si="32">600+(600-AO19)</f>
        <v>855</v>
      </c>
      <c r="AP21" s="29">
        <f t="shared" ref="AP21" si="33">AP19</f>
        <v>31</v>
      </c>
      <c r="AQ21" s="48" t="s">
        <v>19</v>
      </c>
      <c r="AR21" s="29">
        <f t="shared" ref="AR21" si="34">600+(600-AR19)</f>
        <v>916</v>
      </c>
      <c r="AS21" s="29">
        <f t="shared" ref="AS21" si="35">AS19</f>
        <v>22</v>
      </c>
    </row>
    <row r="22" spans="1:45">
      <c r="A22" s="24">
        <v>18</v>
      </c>
      <c r="B22" s="19" t="s">
        <v>76</v>
      </c>
      <c r="C22" s="19" t="s">
        <v>75</v>
      </c>
      <c r="D22" s="11">
        <v>69.260378283691168</v>
      </c>
      <c r="E22" s="9">
        <v>48.507731342539614</v>
      </c>
      <c r="F22" s="9">
        <v>36.345563690772494</v>
      </c>
      <c r="G22" s="9">
        <v>46.097722286464439</v>
      </c>
      <c r="H22" s="9">
        <v>44.643028571099428</v>
      </c>
      <c r="I22" s="3"/>
      <c r="J22" s="21">
        <v>18</v>
      </c>
      <c r="K22" s="34"/>
      <c r="L22" s="34"/>
      <c r="M22" s="34"/>
      <c r="N22" s="11"/>
      <c r="O22" s="9"/>
      <c r="P22" s="9"/>
      <c r="Q22" s="9"/>
      <c r="R22" s="9"/>
      <c r="T22" s="23">
        <v>18</v>
      </c>
      <c r="U22" s="35"/>
      <c r="V22" s="35"/>
      <c r="W22" s="35"/>
      <c r="X22" s="35"/>
      <c r="Y22" s="11"/>
      <c r="Z22" s="9"/>
      <c r="AA22" s="9"/>
      <c r="AB22" s="9"/>
      <c r="AC22" s="9"/>
      <c r="AE22" s="48" t="s">
        <v>20</v>
      </c>
      <c r="AF22" s="29">
        <v>344</v>
      </c>
      <c r="AG22" s="29">
        <v>594</v>
      </c>
      <c r="AH22" s="48" t="s">
        <v>20</v>
      </c>
      <c r="AI22" s="29">
        <v>360</v>
      </c>
      <c r="AJ22" s="29">
        <v>588</v>
      </c>
      <c r="AK22" s="48" t="s">
        <v>20</v>
      </c>
      <c r="AL22" s="29">
        <v>346</v>
      </c>
      <c r="AM22" s="29">
        <v>583</v>
      </c>
      <c r="AN22" s="49" t="s">
        <v>20</v>
      </c>
      <c r="AO22" s="30">
        <v>364</v>
      </c>
      <c r="AP22" s="30">
        <v>569</v>
      </c>
      <c r="AQ22" s="48" t="s">
        <v>20</v>
      </c>
      <c r="AR22" s="29">
        <v>336</v>
      </c>
      <c r="AS22" s="29">
        <v>559</v>
      </c>
    </row>
    <row r="23" spans="1:45">
      <c r="A23" s="24">
        <v>19</v>
      </c>
      <c r="B23" s="19" t="s">
        <v>73</v>
      </c>
      <c r="C23" s="19" t="s">
        <v>74</v>
      </c>
      <c r="D23" s="11">
        <v>181.59295140505867</v>
      </c>
      <c r="E23" s="9">
        <v>200.48940121612415</v>
      </c>
      <c r="F23" s="9">
        <v>259.15632348063593</v>
      </c>
      <c r="G23" s="9">
        <v>197</v>
      </c>
      <c r="H23" s="9">
        <v>243.13165157996193</v>
      </c>
      <c r="I23" s="3"/>
      <c r="J23" s="21">
        <v>19</v>
      </c>
      <c r="K23" s="34"/>
      <c r="L23" s="34"/>
      <c r="M23" s="34"/>
      <c r="N23" s="11"/>
      <c r="O23" s="9"/>
      <c r="P23" s="9"/>
      <c r="Q23" s="9"/>
      <c r="R23" s="9"/>
      <c r="T23" s="23">
        <v>19</v>
      </c>
      <c r="U23" s="35"/>
      <c r="V23" s="35"/>
      <c r="W23" s="35"/>
      <c r="X23" s="35"/>
      <c r="Y23" s="11"/>
      <c r="Z23" s="9"/>
      <c r="AA23" s="9"/>
      <c r="AB23" s="9"/>
      <c r="AC23" s="9"/>
      <c r="AE23" s="48" t="s">
        <v>21</v>
      </c>
      <c r="AF23" s="29">
        <v>424</v>
      </c>
      <c r="AG23" s="29">
        <v>620</v>
      </c>
      <c r="AH23" s="49" t="s">
        <v>21</v>
      </c>
      <c r="AI23" s="30">
        <v>456</v>
      </c>
      <c r="AJ23" s="30">
        <v>602</v>
      </c>
      <c r="AK23" s="48" t="s">
        <v>21</v>
      </c>
      <c r="AL23" s="29">
        <v>435</v>
      </c>
      <c r="AM23" s="29">
        <v>603</v>
      </c>
      <c r="AN23" s="49" t="s">
        <v>21</v>
      </c>
      <c r="AO23" s="30">
        <v>437</v>
      </c>
      <c r="AP23" s="30">
        <v>591</v>
      </c>
      <c r="AQ23" s="48" t="s">
        <v>21</v>
      </c>
      <c r="AR23" s="29">
        <v>417</v>
      </c>
      <c r="AS23" s="29">
        <v>592</v>
      </c>
    </row>
    <row r="24" spans="1:45">
      <c r="A24" s="24">
        <v>20</v>
      </c>
      <c r="B24" s="19"/>
      <c r="C24" s="19"/>
      <c r="D24" s="9"/>
      <c r="E24" s="9"/>
      <c r="F24" s="9"/>
      <c r="G24" s="9"/>
      <c r="H24" s="9"/>
      <c r="I24" s="3"/>
      <c r="J24" s="21">
        <v>20</v>
      </c>
      <c r="K24" s="34"/>
      <c r="L24" s="34"/>
      <c r="M24" s="34"/>
      <c r="N24" s="11"/>
      <c r="O24" s="9"/>
      <c r="P24" s="9"/>
      <c r="Q24" s="9"/>
      <c r="R24" s="9"/>
      <c r="T24" s="23">
        <v>20</v>
      </c>
      <c r="U24" s="35"/>
      <c r="V24" s="35"/>
      <c r="W24" s="35"/>
      <c r="X24" s="35"/>
      <c r="Y24" s="11"/>
      <c r="Z24" s="9"/>
      <c r="AA24" s="9"/>
      <c r="AB24" s="9"/>
      <c r="AC24" s="9"/>
      <c r="AE24" s="48" t="s">
        <v>22</v>
      </c>
      <c r="AF24" s="29">
        <v>509</v>
      </c>
      <c r="AG24" s="29">
        <v>603</v>
      </c>
      <c r="AH24" s="49" t="s">
        <v>22</v>
      </c>
      <c r="AI24" s="30">
        <v>528</v>
      </c>
      <c r="AJ24" s="30">
        <v>570</v>
      </c>
      <c r="AK24" s="48" t="s">
        <v>22</v>
      </c>
      <c r="AL24" s="29">
        <v>511</v>
      </c>
      <c r="AM24" s="29">
        <v>582</v>
      </c>
      <c r="AN24" s="49" t="s">
        <v>22</v>
      </c>
      <c r="AO24" s="30">
        <v>513</v>
      </c>
      <c r="AP24" s="30">
        <v>580</v>
      </c>
      <c r="AQ24" s="48" t="s">
        <v>22</v>
      </c>
      <c r="AR24" s="29">
        <v>510</v>
      </c>
      <c r="AS24" s="29">
        <v>582</v>
      </c>
    </row>
    <row r="25" spans="1:45" ht="15.75" customHeight="1">
      <c r="A25" s="24">
        <v>21</v>
      </c>
      <c r="B25" s="19"/>
      <c r="C25" s="19"/>
      <c r="D25" s="9"/>
      <c r="E25" s="9"/>
      <c r="F25" s="9"/>
      <c r="G25" s="9"/>
      <c r="H25" s="9"/>
      <c r="I25" s="3"/>
      <c r="J25" s="21">
        <v>21</v>
      </c>
      <c r="K25" s="34"/>
      <c r="L25" s="34"/>
      <c r="M25" s="34"/>
      <c r="N25" s="11"/>
      <c r="O25" s="9"/>
      <c r="P25" s="9"/>
      <c r="Q25" s="9"/>
      <c r="R25" s="9"/>
      <c r="T25" s="23">
        <v>21</v>
      </c>
      <c r="U25" s="35"/>
      <c r="V25" s="35"/>
      <c r="W25" s="35"/>
      <c r="X25" s="35"/>
      <c r="Y25" s="11"/>
      <c r="Z25" s="9"/>
      <c r="AA25" s="9"/>
      <c r="AB25" s="9"/>
      <c r="AC25" s="9"/>
      <c r="AE25" s="48" t="s">
        <v>23</v>
      </c>
      <c r="AF25" s="29">
        <v>424</v>
      </c>
      <c r="AG25" s="29">
        <v>546</v>
      </c>
      <c r="AH25" s="49" t="s">
        <v>23</v>
      </c>
      <c r="AI25" s="30">
        <v>442</v>
      </c>
      <c r="AJ25" s="30">
        <v>536</v>
      </c>
      <c r="AK25" s="48" t="s">
        <v>23</v>
      </c>
      <c r="AL25" s="29">
        <v>426</v>
      </c>
      <c r="AM25" s="29">
        <v>540</v>
      </c>
      <c r="AN25" s="49" t="s">
        <v>23</v>
      </c>
      <c r="AO25" s="30">
        <v>442</v>
      </c>
      <c r="AP25" s="30">
        <v>527</v>
      </c>
      <c r="AQ25" s="48" t="s">
        <v>23</v>
      </c>
      <c r="AR25" s="29">
        <v>437</v>
      </c>
      <c r="AS25" s="29">
        <v>511</v>
      </c>
    </row>
    <row r="26" spans="1:45" ht="16.5" customHeight="1">
      <c r="A26" s="24">
        <v>22</v>
      </c>
      <c r="B26" s="19"/>
      <c r="C26" s="19"/>
      <c r="D26" s="9"/>
      <c r="E26" s="9"/>
      <c r="F26" s="9"/>
      <c r="G26" s="9"/>
      <c r="H26" s="9"/>
      <c r="I26" s="3"/>
      <c r="J26" s="21">
        <v>22</v>
      </c>
      <c r="K26" s="34"/>
      <c r="L26" s="34"/>
      <c r="M26" s="34"/>
      <c r="N26" s="11"/>
      <c r="O26" s="9"/>
      <c r="P26" s="9"/>
      <c r="Q26" s="9"/>
      <c r="R26" s="9"/>
      <c r="T26" s="23">
        <v>22</v>
      </c>
      <c r="U26" s="35"/>
      <c r="V26" s="35"/>
      <c r="W26" s="35"/>
      <c r="X26" s="35"/>
      <c r="Y26" s="11"/>
      <c r="Z26" s="9"/>
      <c r="AA26" s="9"/>
      <c r="AB26" s="9"/>
      <c r="AC26" s="9"/>
      <c r="AE26" s="48" t="s">
        <v>24</v>
      </c>
      <c r="AF26" s="31">
        <v>1180</v>
      </c>
      <c r="AG26" s="31">
        <v>1180</v>
      </c>
      <c r="AH26" s="49" t="s">
        <v>24</v>
      </c>
      <c r="AI26" s="30">
        <v>1180</v>
      </c>
      <c r="AJ26" s="30">
        <v>1180</v>
      </c>
      <c r="AK26" s="48" t="s">
        <v>24</v>
      </c>
      <c r="AL26" s="31">
        <v>1180</v>
      </c>
      <c r="AM26" s="31">
        <v>1180</v>
      </c>
      <c r="AN26" s="49" t="s">
        <v>24</v>
      </c>
      <c r="AO26" s="30">
        <v>1180</v>
      </c>
      <c r="AP26" s="30">
        <v>1180</v>
      </c>
      <c r="AQ26" s="32" t="s">
        <v>24</v>
      </c>
      <c r="AR26" s="31">
        <v>1180</v>
      </c>
      <c r="AS26" s="31">
        <v>1180</v>
      </c>
    </row>
    <row r="27" spans="1:45">
      <c r="A27" s="24">
        <v>23</v>
      </c>
      <c r="B27" s="19"/>
      <c r="C27" s="19"/>
      <c r="D27" s="9"/>
      <c r="E27" s="9"/>
      <c r="F27" s="9"/>
      <c r="G27" s="9"/>
      <c r="H27" s="9"/>
      <c r="J27" s="21">
        <v>23</v>
      </c>
      <c r="K27" s="34"/>
      <c r="L27" s="34"/>
      <c r="M27" s="34"/>
      <c r="N27" s="11"/>
      <c r="O27" s="9"/>
      <c r="P27" s="9"/>
      <c r="Q27" s="9"/>
      <c r="R27" s="9"/>
      <c r="T27" s="23">
        <v>23</v>
      </c>
      <c r="U27" s="35"/>
      <c r="V27" s="35"/>
      <c r="W27" s="35"/>
      <c r="X27" s="35"/>
      <c r="Y27" s="11"/>
      <c r="Z27" s="9"/>
      <c r="AA27" s="9"/>
      <c r="AB27" s="9"/>
      <c r="AC27" s="9"/>
      <c r="AE27" s="46" t="s">
        <v>67</v>
      </c>
      <c r="AF27" s="8">
        <v>600</v>
      </c>
      <c r="AG27" s="37">
        <v>0</v>
      </c>
      <c r="AH27" s="46" t="s">
        <v>67</v>
      </c>
      <c r="AI27" s="9">
        <v>600</v>
      </c>
      <c r="AJ27" s="38">
        <v>0</v>
      </c>
      <c r="AK27" s="46" t="s">
        <v>67</v>
      </c>
      <c r="AL27" s="8">
        <v>600</v>
      </c>
      <c r="AM27" s="37">
        <v>0</v>
      </c>
      <c r="AN27" s="46" t="s">
        <v>67</v>
      </c>
      <c r="AO27" s="9">
        <v>600</v>
      </c>
      <c r="AP27" s="38">
        <v>0</v>
      </c>
      <c r="AQ27" s="46" t="s">
        <v>67</v>
      </c>
      <c r="AR27" s="8">
        <v>600</v>
      </c>
      <c r="AS27" s="37">
        <v>0</v>
      </c>
    </row>
    <row r="28" spans="1:45" s="7" customFormat="1">
      <c r="A28" s="24">
        <v>24</v>
      </c>
      <c r="B28" s="19"/>
      <c r="C28" s="19"/>
      <c r="D28" s="17"/>
      <c r="E28" s="12"/>
      <c r="F28" s="12"/>
      <c r="G28" s="12"/>
      <c r="H28" s="12"/>
      <c r="J28" s="21">
        <v>24</v>
      </c>
      <c r="K28" s="34"/>
      <c r="L28" s="34"/>
      <c r="M28" s="34"/>
      <c r="N28" s="17"/>
      <c r="O28" s="12"/>
      <c r="P28" s="12"/>
      <c r="Q28" s="12"/>
      <c r="R28" s="12"/>
      <c r="T28" s="23">
        <v>24</v>
      </c>
      <c r="U28" s="35"/>
      <c r="V28" s="35"/>
      <c r="W28" s="35"/>
      <c r="X28" s="35"/>
      <c r="Y28" s="17"/>
      <c r="Z28" s="12"/>
      <c r="AA28" s="12"/>
      <c r="AB28" s="12"/>
      <c r="AC28" s="12"/>
      <c r="AE28" s="46" t="s">
        <v>68</v>
      </c>
      <c r="AF28" s="8">
        <v>421</v>
      </c>
      <c r="AG28" s="37">
        <v>342</v>
      </c>
      <c r="AH28" s="46" t="s">
        <v>68</v>
      </c>
      <c r="AI28" s="9">
        <v>430</v>
      </c>
      <c r="AJ28" s="38">
        <v>436</v>
      </c>
      <c r="AK28" s="46" t="s">
        <v>68</v>
      </c>
      <c r="AL28" s="8">
        <v>423</v>
      </c>
      <c r="AM28" s="37">
        <v>465</v>
      </c>
      <c r="AN28" s="46" t="s">
        <v>68</v>
      </c>
      <c r="AO28" s="9">
        <v>456</v>
      </c>
      <c r="AP28" s="38">
        <v>444</v>
      </c>
      <c r="AQ28" s="46" t="s">
        <v>68</v>
      </c>
      <c r="AR28" s="8">
        <v>437</v>
      </c>
      <c r="AS28" s="37">
        <v>405</v>
      </c>
    </row>
    <row r="29" spans="1:45">
      <c r="A29" s="24">
        <v>25</v>
      </c>
      <c r="B29" s="19"/>
      <c r="C29" s="19"/>
      <c r="D29" s="18"/>
      <c r="E29" s="13"/>
      <c r="F29" s="9"/>
      <c r="G29" s="9"/>
      <c r="H29" s="9"/>
      <c r="J29" s="21">
        <v>25</v>
      </c>
      <c r="K29" s="34"/>
      <c r="L29" s="34"/>
      <c r="M29" s="34"/>
      <c r="N29" s="11"/>
      <c r="O29" s="9"/>
      <c r="P29" s="9"/>
      <c r="Q29" s="9"/>
      <c r="R29" s="9"/>
      <c r="T29" s="23">
        <v>25</v>
      </c>
      <c r="U29" s="35"/>
      <c r="V29" s="35"/>
      <c r="W29" s="35"/>
      <c r="X29" s="35"/>
      <c r="Y29" s="11"/>
      <c r="Z29" s="9"/>
      <c r="AA29" s="9"/>
      <c r="AB29" s="9"/>
      <c r="AC29" s="9"/>
      <c r="AE29" s="46" t="s">
        <v>69</v>
      </c>
      <c r="AF29" s="8">
        <v>321</v>
      </c>
      <c r="AG29" s="37">
        <v>448</v>
      </c>
      <c r="AH29" s="46" t="s">
        <v>69</v>
      </c>
      <c r="AI29" s="9">
        <v>351</v>
      </c>
      <c r="AJ29" s="38">
        <v>501</v>
      </c>
      <c r="AK29" s="46" t="s">
        <v>69</v>
      </c>
      <c r="AL29" s="8">
        <v>299</v>
      </c>
      <c r="AM29" s="37">
        <v>510</v>
      </c>
      <c r="AN29" s="46" t="s">
        <v>69</v>
      </c>
      <c r="AO29" s="9">
        <v>344</v>
      </c>
      <c r="AP29" s="38">
        <v>473</v>
      </c>
      <c r="AQ29" s="46" t="s">
        <v>69</v>
      </c>
      <c r="AR29" s="8">
        <v>304</v>
      </c>
      <c r="AS29" s="37">
        <v>450</v>
      </c>
    </row>
    <row r="30" spans="1:45">
      <c r="A30" s="24">
        <v>26</v>
      </c>
      <c r="B30" s="19"/>
      <c r="C30" s="19"/>
      <c r="D30" s="11"/>
      <c r="E30" s="9"/>
      <c r="F30" s="9"/>
      <c r="G30" s="9"/>
      <c r="H30" s="9"/>
      <c r="J30" s="21">
        <v>26</v>
      </c>
      <c r="K30" s="34"/>
      <c r="L30" s="34"/>
      <c r="M30" s="34"/>
      <c r="N30" s="11"/>
      <c r="O30" s="9"/>
      <c r="P30" s="9"/>
      <c r="Q30" s="9"/>
      <c r="R30" s="9"/>
      <c r="T30" s="23">
        <v>26</v>
      </c>
      <c r="U30" s="35"/>
      <c r="V30" s="35"/>
      <c r="W30" s="35"/>
      <c r="X30" s="35"/>
      <c r="Y30" s="11"/>
      <c r="Z30" s="9"/>
      <c r="AA30" s="9"/>
      <c r="AB30" s="9"/>
      <c r="AC30" s="9"/>
      <c r="AE30" s="46" t="s">
        <v>70</v>
      </c>
      <c r="AF30" s="8">
        <v>501</v>
      </c>
      <c r="AG30" s="37">
        <v>424</v>
      </c>
      <c r="AH30" s="46" t="s">
        <v>70</v>
      </c>
      <c r="AI30" s="9">
        <v>551</v>
      </c>
      <c r="AJ30" s="38">
        <v>487</v>
      </c>
      <c r="AK30" s="46" t="s">
        <v>70</v>
      </c>
      <c r="AL30" s="8">
        <v>558</v>
      </c>
      <c r="AM30" s="37">
        <v>519</v>
      </c>
      <c r="AN30" s="46" t="s">
        <v>70</v>
      </c>
      <c r="AO30" s="9">
        <v>541</v>
      </c>
      <c r="AP30" s="38">
        <v>473</v>
      </c>
      <c r="AQ30" s="46" t="s">
        <v>70</v>
      </c>
      <c r="AR30" s="8">
        <v>547</v>
      </c>
      <c r="AS30" s="37">
        <v>458</v>
      </c>
    </row>
    <row r="31" spans="1:45">
      <c r="A31" s="24">
        <v>27</v>
      </c>
      <c r="B31" s="19"/>
      <c r="C31" s="19"/>
      <c r="D31" s="11"/>
      <c r="E31" s="9"/>
      <c r="F31" s="9"/>
      <c r="G31" s="9"/>
      <c r="H31" s="9"/>
      <c r="J31" s="21">
        <v>27</v>
      </c>
      <c r="K31" s="34"/>
      <c r="L31" s="34"/>
      <c r="M31" s="34"/>
      <c r="N31" s="11"/>
      <c r="O31" s="9"/>
      <c r="P31" s="9"/>
      <c r="Q31" s="9"/>
      <c r="R31" s="9"/>
      <c r="T31" s="23">
        <v>27</v>
      </c>
      <c r="U31" s="35"/>
      <c r="V31" s="35"/>
      <c r="W31" s="35"/>
      <c r="X31" s="35"/>
      <c r="Y31" s="11"/>
      <c r="Z31" s="9"/>
      <c r="AA31" s="9"/>
      <c r="AB31" s="9"/>
      <c r="AC31" s="9"/>
      <c r="AE31" s="46" t="s">
        <v>71</v>
      </c>
      <c r="AF31" s="8">
        <v>415</v>
      </c>
      <c r="AG31" s="37">
        <v>411</v>
      </c>
      <c r="AH31" s="46" t="s">
        <v>71</v>
      </c>
      <c r="AI31" s="9">
        <v>437</v>
      </c>
      <c r="AJ31" s="38">
        <v>484</v>
      </c>
      <c r="AK31" s="46" t="s">
        <v>71</v>
      </c>
      <c r="AL31" s="8">
        <v>428</v>
      </c>
      <c r="AM31" s="37">
        <v>501</v>
      </c>
      <c r="AN31" s="46" t="s">
        <v>71</v>
      </c>
      <c r="AO31" s="9">
        <v>446</v>
      </c>
      <c r="AP31" s="38">
        <v>489</v>
      </c>
      <c r="AQ31" s="46" t="s">
        <v>71</v>
      </c>
      <c r="AR31" s="8">
        <v>425</v>
      </c>
      <c r="AS31" s="37">
        <v>448</v>
      </c>
    </row>
    <row r="32" spans="1:45">
      <c r="A32" s="24">
        <v>28</v>
      </c>
      <c r="B32" s="19"/>
      <c r="C32" s="19"/>
      <c r="D32" s="11"/>
      <c r="E32" s="9"/>
      <c r="F32" s="9"/>
      <c r="G32" s="9"/>
      <c r="H32" s="9"/>
      <c r="J32" s="21">
        <v>28</v>
      </c>
      <c r="K32" s="34"/>
      <c r="L32" s="34"/>
      <c r="M32" s="34"/>
      <c r="N32" s="11"/>
      <c r="O32" s="9"/>
      <c r="P32" s="9"/>
      <c r="Q32" s="9"/>
      <c r="R32" s="9"/>
      <c r="T32" s="23">
        <v>28</v>
      </c>
      <c r="U32" s="35"/>
      <c r="V32" s="35"/>
      <c r="W32" s="35"/>
      <c r="X32" s="35"/>
      <c r="Y32" s="11"/>
      <c r="Z32" s="9"/>
      <c r="AA32" s="9"/>
      <c r="AB32" s="9"/>
      <c r="AC32" s="9"/>
      <c r="AE32" s="46"/>
      <c r="AF32" s="8"/>
      <c r="AG32" s="37"/>
      <c r="AH32" s="46"/>
      <c r="AI32" s="9"/>
      <c r="AJ32" s="38"/>
      <c r="AK32" s="46"/>
      <c r="AL32" s="8"/>
      <c r="AM32" s="37"/>
      <c r="AN32" s="46"/>
      <c r="AO32" s="9"/>
      <c r="AP32" s="38"/>
      <c r="AQ32" s="46"/>
      <c r="AR32" s="8"/>
      <c r="AS32" s="37"/>
    </row>
    <row r="33" spans="1:45">
      <c r="A33" s="24">
        <v>29</v>
      </c>
      <c r="B33" s="19"/>
      <c r="C33" s="19"/>
      <c r="D33" s="11"/>
      <c r="E33" s="9"/>
      <c r="F33" s="9"/>
      <c r="G33" s="9"/>
      <c r="H33" s="9"/>
      <c r="J33" s="21">
        <v>29</v>
      </c>
      <c r="K33" s="34"/>
      <c r="L33" s="34"/>
      <c r="M33" s="34"/>
      <c r="N33" s="11"/>
      <c r="O33" s="9"/>
      <c r="P33" s="9"/>
      <c r="Q33" s="9"/>
      <c r="R33" s="9"/>
      <c r="T33" s="23">
        <v>29</v>
      </c>
      <c r="U33" s="35"/>
      <c r="V33" s="35"/>
      <c r="W33" s="35"/>
      <c r="X33" s="35"/>
      <c r="Y33" s="11"/>
      <c r="Z33" s="9"/>
      <c r="AA33" s="9"/>
      <c r="AB33" s="9"/>
      <c r="AC33" s="9"/>
      <c r="AE33" s="36"/>
      <c r="AF33" s="8"/>
      <c r="AG33" s="6"/>
      <c r="AH33" s="5"/>
      <c r="AI33" s="9"/>
      <c r="AJ33" s="16"/>
      <c r="AK33" s="36"/>
      <c r="AL33" s="8"/>
      <c r="AM33" s="6"/>
      <c r="AN33" s="5"/>
      <c r="AO33" s="9"/>
      <c r="AP33" s="16"/>
      <c r="AQ33" s="36"/>
      <c r="AR33" s="8"/>
      <c r="AS33" s="6"/>
    </row>
    <row r="34" spans="1:45">
      <c r="A34" s="24">
        <v>30</v>
      </c>
      <c r="B34" s="19"/>
      <c r="C34" s="19"/>
      <c r="D34" s="11"/>
      <c r="E34" s="9"/>
      <c r="F34" s="9"/>
      <c r="G34" s="9"/>
      <c r="H34" s="9"/>
      <c r="J34" s="21">
        <v>30</v>
      </c>
      <c r="K34" s="34"/>
      <c r="L34" s="34"/>
      <c r="M34" s="34"/>
      <c r="N34" s="11"/>
      <c r="O34" s="9"/>
      <c r="P34" s="9"/>
      <c r="Q34" s="9"/>
      <c r="R34" s="9"/>
      <c r="T34" s="23">
        <v>30</v>
      </c>
      <c r="U34" s="35"/>
      <c r="V34" s="35"/>
      <c r="W34" s="35"/>
      <c r="X34" s="35"/>
      <c r="Y34" s="11"/>
      <c r="Z34" s="9"/>
      <c r="AA34" s="9"/>
      <c r="AB34" s="9"/>
      <c r="AC34" s="9"/>
      <c r="AE34" s="36"/>
      <c r="AF34" s="8"/>
      <c r="AG34" s="6"/>
      <c r="AH34" s="5"/>
      <c r="AI34" s="9"/>
      <c r="AJ34" s="16"/>
      <c r="AK34" s="36"/>
      <c r="AL34" s="8"/>
      <c r="AM34" s="6"/>
      <c r="AN34" s="5"/>
      <c r="AO34" s="9"/>
      <c r="AP34" s="16"/>
      <c r="AQ34" s="36"/>
      <c r="AR34" s="8"/>
      <c r="AS34" s="6"/>
    </row>
    <row r="35" spans="1:45">
      <c r="A35" s="25"/>
      <c r="B35" s="15"/>
      <c r="C35" s="15"/>
      <c r="D35" s="14"/>
      <c r="E35" s="14"/>
    </row>
    <row r="36" spans="1:45" ht="15.75" customHeight="1">
      <c r="A36" s="79" t="s">
        <v>64</v>
      </c>
      <c r="B36" s="79"/>
      <c r="C36" s="79"/>
      <c r="D36" s="79"/>
      <c r="E36" s="79"/>
      <c r="F36" s="79"/>
      <c r="G36" s="79"/>
      <c r="H36" s="79"/>
      <c r="I36" s="20"/>
      <c r="J36" s="79" t="s">
        <v>64</v>
      </c>
      <c r="K36" s="80"/>
      <c r="L36" s="80"/>
      <c r="M36" s="80"/>
      <c r="N36" s="80"/>
      <c r="O36" s="80"/>
      <c r="P36" s="80"/>
      <c r="Q36" s="80"/>
      <c r="R36" s="80"/>
      <c r="T36" s="79" t="s">
        <v>64</v>
      </c>
      <c r="U36" s="80"/>
      <c r="V36" s="80"/>
      <c r="W36" s="80"/>
      <c r="X36" s="80"/>
      <c r="Y36" s="80"/>
      <c r="Z36" s="80"/>
      <c r="AA36" s="80"/>
      <c r="AB36" s="80"/>
      <c r="AC36" s="80"/>
      <c r="AE36" s="80" t="s">
        <v>63</v>
      </c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</row>
    <row r="37" spans="1:45" ht="15.75" customHeight="1">
      <c r="A37" s="79"/>
      <c r="B37" s="79"/>
      <c r="C37" s="79"/>
      <c r="D37" s="79"/>
      <c r="E37" s="79"/>
      <c r="F37" s="79"/>
      <c r="G37" s="79"/>
      <c r="H37" s="79"/>
      <c r="I37" s="20"/>
      <c r="J37" s="80"/>
      <c r="K37" s="80"/>
      <c r="L37" s="80"/>
      <c r="M37" s="80"/>
      <c r="N37" s="80"/>
      <c r="O37" s="80"/>
      <c r="P37" s="80"/>
      <c r="Q37" s="80"/>
      <c r="R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</row>
    <row r="38" spans="1:45">
      <c r="A38" s="79"/>
      <c r="B38" s="79"/>
      <c r="C38" s="79"/>
      <c r="D38" s="79"/>
      <c r="E38" s="79"/>
      <c r="F38" s="79"/>
      <c r="G38" s="79"/>
      <c r="H38" s="79"/>
      <c r="J38" s="80"/>
      <c r="K38" s="80"/>
      <c r="L38" s="80"/>
      <c r="M38" s="80"/>
      <c r="N38" s="80"/>
      <c r="O38" s="80"/>
      <c r="P38" s="80"/>
      <c r="Q38" s="80"/>
      <c r="R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</row>
    <row r="39" spans="1:45">
      <c r="A39" s="25"/>
      <c r="B39" s="15"/>
      <c r="C39" s="15"/>
      <c r="D39" s="14"/>
      <c r="E39" s="14"/>
    </row>
    <row r="40" spans="1:45">
      <c r="A40" s="25"/>
      <c r="B40" s="15"/>
      <c r="C40" s="15"/>
      <c r="D40" s="14"/>
      <c r="E40" s="14"/>
    </row>
    <row r="41" spans="1:45">
      <c r="A41" s="25"/>
      <c r="B41" s="15"/>
      <c r="C41" s="15"/>
      <c r="D41" s="14"/>
      <c r="E41" s="14"/>
    </row>
    <row r="42" spans="1:45">
      <c r="A42" s="25"/>
      <c r="B42" s="15"/>
      <c r="C42" s="15"/>
      <c r="D42" s="14"/>
      <c r="E42" s="14"/>
    </row>
    <row r="43" spans="1:45">
      <c r="A43" s="25"/>
      <c r="B43" s="15"/>
      <c r="C43" s="15"/>
      <c r="D43" s="14"/>
      <c r="E43" s="14"/>
    </row>
    <row r="44" spans="1:45">
      <c r="A44" s="25"/>
      <c r="B44" s="15"/>
      <c r="C44" s="15"/>
      <c r="D44" s="14"/>
      <c r="E44" s="14"/>
    </row>
    <row r="45" spans="1:45">
      <c r="A45" s="25"/>
      <c r="B45" s="15"/>
      <c r="C45" s="15"/>
      <c r="D45" s="14"/>
      <c r="E45" s="14"/>
    </row>
    <row r="46" spans="1:45">
      <c r="A46" s="25"/>
      <c r="B46" s="15"/>
      <c r="C46" s="15"/>
      <c r="D46" s="14"/>
      <c r="E46" s="14"/>
    </row>
    <row r="47" spans="1:45">
      <c r="A47" s="25"/>
      <c r="B47" s="15"/>
      <c r="C47" s="15"/>
      <c r="D47" s="14"/>
      <c r="E47" s="14"/>
    </row>
    <row r="48" spans="1:45">
      <c r="A48" s="25"/>
      <c r="B48" s="15"/>
      <c r="C48" s="15"/>
      <c r="D48" s="14"/>
      <c r="E48" s="14"/>
    </row>
    <row r="49" spans="1:5">
      <c r="A49" s="25"/>
      <c r="B49" s="15"/>
      <c r="C49" s="15"/>
      <c r="D49" s="14"/>
      <c r="E49" s="14"/>
    </row>
    <row r="50" spans="1:5">
      <c r="A50" s="25"/>
      <c r="B50" s="15"/>
      <c r="C50" s="15"/>
      <c r="D50" s="14"/>
      <c r="E50" s="14"/>
    </row>
    <row r="51" spans="1:5">
      <c r="A51" s="25"/>
      <c r="B51" s="15"/>
      <c r="C51" s="15"/>
      <c r="D51" s="14"/>
      <c r="E51" s="14"/>
    </row>
    <row r="52" spans="1:5">
      <c r="A52" s="25"/>
      <c r="B52" s="15"/>
      <c r="C52" s="15"/>
      <c r="D52" s="14"/>
      <c r="E52" s="14"/>
    </row>
  </sheetData>
  <mergeCells count="27">
    <mergeCell ref="A36:H38"/>
    <mergeCell ref="J36:R38"/>
    <mergeCell ref="T36:AC38"/>
    <mergeCell ref="AE36:AS38"/>
    <mergeCell ref="AN2:AP2"/>
    <mergeCell ref="AQ2:AS2"/>
    <mergeCell ref="AF3:AG3"/>
    <mergeCell ref="AI3:AJ3"/>
    <mergeCell ref="AL3:AM3"/>
    <mergeCell ref="AO3:AP3"/>
    <mergeCell ref="AR3:AS3"/>
    <mergeCell ref="T2:X4"/>
    <mergeCell ref="Y2:AA3"/>
    <mergeCell ref="AB2:AC3"/>
    <mergeCell ref="AE2:AG2"/>
    <mergeCell ref="AH2:AJ2"/>
    <mergeCell ref="AK2:AM2"/>
    <mergeCell ref="A1:H1"/>
    <mergeCell ref="J1:R1"/>
    <mergeCell ref="T1:AC1"/>
    <mergeCell ref="AE1:AS1"/>
    <mergeCell ref="A2:C4"/>
    <mergeCell ref="D2:F3"/>
    <mergeCell ref="G2:H3"/>
    <mergeCell ref="J2:M4"/>
    <mergeCell ref="N2:P3"/>
    <mergeCell ref="Q2:R3"/>
  </mergeCells>
  <phoneticPr fontId="1" type="noConversion"/>
  <conditionalFormatting sqref="Y1:AC1 Y4:AC35 Y2 Y39:AC1048576">
    <cfRule type="cellIs" dxfId="19" priority="1" operator="lessThan">
      <formula>0</formula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24"/>
  <dimension ref="A1:AS52"/>
  <sheetViews>
    <sheetView topLeftCell="R1" zoomScale="70" zoomScaleNormal="70" workbookViewId="0">
      <selection activeCell="AI3" sqref="AI3:AJ3"/>
    </sheetView>
  </sheetViews>
  <sheetFormatPr defaultColWidth="9" defaultRowHeight="15.5"/>
  <cols>
    <col min="1" max="1" width="3.58203125" style="22" customWidth="1"/>
    <col min="2" max="3" width="3.58203125" style="4" customWidth="1"/>
    <col min="4" max="8" width="10.58203125" style="10" customWidth="1"/>
    <col min="9" max="9" width="2.08203125" style="1" customWidth="1"/>
    <col min="10" max="10" width="3.58203125" style="22" customWidth="1"/>
    <col min="11" max="12" width="3.58203125" style="4" customWidth="1"/>
    <col min="13" max="13" width="3.08203125" style="4" bestFit="1" customWidth="1"/>
    <col min="14" max="18" width="10.58203125" style="10" customWidth="1"/>
    <col min="19" max="19" width="2.08203125" style="1" customWidth="1"/>
    <col min="20" max="20" width="3.58203125" style="22" customWidth="1"/>
    <col min="21" max="23" width="3.58203125" style="4" customWidth="1"/>
    <col min="24" max="24" width="3.08203125" style="4" bestFit="1" customWidth="1"/>
    <col min="25" max="29" width="10.58203125" style="10" customWidth="1"/>
    <col min="30" max="30" width="2.08203125" style="1" customWidth="1"/>
    <col min="31" max="31" width="7.58203125" style="4" customWidth="1"/>
    <col min="32" max="32" width="10.58203125" style="10" customWidth="1"/>
    <col min="33" max="33" width="10.58203125" style="1" customWidth="1"/>
    <col min="34" max="34" width="7.58203125" style="4" customWidth="1"/>
    <col min="35" max="35" width="10.58203125" style="10" customWidth="1"/>
    <col min="36" max="36" width="10.58203125" style="1" customWidth="1"/>
    <col min="37" max="37" width="7.58203125" style="4" customWidth="1"/>
    <col min="38" max="38" width="10.58203125" style="10" customWidth="1"/>
    <col min="39" max="39" width="10.58203125" style="1" customWidth="1"/>
    <col min="40" max="40" width="7.58203125" style="4" customWidth="1"/>
    <col min="41" max="41" width="10.58203125" style="10" customWidth="1"/>
    <col min="42" max="42" width="10.58203125" style="1" customWidth="1"/>
    <col min="43" max="16384" width="9" style="1"/>
  </cols>
  <sheetData>
    <row r="1" spans="1:45" ht="24" customHeight="1">
      <c r="A1" s="57" t="s">
        <v>58</v>
      </c>
      <c r="B1" s="57"/>
      <c r="C1" s="57"/>
      <c r="D1" s="57"/>
      <c r="E1" s="57"/>
      <c r="F1" s="57"/>
      <c r="G1" s="57"/>
      <c r="H1" s="58"/>
      <c r="J1" s="59" t="s">
        <v>60</v>
      </c>
      <c r="K1" s="59"/>
      <c r="L1" s="59"/>
      <c r="M1" s="59"/>
      <c r="N1" s="59"/>
      <c r="O1" s="59"/>
      <c r="P1" s="59"/>
      <c r="Q1" s="59"/>
      <c r="R1" s="59"/>
      <c r="T1" s="60" t="s">
        <v>59</v>
      </c>
      <c r="U1" s="60"/>
      <c r="V1" s="60"/>
      <c r="W1" s="60"/>
      <c r="X1" s="60"/>
      <c r="Y1" s="60"/>
      <c r="Z1" s="60"/>
      <c r="AA1" s="60"/>
      <c r="AB1" s="60"/>
      <c r="AC1" s="60"/>
      <c r="AE1" s="61" t="s">
        <v>179</v>
      </c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</row>
    <row r="2" spans="1:45" s="2" customFormat="1" ht="19.5" customHeight="1">
      <c r="A2" s="63" t="s">
        <v>55</v>
      </c>
      <c r="B2" s="63"/>
      <c r="C2" s="63"/>
      <c r="D2" s="65"/>
      <c r="E2" s="66"/>
      <c r="F2" s="67"/>
      <c r="G2" s="65"/>
      <c r="H2" s="67"/>
      <c r="J2" s="71" t="s">
        <v>56</v>
      </c>
      <c r="K2" s="71"/>
      <c r="L2" s="71"/>
      <c r="M2" s="71"/>
      <c r="N2" s="73"/>
      <c r="O2" s="74"/>
      <c r="P2" s="75"/>
      <c r="Q2" s="73"/>
      <c r="R2" s="75"/>
      <c r="T2" s="90" t="s">
        <v>57</v>
      </c>
      <c r="U2" s="90"/>
      <c r="V2" s="90"/>
      <c r="W2" s="90"/>
      <c r="X2" s="90"/>
      <c r="Y2" s="92"/>
      <c r="Z2" s="93"/>
      <c r="AA2" s="94"/>
      <c r="AB2" s="92"/>
      <c r="AC2" s="94"/>
      <c r="AE2" s="54" t="s">
        <v>140</v>
      </c>
      <c r="AF2" s="55"/>
      <c r="AG2" s="56"/>
      <c r="AH2" s="81" t="s">
        <v>141</v>
      </c>
      <c r="AI2" s="82"/>
      <c r="AJ2" s="83"/>
      <c r="AK2" s="54" t="s">
        <v>142</v>
      </c>
      <c r="AL2" s="55"/>
      <c r="AM2" s="56"/>
      <c r="AN2" s="81" t="s">
        <v>143</v>
      </c>
      <c r="AO2" s="82"/>
      <c r="AP2" s="83"/>
      <c r="AQ2" s="54" t="s">
        <v>144</v>
      </c>
      <c r="AR2" s="55"/>
      <c r="AS2" s="56"/>
    </row>
    <row r="3" spans="1:45" ht="16.5" customHeight="1">
      <c r="A3" s="63"/>
      <c r="B3" s="63"/>
      <c r="C3" s="63"/>
      <c r="D3" s="68"/>
      <c r="E3" s="69"/>
      <c r="F3" s="70"/>
      <c r="G3" s="68"/>
      <c r="H3" s="70"/>
      <c r="J3" s="71"/>
      <c r="K3" s="71"/>
      <c r="L3" s="71"/>
      <c r="M3" s="71"/>
      <c r="N3" s="76"/>
      <c r="O3" s="77"/>
      <c r="P3" s="78"/>
      <c r="Q3" s="76"/>
      <c r="R3" s="78"/>
      <c r="T3" s="90"/>
      <c r="U3" s="90"/>
      <c r="V3" s="90"/>
      <c r="W3" s="90"/>
      <c r="X3" s="90"/>
      <c r="Y3" s="95"/>
      <c r="Z3" s="96"/>
      <c r="AA3" s="97"/>
      <c r="AB3" s="95"/>
      <c r="AC3" s="97"/>
      <c r="AE3" s="48" t="s">
        <v>178</v>
      </c>
      <c r="AF3" s="85" t="s">
        <v>177</v>
      </c>
      <c r="AG3" s="85"/>
      <c r="AH3" s="52" t="s">
        <v>178</v>
      </c>
      <c r="AI3" s="85" t="s">
        <v>177</v>
      </c>
      <c r="AJ3" s="85"/>
      <c r="AK3" s="52" t="s">
        <v>178</v>
      </c>
      <c r="AL3" s="85" t="s">
        <v>177</v>
      </c>
      <c r="AM3" s="85"/>
      <c r="AN3" s="52" t="s">
        <v>178</v>
      </c>
      <c r="AO3" s="85" t="s">
        <v>177</v>
      </c>
      <c r="AP3" s="85"/>
      <c r="AQ3" s="52" t="s">
        <v>178</v>
      </c>
      <c r="AR3" s="85" t="s">
        <v>177</v>
      </c>
      <c r="AS3" s="85"/>
    </row>
    <row r="4" spans="1:45" s="4" customFormat="1" ht="50" customHeight="1">
      <c r="A4" s="63"/>
      <c r="B4" s="64"/>
      <c r="C4" s="64"/>
      <c r="D4" s="19" t="s">
        <v>25</v>
      </c>
      <c r="E4" s="19" t="s">
        <v>26</v>
      </c>
      <c r="F4" s="19" t="s">
        <v>27</v>
      </c>
      <c r="G4" s="19" t="s">
        <v>28</v>
      </c>
      <c r="H4" s="19" t="s">
        <v>29</v>
      </c>
      <c r="J4" s="71"/>
      <c r="K4" s="72"/>
      <c r="L4" s="72"/>
      <c r="M4" s="72"/>
      <c r="N4" s="34" t="s">
        <v>25</v>
      </c>
      <c r="O4" s="34" t="s">
        <v>26</v>
      </c>
      <c r="P4" s="34" t="s">
        <v>27</v>
      </c>
      <c r="Q4" s="34" t="s">
        <v>28</v>
      </c>
      <c r="R4" s="34" t="s">
        <v>29</v>
      </c>
      <c r="T4" s="90"/>
      <c r="U4" s="91"/>
      <c r="V4" s="91"/>
      <c r="W4" s="91"/>
      <c r="X4" s="91"/>
      <c r="Y4" s="35" t="s">
        <v>25</v>
      </c>
      <c r="Z4" s="35" t="s">
        <v>26</v>
      </c>
      <c r="AA4" s="35" t="s">
        <v>27</v>
      </c>
      <c r="AB4" s="35" t="s">
        <v>28</v>
      </c>
      <c r="AC4" s="35" t="s">
        <v>29</v>
      </c>
      <c r="AE4" s="48"/>
      <c r="AF4" s="48" t="s">
        <v>0</v>
      </c>
      <c r="AG4" s="48" t="s">
        <v>1</v>
      </c>
      <c r="AH4" s="48"/>
      <c r="AI4" s="48" t="s">
        <v>0</v>
      </c>
      <c r="AJ4" s="48" t="s">
        <v>1</v>
      </c>
      <c r="AK4" s="48" t="s">
        <v>2</v>
      </c>
      <c r="AL4" s="48" t="s">
        <v>0</v>
      </c>
      <c r="AM4" s="48" t="s">
        <v>1</v>
      </c>
      <c r="AN4" s="49" t="s">
        <v>2</v>
      </c>
      <c r="AO4" s="49" t="s">
        <v>0</v>
      </c>
      <c r="AP4" s="49" t="s">
        <v>1</v>
      </c>
      <c r="AQ4" s="48" t="s">
        <v>2</v>
      </c>
      <c r="AR4" s="48" t="s">
        <v>0</v>
      </c>
      <c r="AS4" s="48" t="s">
        <v>1</v>
      </c>
    </row>
    <row r="5" spans="1:45">
      <c r="A5" s="24">
        <v>1</v>
      </c>
      <c r="B5" s="19" t="s">
        <v>30</v>
      </c>
      <c r="C5" s="19" t="s">
        <v>32</v>
      </c>
      <c r="D5" s="11">
        <v>374</v>
      </c>
      <c r="E5" s="9">
        <v>371</v>
      </c>
      <c r="F5" s="9">
        <v>355.00563375811379</v>
      </c>
      <c r="G5" s="9">
        <v>324</v>
      </c>
      <c r="H5" s="9">
        <v>317</v>
      </c>
      <c r="J5" s="21">
        <v>1</v>
      </c>
      <c r="K5" s="34" t="s">
        <v>30</v>
      </c>
      <c r="L5" s="34" t="s">
        <v>35</v>
      </c>
      <c r="M5" s="34" t="s">
        <v>38</v>
      </c>
      <c r="N5" s="9">
        <v>74.276765760078973</v>
      </c>
      <c r="O5" s="9">
        <v>72.67591046002903</v>
      </c>
      <c r="P5" s="9">
        <v>67.123809987645174</v>
      </c>
      <c r="Q5" s="9">
        <v>74.793699046713613</v>
      </c>
      <c r="R5" s="9">
        <v>68.597731349167375</v>
      </c>
      <c r="T5" s="23">
        <v>1</v>
      </c>
      <c r="U5" s="35" t="s">
        <v>30</v>
      </c>
      <c r="V5" s="35" t="s">
        <v>35</v>
      </c>
      <c r="W5" s="35" t="s">
        <v>32</v>
      </c>
      <c r="X5" s="35" t="s">
        <v>38</v>
      </c>
      <c r="Y5" s="11">
        <v>35904</v>
      </c>
      <c r="Z5" s="9">
        <v>37842</v>
      </c>
      <c r="AA5" s="9">
        <v>44375</v>
      </c>
      <c r="AB5" s="9">
        <v>26244</v>
      </c>
      <c r="AC5" s="9">
        <v>33919</v>
      </c>
      <c r="AE5" s="48" t="s">
        <v>3</v>
      </c>
      <c r="AF5" s="29">
        <v>600</v>
      </c>
      <c r="AG5" s="29">
        <v>492</v>
      </c>
      <c r="AH5" s="48" t="s">
        <v>3</v>
      </c>
      <c r="AI5" s="29">
        <v>600</v>
      </c>
      <c r="AJ5" s="29">
        <v>463</v>
      </c>
      <c r="AK5" s="48" t="s">
        <v>3</v>
      </c>
      <c r="AL5" s="29">
        <v>602</v>
      </c>
      <c r="AM5" s="29">
        <v>478</v>
      </c>
      <c r="AN5" s="48" t="s">
        <v>3</v>
      </c>
      <c r="AO5" s="29">
        <v>600</v>
      </c>
      <c r="AP5" s="29">
        <v>517</v>
      </c>
      <c r="AQ5" s="48" t="s">
        <v>3</v>
      </c>
      <c r="AR5" s="29">
        <v>600</v>
      </c>
      <c r="AS5" s="29">
        <v>518</v>
      </c>
    </row>
    <row r="6" spans="1:45">
      <c r="A6" s="24">
        <v>2</v>
      </c>
      <c r="B6" s="19" t="s">
        <v>30</v>
      </c>
      <c r="C6" s="19" t="s">
        <v>33</v>
      </c>
      <c r="D6" s="11">
        <v>479</v>
      </c>
      <c r="E6" s="9">
        <v>491</v>
      </c>
      <c r="F6" s="9">
        <v>451.00443456799843</v>
      </c>
      <c r="G6" s="9">
        <v>463</v>
      </c>
      <c r="H6" s="9">
        <v>406</v>
      </c>
      <c r="J6" s="21">
        <v>2</v>
      </c>
      <c r="K6" s="34" t="s">
        <v>30</v>
      </c>
      <c r="L6" s="34" t="s">
        <v>41</v>
      </c>
      <c r="M6" s="34" t="s">
        <v>34</v>
      </c>
      <c r="N6" s="9">
        <v>86.470392485086208</v>
      </c>
      <c r="O6" s="9">
        <v>87.966467883824649</v>
      </c>
      <c r="P6" s="9">
        <v>88.140472660237563</v>
      </c>
      <c r="Q6" s="9">
        <v>86.586566534028691</v>
      </c>
      <c r="R6" s="9">
        <v>90.271813213600637</v>
      </c>
      <c r="T6" s="23">
        <v>2</v>
      </c>
      <c r="U6" s="35" t="s">
        <v>30</v>
      </c>
      <c r="V6" s="35" t="s">
        <v>41</v>
      </c>
      <c r="W6" s="35" t="s">
        <v>34</v>
      </c>
      <c r="X6" s="35" t="s">
        <v>42</v>
      </c>
      <c r="Y6" s="11">
        <v>228416</v>
      </c>
      <c r="Z6" s="9">
        <v>240912</v>
      </c>
      <c r="AA6" s="9">
        <v>226746</v>
      </c>
      <c r="AB6" s="9">
        <v>218790</v>
      </c>
      <c r="AC6" s="9">
        <v>207206</v>
      </c>
      <c r="AE6" s="48" t="s">
        <v>4</v>
      </c>
      <c r="AF6" s="29">
        <v>504</v>
      </c>
      <c r="AG6" s="29">
        <v>833</v>
      </c>
      <c r="AH6" s="48" t="s">
        <v>4</v>
      </c>
      <c r="AI6" s="29">
        <v>498</v>
      </c>
      <c r="AJ6" s="29">
        <v>790</v>
      </c>
      <c r="AK6" s="48" t="s">
        <v>4</v>
      </c>
      <c r="AL6" s="29">
        <v>475</v>
      </c>
      <c r="AM6" s="29">
        <v>779</v>
      </c>
      <c r="AN6" s="48" t="s">
        <v>4</v>
      </c>
      <c r="AO6" s="29">
        <v>519</v>
      </c>
      <c r="AP6" s="29">
        <v>815</v>
      </c>
      <c r="AQ6" s="48" t="s">
        <v>4</v>
      </c>
      <c r="AR6" s="29">
        <v>493</v>
      </c>
      <c r="AS6" s="29">
        <v>791</v>
      </c>
    </row>
    <row r="7" spans="1:45">
      <c r="A7" s="24">
        <v>3</v>
      </c>
      <c r="B7" s="19" t="s">
        <v>30</v>
      </c>
      <c r="C7" s="19" t="s">
        <v>34</v>
      </c>
      <c r="D7" s="11">
        <v>688</v>
      </c>
      <c r="E7" s="9">
        <v>717</v>
      </c>
      <c r="F7" s="9">
        <v>702.00284899706787</v>
      </c>
      <c r="G7" s="9">
        <v>663</v>
      </c>
      <c r="H7" s="9">
        <v>662</v>
      </c>
      <c r="J7" s="21">
        <v>3</v>
      </c>
      <c r="K7" s="34" t="s">
        <v>30</v>
      </c>
      <c r="L7" s="34" t="s">
        <v>44</v>
      </c>
      <c r="M7" s="34" t="s">
        <v>32</v>
      </c>
      <c r="N7" s="9">
        <v>51.019957462946941</v>
      </c>
      <c r="O7" s="9">
        <v>50.564327322009667</v>
      </c>
      <c r="P7" s="9">
        <v>47.269205452122321</v>
      </c>
      <c r="Q7" s="9">
        <v>46.158981679569386</v>
      </c>
      <c r="R7" s="9">
        <v>46.859835451870282</v>
      </c>
      <c r="T7" s="23">
        <v>3</v>
      </c>
      <c r="U7" s="35" t="s">
        <v>41</v>
      </c>
      <c r="V7" s="35" t="s">
        <v>39</v>
      </c>
      <c r="W7" s="35" t="s">
        <v>34</v>
      </c>
      <c r="X7" s="35" t="s">
        <v>42</v>
      </c>
      <c r="Y7" s="11">
        <v>71871</v>
      </c>
      <c r="Z7" s="9">
        <v>75425</v>
      </c>
      <c r="AA7" s="9">
        <v>68910.5</v>
      </c>
      <c r="AB7" s="9">
        <v>80463</v>
      </c>
      <c r="AC7" s="9">
        <v>76890.5</v>
      </c>
      <c r="AE7" s="48" t="s">
        <v>5</v>
      </c>
      <c r="AF7" s="29">
        <v>600</v>
      </c>
      <c r="AG7" s="29">
        <v>866</v>
      </c>
      <c r="AH7" s="48" t="s">
        <v>5</v>
      </c>
      <c r="AI7" s="29">
        <v>600</v>
      </c>
      <c r="AJ7" s="29">
        <v>834</v>
      </c>
      <c r="AK7" s="48" t="s">
        <v>5</v>
      </c>
      <c r="AL7" s="29">
        <v>600</v>
      </c>
      <c r="AM7" s="29">
        <v>833</v>
      </c>
      <c r="AN7" s="48" t="s">
        <v>5</v>
      </c>
      <c r="AO7" s="29">
        <v>600</v>
      </c>
      <c r="AP7" s="29">
        <v>841</v>
      </c>
      <c r="AQ7" s="48" t="s">
        <v>5</v>
      </c>
      <c r="AR7" s="29">
        <v>600</v>
      </c>
      <c r="AS7" s="29">
        <v>835</v>
      </c>
    </row>
    <row r="8" spans="1:45" ht="15.75" customHeight="1">
      <c r="A8" s="24">
        <v>4</v>
      </c>
      <c r="B8" s="19" t="s">
        <v>35</v>
      </c>
      <c r="C8" s="19" t="s">
        <v>38</v>
      </c>
      <c r="D8" s="11">
        <v>192</v>
      </c>
      <c r="E8" s="9">
        <v>204</v>
      </c>
      <c r="F8" s="9">
        <v>250</v>
      </c>
      <c r="G8" s="9">
        <v>162</v>
      </c>
      <c r="H8" s="9">
        <v>214</v>
      </c>
      <c r="J8" s="21">
        <v>4</v>
      </c>
      <c r="K8" s="34" t="s">
        <v>35</v>
      </c>
      <c r="L8" s="34" t="s">
        <v>32</v>
      </c>
      <c r="M8" s="34" t="s">
        <v>38</v>
      </c>
      <c r="N8" s="9">
        <v>142.05918438302692</v>
      </c>
      <c r="O8" s="9">
        <v>133.33191744658049</v>
      </c>
      <c r="P8" s="9">
        <v>133.27131104788074</v>
      </c>
      <c r="Q8" s="9">
        <v>144.40802215213927</v>
      </c>
      <c r="R8" s="9">
        <v>135.29360462602122</v>
      </c>
      <c r="T8" s="23">
        <v>4</v>
      </c>
      <c r="U8" s="35" t="s">
        <v>46</v>
      </c>
      <c r="V8" s="35" t="s">
        <v>43</v>
      </c>
      <c r="W8" s="35" t="s">
        <v>33</v>
      </c>
      <c r="X8" s="35" t="s">
        <v>47</v>
      </c>
      <c r="Y8" s="11">
        <v>476762</v>
      </c>
      <c r="Z8" s="9">
        <v>421409</v>
      </c>
      <c r="AA8" s="9">
        <v>430802</v>
      </c>
      <c r="AB8" s="9">
        <v>418608.5</v>
      </c>
      <c r="AC8" s="9">
        <v>382378</v>
      </c>
      <c r="AE8" s="48" t="s">
        <v>6</v>
      </c>
      <c r="AF8" s="29">
        <f>AF7+(AF7-AF6)</f>
        <v>696</v>
      </c>
      <c r="AG8" s="29">
        <f>AG6</f>
        <v>833</v>
      </c>
      <c r="AH8" s="48" t="s">
        <v>6</v>
      </c>
      <c r="AI8" s="29">
        <f>AI7+(AI7-AI6)</f>
        <v>702</v>
      </c>
      <c r="AJ8" s="29">
        <f>AJ6</f>
        <v>790</v>
      </c>
      <c r="AK8" s="48" t="s">
        <v>6</v>
      </c>
      <c r="AL8" s="29">
        <f t="shared" ref="AL8" si="0">AL7+(AL7-AL6)</f>
        <v>725</v>
      </c>
      <c r="AM8" s="29">
        <f t="shared" ref="AM8" si="1">AM6</f>
        <v>779</v>
      </c>
      <c r="AN8" s="48" t="s">
        <v>6</v>
      </c>
      <c r="AO8" s="29">
        <f t="shared" ref="AO8" si="2">AO7+(AO7-AO6)</f>
        <v>681</v>
      </c>
      <c r="AP8" s="29">
        <f t="shared" ref="AP8" si="3">AP6</f>
        <v>815</v>
      </c>
      <c r="AQ8" s="48" t="s">
        <v>6</v>
      </c>
      <c r="AR8" s="29">
        <f t="shared" ref="AR8" si="4">AR7+(AR7-AR6)</f>
        <v>707</v>
      </c>
      <c r="AS8" s="29">
        <f t="shared" ref="AS8" si="5">AS6</f>
        <v>791</v>
      </c>
    </row>
    <row r="9" spans="1:45" ht="15.75" customHeight="1">
      <c r="A9" s="24">
        <v>5</v>
      </c>
      <c r="B9" s="19" t="s">
        <v>32</v>
      </c>
      <c r="C9" s="19" t="s">
        <v>33</v>
      </c>
      <c r="D9" s="11">
        <v>105</v>
      </c>
      <c r="E9" s="9">
        <v>120</v>
      </c>
      <c r="F9" s="9">
        <v>96</v>
      </c>
      <c r="G9" s="9">
        <v>139</v>
      </c>
      <c r="H9" s="9">
        <v>89</v>
      </c>
      <c r="J9" s="21">
        <v>5</v>
      </c>
      <c r="K9" s="34" t="s">
        <v>39</v>
      </c>
      <c r="L9" s="34" t="s">
        <v>34</v>
      </c>
      <c r="M9" s="34" t="s">
        <v>40</v>
      </c>
      <c r="N9" s="9">
        <v>156.22268392074406</v>
      </c>
      <c r="O9" s="9">
        <v>148.33522675915555</v>
      </c>
      <c r="P9" s="9">
        <v>152.77163451034124</v>
      </c>
      <c r="Q9" s="9">
        <v>156.14135564552339</v>
      </c>
      <c r="R9" s="9">
        <v>134.8322949586873</v>
      </c>
      <c r="T9" s="23">
        <v>5</v>
      </c>
      <c r="U9" s="35" t="s">
        <v>48</v>
      </c>
      <c r="V9" s="35" t="s">
        <v>43</v>
      </c>
      <c r="W9" s="35" t="s">
        <v>34</v>
      </c>
      <c r="X9" s="35" t="s">
        <v>44</v>
      </c>
      <c r="Y9" s="11">
        <v>381030</v>
      </c>
      <c r="Z9" s="9">
        <v>382690</v>
      </c>
      <c r="AA9" s="9">
        <v>375385</v>
      </c>
      <c r="AB9" s="9">
        <v>427133</v>
      </c>
      <c r="AC9" s="9">
        <v>354536</v>
      </c>
      <c r="AE9" s="48" t="s">
        <v>77</v>
      </c>
      <c r="AF9" s="29">
        <v>600</v>
      </c>
      <c r="AG9" s="29">
        <v>971</v>
      </c>
      <c r="AH9" s="48" t="s">
        <v>77</v>
      </c>
      <c r="AI9" s="29">
        <v>600</v>
      </c>
      <c r="AJ9" s="29">
        <v>954</v>
      </c>
      <c r="AK9" s="48" t="s">
        <v>77</v>
      </c>
      <c r="AL9" s="29">
        <v>600</v>
      </c>
      <c r="AM9" s="29">
        <v>929</v>
      </c>
      <c r="AN9" s="48" t="s">
        <v>77</v>
      </c>
      <c r="AO9" s="29">
        <v>600</v>
      </c>
      <c r="AP9" s="29">
        <v>980</v>
      </c>
      <c r="AQ9" s="48" t="s">
        <v>77</v>
      </c>
      <c r="AR9" s="29">
        <v>600</v>
      </c>
      <c r="AS9" s="29">
        <v>924</v>
      </c>
    </row>
    <row r="10" spans="1:45">
      <c r="A10" s="24">
        <v>6</v>
      </c>
      <c r="B10" s="19" t="s">
        <v>32</v>
      </c>
      <c r="C10" s="19" t="s">
        <v>34</v>
      </c>
      <c r="D10" s="11">
        <v>314</v>
      </c>
      <c r="E10" s="9">
        <v>346</v>
      </c>
      <c r="F10" s="9">
        <v>347</v>
      </c>
      <c r="G10" s="9">
        <v>339</v>
      </c>
      <c r="H10" s="9">
        <v>345</v>
      </c>
      <c r="J10" s="21">
        <v>6</v>
      </c>
      <c r="K10" s="34" t="s">
        <v>40</v>
      </c>
      <c r="L10" s="34" t="s">
        <v>34</v>
      </c>
      <c r="M10" s="34" t="s">
        <v>62</v>
      </c>
      <c r="N10" s="9">
        <v>11.888658039628055</v>
      </c>
      <c r="O10" s="9">
        <v>15.832386620422191</v>
      </c>
      <c r="P10" s="9">
        <v>13.614182744829295</v>
      </c>
      <c r="Q10" s="9">
        <v>11.929322177238292</v>
      </c>
      <c r="R10" s="9">
        <v>22.58385252065634</v>
      </c>
      <c r="T10" s="23">
        <v>6</v>
      </c>
      <c r="U10" s="35" t="s">
        <v>52</v>
      </c>
      <c r="V10" s="35" t="s">
        <v>51</v>
      </c>
      <c r="W10" s="35" t="s">
        <v>54</v>
      </c>
      <c r="X10" s="35" t="s">
        <v>50</v>
      </c>
      <c r="Y10" s="11">
        <v>5893</v>
      </c>
      <c r="Z10" s="9">
        <v>4626</v>
      </c>
      <c r="AA10" s="9">
        <v>3176.5</v>
      </c>
      <c r="AB10" s="9">
        <v>4762.5</v>
      </c>
      <c r="AC10" s="9">
        <v>3174</v>
      </c>
      <c r="AE10" s="48" t="s">
        <v>8</v>
      </c>
      <c r="AF10" s="29">
        <v>486</v>
      </c>
      <c r="AG10" s="29">
        <v>1156</v>
      </c>
      <c r="AH10" s="48" t="s">
        <v>8</v>
      </c>
      <c r="AI10" s="29">
        <v>466</v>
      </c>
      <c r="AJ10" s="29">
        <v>1142</v>
      </c>
      <c r="AK10" s="48" t="s">
        <v>8</v>
      </c>
      <c r="AL10" s="29">
        <v>472</v>
      </c>
      <c r="AM10" s="29">
        <v>1149</v>
      </c>
      <c r="AN10" s="48" t="s">
        <v>8</v>
      </c>
      <c r="AO10" s="29">
        <v>458</v>
      </c>
      <c r="AP10" s="29">
        <v>1150</v>
      </c>
      <c r="AQ10" s="48" t="s">
        <v>8</v>
      </c>
      <c r="AR10" s="29">
        <v>487</v>
      </c>
      <c r="AS10" s="29">
        <v>1133</v>
      </c>
    </row>
    <row r="11" spans="1:45">
      <c r="A11" s="24">
        <v>7</v>
      </c>
      <c r="B11" s="19" t="s">
        <v>39</v>
      </c>
      <c r="C11" s="19" t="s">
        <v>40</v>
      </c>
      <c r="D11" s="11">
        <v>228</v>
      </c>
      <c r="E11" s="9">
        <v>268</v>
      </c>
      <c r="F11" s="9">
        <v>256</v>
      </c>
      <c r="G11" s="9">
        <v>284</v>
      </c>
      <c r="H11" s="9">
        <v>226</v>
      </c>
      <c r="J11" s="21">
        <v>7</v>
      </c>
      <c r="K11" s="34" t="s">
        <v>41</v>
      </c>
      <c r="L11" s="34" t="s">
        <v>34</v>
      </c>
      <c r="M11" s="34" t="s">
        <v>62</v>
      </c>
      <c r="N11" s="9">
        <v>149.57217944927439</v>
      </c>
      <c r="O11" s="9">
        <v>148.86102756302114</v>
      </c>
      <c r="P11" s="9">
        <v>149.40284765739619</v>
      </c>
      <c r="Q11" s="9">
        <v>147.15959572852648</v>
      </c>
      <c r="R11" s="9">
        <v>143.92911359534233</v>
      </c>
      <c r="T11" s="23">
        <v>7</v>
      </c>
      <c r="U11" s="35" t="s">
        <v>76</v>
      </c>
      <c r="V11" s="35" t="s">
        <v>73</v>
      </c>
      <c r="W11" s="35" t="s">
        <v>75</v>
      </c>
      <c r="X11" s="35" t="s">
        <v>74</v>
      </c>
      <c r="Y11" s="11">
        <v>5561</v>
      </c>
      <c r="Z11" s="9">
        <v>5052.5</v>
      </c>
      <c r="AA11" s="9">
        <v>2906.5</v>
      </c>
      <c r="AB11" s="9">
        <v>3159</v>
      </c>
      <c r="AC11" s="9">
        <v>3860</v>
      </c>
      <c r="AE11" s="48" t="s">
        <v>9</v>
      </c>
      <c r="AF11" s="29">
        <v>600</v>
      </c>
      <c r="AG11" s="29">
        <v>1180</v>
      </c>
      <c r="AH11" s="48" t="s">
        <v>9</v>
      </c>
      <c r="AI11" s="29">
        <v>600</v>
      </c>
      <c r="AJ11" s="29">
        <v>1180</v>
      </c>
      <c r="AK11" s="48" t="s">
        <v>9</v>
      </c>
      <c r="AL11" s="29">
        <v>600</v>
      </c>
      <c r="AM11" s="29">
        <v>1180</v>
      </c>
      <c r="AN11" s="48" t="s">
        <v>9</v>
      </c>
      <c r="AO11" s="29">
        <v>600</v>
      </c>
      <c r="AP11" s="29">
        <v>1180</v>
      </c>
      <c r="AQ11" s="48" t="s">
        <v>9</v>
      </c>
      <c r="AR11" s="29">
        <v>600</v>
      </c>
      <c r="AS11" s="29">
        <v>1180</v>
      </c>
    </row>
    <row r="12" spans="1:45">
      <c r="A12" s="24">
        <v>8</v>
      </c>
      <c r="B12" s="19" t="s">
        <v>41</v>
      </c>
      <c r="C12" s="19" t="s">
        <v>42</v>
      </c>
      <c r="D12" s="11">
        <v>664</v>
      </c>
      <c r="E12" s="9">
        <v>672</v>
      </c>
      <c r="F12" s="9">
        <v>646</v>
      </c>
      <c r="G12" s="9">
        <v>660</v>
      </c>
      <c r="H12" s="9">
        <v>626</v>
      </c>
      <c r="J12" s="21">
        <v>8</v>
      </c>
      <c r="K12" s="34" t="s">
        <v>42</v>
      </c>
      <c r="L12" s="34" t="s">
        <v>34</v>
      </c>
      <c r="M12" s="34" t="s">
        <v>62</v>
      </c>
      <c r="N12" s="9">
        <v>30.427820550725585</v>
      </c>
      <c r="O12" s="9">
        <v>31.138972436978854</v>
      </c>
      <c r="P12" s="9">
        <v>30.597152342603845</v>
      </c>
      <c r="Q12" s="9">
        <v>32.840404271473481</v>
      </c>
      <c r="R12" s="9">
        <v>36.070886404657671</v>
      </c>
      <c r="T12" s="23">
        <v>8</v>
      </c>
      <c r="U12" s="35"/>
      <c r="V12" s="35"/>
      <c r="W12" s="35"/>
      <c r="X12" s="35"/>
      <c r="Y12" s="11"/>
      <c r="Z12" s="9"/>
      <c r="AA12" s="9"/>
      <c r="AB12" s="9"/>
      <c r="AC12" s="9"/>
      <c r="AE12" s="48" t="s">
        <v>10</v>
      </c>
      <c r="AF12" s="29">
        <f>AF11+(AF11-AF10)</f>
        <v>714</v>
      </c>
      <c r="AG12" s="29">
        <f>AG10</f>
        <v>1156</v>
      </c>
      <c r="AH12" s="48" t="s">
        <v>10</v>
      </c>
      <c r="AI12" s="29">
        <f>AI11+(AI11-AI10)</f>
        <v>734</v>
      </c>
      <c r="AJ12" s="29">
        <f>AJ10</f>
        <v>1142</v>
      </c>
      <c r="AK12" s="48" t="s">
        <v>10</v>
      </c>
      <c r="AL12" s="29">
        <f t="shared" ref="AL12" si="6">AL11+(AL11-AL10)</f>
        <v>728</v>
      </c>
      <c r="AM12" s="29">
        <f t="shared" ref="AM12" si="7">AM10</f>
        <v>1149</v>
      </c>
      <c r="AN12" s="48" t="s">
        <v>10</v>
      </c>
      <c r="AO12" s="29">
        <f t="shared" ref="AO12" si="8">AO11+(AO11-AO10)</f>
        <v>742</v>
      </c>
      <c r="AP12" s="29">
        <f t="shared" ref="AP12" si="9">AP10</f>
        <v>1150</v>
      </c>
      <c r="AQ12" s="48" t="s">
        <v>10</v>
      </c>
      <c r="AR12" s="29">
        <f t="shared" ref="AR12" si="10">AR11+(AR11-AR10)</f>
        <v>713</v>
      </c>
      <c r="AS12" s="29">
        <f t="shared" ref="AS12" si="11">AS10</f>
        <v>1133</v>
      </c>
    </row>
    <row r="13" spans="1:45">
      <c r="A13" s="24">
        <v>9</v>
      </c>
      <c r="B13" s="19" t="s">
        <v>43</v>
      </c>
      <c r="C13" s="19" t="s">
        <v>44</v>
      </c>
      <c r="D13" s="11">
        <v>780</v>
      </c>
      <c r="E13" s="9">
        <v>770</v>
      </c>
      <c r="F13" s="9">
        <v>778</v>
      </c>
      <c r="G13" s="9">
        <v>758</v>
      </c>
      <c r="H13" s="9">
        <v>728</v>
      </c>
      <c r="J13" s="21">
        <v>9</v>
      </c>
      <c r="K13" s="34" t="s">
        <v>43</v>
      </c>
      <c r="L13" s="34" t="s">
        <v>41</v>
      </c>
      <c r="M13" s="34" t="s">
        <v>34</v>
      </c>
      <c r="N13" s="9">
        <v>132.29555244829169</v>
      </c>
      <c r="O13" s="9">
        <v>131.50024939916608</v>
      </c>
      <c r="P13" s="9">
        <v>135.85227104566158</v>
      </c>
      <c r="Q13" s="9">
        <v>133.31639593836783</v>
      </c>
      <c r="R13" s="9">
        <v>137.69148233816992</v>
      </c>
      <c r="T13" s="23">
        <v>9</v>
      </c>
      <c r="U13" s="35"/>
      <c r="V13" s="35"/>
      <c r="W13" s="35"/>
      <c r="X13" s="35"/>
      <c r="Y13" s="11"/>
      <c r="Z13" s="9"/>
      <c r="AA13" s="9"/>
      <c r="AB13" s="9"/>
      <c r="AC13" s="9"/>
      <c r="AE13" s="48" t="s">
        <v>11</v>
      </c>
      <c r="AF13" s="29">
        <v>268</v>
      </c>
      <c r="AG13" s="29">
        <v>985</v>
      </c>
      <c r="AH13" s="48" t="s">
        <v>11</v>
      </c>
      <c r="AI13" s="29">
        <v>264</v>
      </c>
      <c r="AJ13" s="29">
        <v>977</v>
      </c>
      <c r="AK13" s="48" t="s">
        <v>11</v>
      </c>
      <c r="AL13" s="29">
        <v>277</v>
      </c>
      <c r="AM13" s="29">
        <v>989</v>
      </c>
      <c r="AN13" s="48" t="s">
        <v>11</v>
      </c>
      <c r="AO13" s="29">
        <v>270</v>
      </c>
      <c r="AP13" s="29">
        <v>967</v>
      </c>
      <c r="AQ13" s="48" t="s">
        <v>11</v>
      </c>
      <c r="AR13" s="29">
        <v>287</v>
      </c>
      <c r="AS13" s="29">
        <v>952</v>
      </c>
    </row>
    <row r="14" spans="1:45">
      <c r="A14" s="24">
        <v>10</v>
      </c>
      <c r="B14" s="19" t="s">
        <v>45</v>
      </c>
      <c r="C14" s="19" t="s">
        <v>43</v>
      </c>
      <c r="D14" s="11">
        <v>90</v>
      </c>
      <c r="E14" s="9">
        <v>82.152297594163485</v>
      </c>
      <c r="F14" s="9">
        <v>81.498466243236749</v>
      </c>
      <c r="G14" s="9">
        <v>81</v>
      </c>
      <c r="H14" s="9">
        <v>75.23961722390672</v>
      </c>
      <c r="J14" s="21">
        <v>10</v>
      </c>
      <c r="K14" s="34" t="s">
        <v>44</v>
      </c>
      <c r="L14" s="34" t="s">
        <v>32</v>
      </c>
      <c r="M14" s="34" t="s">
        <v>62</v>
      </c>
      <c r="N14" s="9">
        <v>50.35814353984113</v>
      </c>
      <c r="O14" s="9">
        <v>48.805596881546983</v>
      </c>
      <c r="P14" s="9">
        <v>43.3574756639253</v>
      </c>
      <c r="Q14" s="9">
        <v>50.446294879536445</v>
      </c>
      <c r="R14" s="9">
        <v>50.53865157468406</v>
      </c>
      <c r="T14" s="23">
        <v>10</v>
      </c>
      <c r="U14" s="35"/>
      <c r="V14" s="35"/>
      <c r="W14" s="35"/>
      <c r="X14" s="35"/>
      <c r="Y14" s="11"/>
      <c r="Z14" s="9"/>
      <c r="AA14" s="9"/>
      <c r="AB14" s="9"/>
      <c r="AC14" s="9"/>
      <c r="AE14" s="48" t="s">
        <v>12</v>
      </c>
      <c r="AF14" s="29">
        <f>600+(600-AF13)</f>
        <v>932</v>
      </c>
      <c r="AG14" s="29">
        <f>AG13</f>
        <v>985</v>
      </c>
      <c r="AH14" s="48" t="s">
        <v>12</v>
      </c>
      <c r="AI14" s="29">
        <f>600+(600-AI13)</f>
        <v>936</v>
      </c>
      <c r="AJ14" s="29">
        <f>AJ13</f>
        <v>977</v>
      </c>
      <c r="AK14" s="48" t="s">
        <v>12</v>
      </c>
      <c r="AL14" s="29">
        <f t="shared" ref="AL14" si="12">600+(600-AL13)</f>
        <v>923</v>
      </c>
      <c r="AM14" s="29">
        <f t="shared" ref="AM14" si="13">AM13</f>
        <v>989</v>
      </c>
      <c r="AN14" s="48" t="s">
        <v>12</v>
      </c>
      <c r="AO14" s="29">
        <f t="shared" ref="AO14" si="14">600+(600-AO13)</f>
        <v>930</v>
      </c>
      <c r="AP14" s="29">
        <f t="shared" ref="AP14" si="15">AP13</f>
        <v>967</v>
      </c>
      <c r="AQ14" s="48" t="s">
        <v>12</v>
      </c>
      <c r="AR14" s="29">
        <f t="shared" ref="AR14" si="16">600+(600-AR13)</f>
        <v>913</v>
      </c>
      <c r="AS14" s="29">
        <f t="shared" ref="AS14" si="17">AS13</f>
        <v>952</v>
      </c>
    </row>
    <row r="15" spans="1:45">
      <c r="A15" s="24">
        <v>11</v>
      </c>
      <c r="B15" s="19" t="s">
        <v>46</v>
      </c>
      <c r="C15" s="19" t="s">
        <v>47</v>
      </c>
      <c r="D15" s="11">
        <v>748</v>
      </c>
      <c r="E15" s="9">
        <v>678</v>
      </c>
      <c r="F15" s="9">
        <v>720</v>
      </c>
      <c r="G15" s="9">
        <v>632</v>
      </c>
      <c r="H15" s="9">
        <v>618</v>
      </c>
      <c r="J15" s="21">
        <v>11</v>
      </c>
      <c r="K15" s="34" t="s">
        <v>44</v>
      </c>
      <c r="L15" s="34" t="s">
        <v>33</v>
      </c>
      <c r="M15" s="34" t="s">
        <v>62</v>
      </c>
      <c r="N15" s="9">
        <v>53.709368163122271</v>
      </c>
      <c r="O15" s="9">
        <v>53.759825078671042</v>
      </c>
      <c r="P15" s="9">
        <v>48.474274868729772</v>
      </c>
      <c r="Q15" s="9">
        <v>55.285997106737511</v>
      </c>
      <c r="R15" s="9">
        <v>54.964252141148911</v>
      </c>
      <c r="T15" s="23">
        <v>11</v>
      </c>
      <c r="U15" s="35"/>
      <c r="V15" s="35"/>
      <c r="W15" s="35"/>
      <c r="X15" s="35"/>
      <c r="Y15" s="11"/>
      <c r="Z15" s="9"/>
      <c r="AA15" s="9"/>
      <c r="AB15" s="9"/>
      <c r="AC15" s="9"/>
      <c r="AE15" s="48" t="s">
        <v>13</v>
      </c>
      <c r="AF15" s="29">
        <v>210</v>
      </c>
      <c r="AG15" s="29">
        <v>709</v>
      </c>
      <c r="AH15" s="48" t="s">
        <v>13</v>
      </c>
      <c r="AI15" s="29">
        <v>215</v>
      </c>
      <c r="AJ15" s="29">
        <v>709</v>
      </c>
      <c r="AK15" s="48" t="s">
        <v>13</v>
      </c>
      <c r="AL15" s="29">
        <v>211</v>
      </c>
      <c r="AM15" s="29">
        <v>747</v>
      </c>
      <c r="AN15" s="48" t="s">
        <v>13</v>
      </c>
      <c r="AO15" s="29">
        <v>221</v>
      </c>
      <c r="AP15" s="29">
        <v>702</v>
      </c>
      <c r="AQ15" s="48" t="s">
        <v>13</v>
      </c>
      <c r="AR15" s="29">
        <v>236</v>
      </c>
      <c r="AS15" s="29">
        <v>704</v>
      </c>
    </row>
    <row r="16" spans="1:45" ht="15.75" customHeight="1">
      <c r="A16" s="24">
        <v>12</v>
      </c>
      <c r="B16" s="19" t="s">
        <v>48</v>
      </c>
      <c r="C16" s="19" t="s">
        <v>30</v>
      </c>
      <c r="D16" s="11">
        <v>289</v>
      </c>
      <c r="E16" s="9">
        <v>277</v>
      </c>
      <c r="F16" s="9">
        <v>263.00760445279906</v>
      </c>
      <c r="G16" s="9">
        <v>464</v>
      </c>
      <c r="H16" s="9">
        <v>312</v>
      </c>
      <c r="J16" s="21">
        <v>12</v>
      </c>
      <c r="K16" s="34" t="s">
        <v>47</v>
      </c>
      <c r="L16" s="34" t="s">
        <v>30</v>
      </c>
      <c r="M16" s="34" t="s">
        <v>62</v>
      </c>
      <c r="N16" s="9">
        <v>99.822978583013764</v>
      </c>
      <c r="O16" s="9">
        <v>99.293380840214681</v>
      </c>
      <c r="P16" s="9">
        <v>97.614427346204948</v>
      </c>
      <c r="Q16" s="9">
        <v>103.86221719892018</v>
      </c>
      <c r="R16" s="9">
        <v>103.82012525851033</v>
      </c>
      <c r="T16" s="23">
        <v>12</v>
      </c>
      <c r="U16" s="35"/>
      <c r="V16" s="35"/>
      <c r="W16" s="35"/>
      <c r="X16" s="35"/>
      <c r="Y16" s="11"/>
      <c r="Z16" s="9"/>
      <c r="AA16" s="9"/>
      <c r="AB16" s="9"/>
      <c r="AC16" s="9"/>
      <c r="AE16" s="48" t="s">
        <v>14</v>
      </c>
      <c r="AF16" s="29">
        <f>600+(600-AF15)</f>
        <v>990</v>
      </c>
      <c r="AG16" s="29">
        <f>AG15</f>
        <v>709</v>
      </c>
      <c r="AH16" s="48" t="s">
        <v>14</v>
      </c>
      <c r="AI16" s="29">
        <f>600+(600-AI15)</f>
        <v>985</v>
      </c>
      <c r="AJ16" s="29">
        <f>AJ15</f>
        <v>709</v>
      </c>
      <c r="AK16" s="48" t="s">
        <v>14</v>
      </c>
      <c r="AL16" s="29">
        <f t="shared" ref="AL16" si="18">600+(600-AL15)</f>
        <v>989</v>
      </c>
      <c r="AM16" s="29">
        <f t="shared" ref="AM16" si="19">AM15</f>
        <v>747</v>
      </c>
      <c r="AN16" s="48" t="s">
        <v>14</v>
      </c>
      <c r="AO16" s="29">
        <f t="shared" ref="AO16" si="20">600+(600-AO15)</f>
        <v>979</v>
      </c>
      <c r="AP16" s="29">
        <f t="shared" ref="AP16" si="21">AP15</f>
        <v>702</v>
      </c>
      <c r="AQ16" s="48" t="s">
        <v>14</v>
      </c>
      <c r="AR16" s="29">
        <f t="shared" ref="AR16" si="22">600+(600-AR15)</f>
        <v>964</v>
      </c>
      <c r="AS16" s="29">
        <f t="shared" ref="AS16" si="23">AS15</f>
        <v>704</v>
      </c>
    </row>
    <row r="17" spans="1:45" ht="15.75" customHeight="1">
      <c r="A17" s="24">
        <v>13</v>
      </c>
      <c r="B17" s="19" t="s">
        <v>48</v>
      </c>
      <c r="C17" s="19" t="s">
        <v>32</v>
      </c>
      <c r="D17" s="11">
        <v>663</v>
      </c>
      <c r="E17" s="9">
        <v>648</v>
      </c>
      <c r="F17" s="9">
        <v>618</v>
      </c>
      <c r="G17" s="9">
        <v>788</v>
      </c>
      <c r="H17" s="9">
        <v>629</v>
      </c>
      <c r="J17" s="21">
        <v>13</v>
      </c>
      <c r="K17" s="34" t="s">
        <v>47</v>
      </c>
      <c r="L17" s="34" t="s">
        <v>48</v>
      </c>
      <c r="M17" s="34" t="s">
        <v>62</v>
      </c>
      <c r="N17" s="9">
        <v>81.945959848272125</v>
      </c>
      <c r="O17" s="9">
        <v>76.637002811779269</v>
      </c>
      <c r="P17" s="9">
        <v>77.713554847567551</v>
      </c>
      <c r="Q17" s="9">
        <v>60.5930645266968</v>
      </c>
      <c r="R17" s="9">
        <v>82.044012900245789</v>
      </c>
      <c r="T17" s="23">
        <v>13</v>
      </c>
      <c r="U17" s="35"/>
      <c r="V17" s="35"/>
      <c r="W17" s="35"/>
      <c r="X17" s="35"/>
      <c r="Y17" s="11"/>
      <c r="Z17" s="9"/>
      <c r="AA17" s="9"/>
      <c r="AB17" s="9"/>
      <c r="AC17" s="9"/>
      <c r="AE17" s="48" t="s">
        <v>15</v>
      </c>
      <c r="AF17" s="29">
        <v>120</v>
      </c>
      <c r="AG17" s="29">
        <v>709</v>
      </c>
      <c r="AH17" s="48" t="s">
        <v>15</v>
      </c>
      <c r="AI17" s="29">
        <v>133</v>
      </c>
      <c r="AJ17" s="29">
        <v>704</v>
      </c>
      <c r="AK17" s="48" t="s">
        <v>15</v>
      </c>
      <c r="AL17" s="29">
        <v>130</v>
      </c>
      <c r="AM17" s="29">
        <v>756</v>
      </c>
      <c r="AN17" s="48" t="s">
        <v>15</v>
      </c>
      <c r="AO17" s="29">
        <v>140</v>
      </c>
      <c r="AP17" s="29">
        <v>702</v>
      </c>
      <c r="AQ17" s="48" t="s">
        <v>15</v>
      </c>
      <c r="AR17" s="29">
        <v>161</v>
      </c>
      <c r="AS17" s="29">
        <v>698</v>
      </c>
    </row>
    <row r="18" spans="1:45">
      <c r="A18" s="24">
        <v>14</v>
      </c>
      <c r="B18" s="19" t="s">
        <v>48</v>
      </c>
      <c r="C18" s="19" t="s">
        <v>33</v>
      </c>
      <c r="D18" s="11">
        <v>768</v>
      </c>
      <c r="E18" s="9">
        <v>768</v>
      </c>
      <c r="F18" s="9">
        <v>714</v>
      </c>
      <c r="G18" s="9">
        <v>927</v>
      </c>
      <c r="H18" s="9">
        <v>718</v>
      </c>
      <c r="J18" s="21">
        <v>14</v>
      </c>
      <c r="K18" s="44" t="s">
        <v>48</v>
      </c>
      <c r="L18" s="44" t="s">
        <v>78</v>
      </c>
      <c r="M18" s="44" t="s">
        <v>79</v>
      </c>
      <c r="N18" s="11">
        <v>39.536000030326299</v>
      </c>
      <c r="O18" s="9">
        <v>33.686509223940341</v>
      </c>
      <c r="P18" s="9">
        <v>33.526405824444176</v>
      </c>
      <c r="Q18" s="9">
        <v>60.728953079144091</v>
      </c>
      <c r="R18" s="9">
        <v>39.557614496518418</v>
      </c>
      <c r="T18" s="23">
        <v>14</v>
      </c>
      <c r="U18" s="35"/>
      <c r="V18" s="35"/>
      <c r="W18" s="35"/>
      <c r="X18" s="35"/>
      <c r="Y18" s="11"/>
      <c r="Z18" s="9"/>
      <c r="AA18" s="9"/>
      <c r="AB18" s="9"/>
      <c r="AC18" s="9"/>
      <c r="AE18" s="48" t="s">
        <v>16</v>
      </c>
      <c r="AF18" s="29">
        <f>600+(600-AF17)</f>
        <v>1080</v>
      </c>
      <c r="AG18" s="29">
        <f>AG17</f>
        <v>709</v>
      </c>
      <c r="AH18" s="48" t="s">
        <v>16</v>
      </c>
      <c r="AI18" s="29">
        <f>600+(600-AI17)</f>
        <v>1067</v>
      </c>
      <c r="AJ18" s="29">
        <f>AJ17</f>
        <v>704</v>
      </c>
      <c r="AK18" s="48" t="s">
        <v>16</v>
      </c>
      <c r="AL18" s="29">
        <f t="shared" ref="AL18" si="24">600+(600-AL17)</f>
        <v>1070</v>
      </c>
      <c r="AM18" s="29">
        <f t="shared" ref="AM18" si="25">AM17</f>
        <v>756</v>
      </c>
      <c r="AN18" s="48" t="s">
        <v>16</v>
      </c>
      <c r="AO18" s="29">
        <f t="shared" ref="AO18" si="26">600+(600-AO17)</f>
        <v>1060</v>
      </c>
      <c r="AP18" s="29">
        <f t="shared" ref="AP18" si="27">AP17</f>
        <v>702</v>
      </c>
      <c r="AQ18" s="48" t="s">
        <v>16</v>
      </c>
      <c r="AR18" s="29">
        <f t="shared" ref="AR18" si="28">600+(600-AR17)</f>
        <v>1039</v>
      </c>
      <c r="AS18" s="29">
        <f t="shared" ref="AS18" si="29">AS17</f>
        <v>698</v>
      </c>
    </row>
    <row r="19" spans="1:45">
      <c r="A19" s="24">
        <v>15</v>
      </c>
      <c r="B19" s="19" t="s">
        <v>48</v>
      </c>
      <c r="C19" s="19" t="s">
        <v>34</v>
      </c>
      <c r="D19" s="11">
        <v>977</v>
      </c>
      <c r="E19" s="9">
        <v>994</v>
      </c>
      <c r="F19" s="9">
        <v>965</v>
      </c>
      <c r="G19" s="9">
        <v>1127</v>
      </c>
      <c r="H19" s="9">
        <v>974</v>
      </c>
      <c r="J19" s="21">
        <v>15</v>
      </c>
      <c r="K19" s="44" t="s">
        <v>80</v>
      </c>
      <c r="L19" s="44" t="s">
        <v>78</v>
      </c>
      <c r="M19" s="44" t="s">
        <v>79</v>
      </c>
      <c r="N19" s="11">
        <v>22.680289170426384</v>
      </c>
      <c r="O19" s="9">
        <v>20.484445552117009</v>
      </c>
      <c r="P19" s="9">
        <v>19.433573950707213</v>
      </c>
      <c r="Q19" s="9">
        <v>26.274212154727429</v>
      </c>
      <c r="R19" s="9">
        <v>18.014929601329179</v>
      </c>
      <c r="T19" s="23">
        <v>15</v>
      </c>
      <c r="U19" s="35"/>
      <c r="V19" s="35"/>
      <c r="W19" s="35"/>
      <c r="X19" s="35"/>
      <c r="Y19" s="11"/>
      <c r="Z19" s="9"/>
      <c r="AA19" s="9"/>
      <c r="AB19" s="9"/>
      <c r="AC19" s="9"/>
      <c r="AE19" s="48" t="s">
        <v>17</v>
      </c>
      <c r="AF19" s="29">
        <v>226</v>
      </c>
      <c r="AG19" s="29">
        <v>47</v>
      </c>
      <c r="AH19" s="48" t="s">
        <v>17</v>
      </c>
      <c r="AI19" s="29">
        <v>261</v>
      </c>
      <c r="AJ19" s="29">
        <v>83</v>
      </c>
      <c r="AK19" s="48" t="s">
        <v>17</v>
      </c>
      <c r="AL19" s="29">
        <v>240</v>
      </c>
      <c r="AM19" s="29">
        <v>93</v>
      </c>
      <c r="AN19" s="48" t="s">
        <v>17</v>
      </c>
      <c r="AO19" s="29">
        <v>284</v>
      </c>
      <c r="AP19" s="29">
        <v>65</v>
      </c>
      <c r="AQ19" s="48" t="s">
        <v>17</v>
      </c>
      <c r="AR19" s="29">
        <v>291</v>
      </c>
      <c r="AS19" s="29">
        <v>76</v>
      </c>
    </row>
    <row r="20" spans="1:45">
      <c r="A20" s="24">
        <v>16</v>
      </c>
      <c r="B20" s="19" t="s">
        <v>50</v>
      </c>
      <c r="C20" s="19" t="s">
        <v>51</v>
      </c>
      <c r="D20" s="11">
        <v>71</v>
      </c>
      <c r="E20" s="9">
        <v>63.28506932918696</v>
      </c>
      <c r="F20" s="9">
        <v>52.086466572421671</v>
      </c>
      <c r="G20" s="9">
        <v>59.304300012730948</v>
      </c>
      <c r="H20" s="9">
        <v>42.047592083257278</v>
      </c>
      <c r="I20" s="3"/>
      <c r="J20" s="21">
        <v>16</v>
      </c>
      <c r="K20" s="44" t="s">
        <v>48</v>
      </c>
      <c r="L20" s="44" t="s">
        <v>81</v>
      </c>
      <c r="M20" s="44" t="s">
        <v>79</v>
      </c>
      <c r="N20" s="11">
        <v>105.2006415726143</v>
      </c>
      <c r="O20" s="9">
        <v>108.00760410332649</v>
      </c>
      <c r="P20" s="9">
        <v>121.55078291217276</v>
      </c>
      <c r="Q20" s="9">
        <v>105.79380752059204</v>
      </c>
      <c r="R20" s="9">
        <v>115.99722259746261</v>
      </c>
      <c r="T20" s="23">
        <v>16</v>
      </c>
      <c r="U20" s="35"/>
      <c r="V20" s="35"/>
      <c r="W20" s="35"/>
      <c r="X20" s="35"/>
      <c r="Y20" s="11"/>
      <c r="Z20" s="9"/>
      <c r="AA20" s="9"/>
      <c r="AB20" s="9"/>
      <c r="AC20" s="9"/>
      <c r="AE20" s="48" t="s">
        <v>18</v>
      </c>
      <c r="AF20" s="29">
        <v>600</v>
      </c>
      <c r="AG20" s="29">
        <v>203</v>
      </c>
      <c r="AH20" s="48" t="s">
        <v>18</v>
      </c>
      <c r="AI20" s="29">
        <v>600</v>
      </c>
      <c r="AJ20" s="29">
        <v>186</v>
      </c>
      <c r="AK20" s="48" t="s">
        <v>18</v>
      </c>
      <c r="AL20" s="29">
        <v>600</v>
      </c>
      <c r="AM20" s="29">
        <v>215</v>
      </c>
      <c r="AN20" s="48" t="s">
        <v>18</v>
      </c>
      <c r="AO20" s="29">
        <v>600</v>
      </c>
      <c r="AP20" s="29">
        <v>53</v>
      </c>
      <c r="AQ20" s="48" t="s">
        <v>18</v>
      </c>
      <c r="AR20" s="29">
        <v>600</v>
      </c>
      <c r="AS20" s="29">
        <v>206</v>
      </c>
    </row>
    <row r="21" spans="1:45">
      <c r="A21" s="24">
        <v>17</v>
      </c>
      <c r="B21" s="19" t="s">
        <v>65</v>
      </c>
      <c r="C21" s="19" t="s">
        <v>66</v>
      </c>
      <c r="D21" s="11">
        <v>209</v>
      </c>
      <c r="E21" s="9">
        <v>226</v>
      </c>
      <c r="F21" s="9">
        <v>251</v>
      </c>
      <c r="G21" s="9">
        <v>200</v>
      </c>
      <c r="H21" s="9">
        <v>256</v>
      </c>
      <c r="I21" s="3"/>
      <c r="J21" s="21">
        <v>17</v>
      </c>
      <c r="K21" s="44" t="s">
        <v>80</v>
      </c>
      <c r="L21" s="44" t="s">
        <v>81</v>
      </c>
      <c r="M21" s="44" t="s">
        <v>79</v>
      </c>
      <c r="N21" s="11">
        <v>23.335750986052574</v>
      </c>
      <c r="O21" s="9">
        <v>24.084364139652248</v>
      </c>
      <c r="P21" s="9">
        <v>27.098379560234704</v>
      </c>
      <c r="Q21" s="9">
        <v>25.723284700124154</v>
      </c>
      <c r="R21" s="9">
        <v>27.141351401314797</v>
      </c>
      <c r="T21" s="23">
        <v>17</v>
      </c>
      <c r="U21" s="35"/>
      <c r="V21" s="35"/>
      <c r="W21" s="35"/>
      <c r="X21" s="35"/>
      <c r="Y21" s="11"/>
      <c r="Z21" s="9"/>
      <c r="AA21" s="9"/>
      <c r="AB21" s="9"/>
      <c r="AC21" s="9"/>
      <c r="AE21" s="48" t="s">
        <v>19</v>
      </c>
      <c r="AF21" s="29">
        <f>600+(600-AF19)</f>
        <v>974</v>
      </c>
      <c r="AG21" s="29">
        <f>AG19</f>
        <v>47</v>
      </c>
      <c r="AH21" s="48" t="s">
        <v>19</v>
      </c>
      <c r="AI21" s="29">
        <f>600+(600-AI19)</f>
        <v>939</v>
      </c>
      <c r="AJ21" s="29">
        <f>AJ19</f>
        <v>83</v>
      </c>
      <c r="AK21" s="48" t="s">
        <v>19</v>
      </c>
      <c r="AL21" s="29">
        <f t="shared" ref="AL21" si="30">600+(600-AL19)</f>
        <v>960</v>
      </c>
      <c r="AM21" s="29">
        <f t="shared" ref="AM21" si="31">AM19</f>
        <v>93</v>
      </c>
      <c r="AN21" s="48" t="s">
        <v>19</v>
      </c>
      <c r="AO21" s="29">
        <f t="shared" ref="AO21" si="32">600+(600-AO19)</f>
        <v>916</v>
      </c>
      <c r="AP21" s="29">
        <f t="shared" ref="AP21" si="33">AP19</f>
        <v>65</v>
      </c>
      <c r="AQ21" s="48" t="s">
        <v>19</v>
      </c>
      <c r="AR21" s="29">
        <f t="shared" ref="AR21" si="34">600+(600-AR19)</f>
        <v>909</v>
      </c>
      <c r="AS21" s="29">
        <f t="shared" ref="AS21" si="35">AS19</f>
        <v>76</v>
      </c>
    </row>
    <row r="22" spans="1:45">
      <c r="A22" s="24">
        <v>18</v>
      </c>
      <c r="B22" s="19" t="s">
        <v>76</v>
      </c>
      <c r="C22" s="19" t="s">
        <v>75</v>
      </c>
      <c r="D22" s="11">
        <v>49.091750834534309</v>
      </c>
      <c r="E22" s="9">
        <v>47</v>
      </c>
      <c r="F22" s="9">
        <v>37.215588131856791</v>
      </c>
      <c r="G22" s="9">
        <v>39</v>
      </c>
      <c r="H22" s="9">
        <v>42.449970553582247</v>
      </c>
      <c r="I22" s="3"/>
      <c r="J22" s="21">
        <v>18</v>
      </c>
      <c r="K22" s="34"/>
      <c r="L22" s="34"/>
      <c r="M22" s="34"/>
      <c r="N22" s="11"/>
      <c r="O22" s="9"/>
      <c r="P22" s="9"/>
      <c r="Q22" s="9"/>
      <c r="R22" s="9"/>
      <c r="T22" s="23">
        <v>18</v>
      </c>
      <c r="U22" s="35"/>
      <c r="V22" s="35"/>
      <c r="W22" s="35"/>
      <c r="X22" s="35"/>
      <c r="Y22" s="11"/>
      <c r="Z22" s="9"/>
      <c r="AA22" s="9"/>
      <c r="AB22" s="9"/>
      <c r="AC22" s="9"/>
      <c r="AE22" s="48" t="s">
        <v>20</v>
      </c>
      <c r="AF22" s="29">
        <v>341</v>
      </c>
      <c r="AG22" s="29">
        <v>601</v>
      </c>
      <c r="AH22" s="48" t="s">
        <v>20</v>
      </c>
      <c r="AI22" s="29">
        <v>362</v>
      </c>
      <c r="AJ22" s="29">
        <v>591</v>
      </c>
      <c r="AK22" s="48" t="s">
        <v>20</v>
      </c>
      <c r="AL22" s="29">
        <v>369</v>
      </c>
      <c r="AM22" s="29">
        <v>603</v>
      </c>
      <c r="AN22" s="49" t="s">
        <v>20</v>
      </c>
      <c r="AO22" s="30">
        <v>341</v>
      </c>
      <c r="AP22" s="30">
        <v>613</v>
      </c>
      <c r="AQ22" s="48" t="s">
        <v>20</v>
      </c>
      <c r="AR22" s="29">
        <v>347</v>
      </c>
      <c r="AS22" s="29">
        <v>594</v>
      </c>
    </row>
    <row r="23" spans="1:45">
      <c r="A23" s="24">
        <v>19</v>
      </c>
      <c r="B23" s="19" t="s">
        <v>73</v>
      </c>
      <c r="C23" s="19" t="s">
        <v>74</v>
      </c>
      <c r="D23" s="11">
        <v>226.56566377101365</v>
      </c>
      <c r="E23" s="9">
        <v>218.68927728629038</v>
      </c>
      <c r="F23" s="9">
        <v>164.97575579460153</v>
      </c>
      <c r="G23" s="9">
        <v>162.07714212682799</v>
      </c>
      <c r="H23" s="9">
        <v>196.59603251337501</v>
      </c>
      <c r="I23" s="3"/>
      <c r="J23" s="21">
        <v>19</v>
      </c>
      <c r="K23" s="34"/>
      <c r="L23" s="34"/>
      <c r="M23" s="34"/>
      <c r="N23" s="11"/>
      <c r="O23" s="9"/>
      <c r="P23" s="9"/>
      <c r="Q23" s="9"/>
      <c r="R23" s="9"/>
      <c r="T23" s="23">
        <v>19</v>
      </c>
      <c r="U23" s="35"/>
      <c r="V23" s="35"/>
      <c r="W23" s="35"/>
      <c r="X23" s="35"/>
      <c r="Y23" s="11"/>
      <c r="Z23" s="9"/>
      <c r="AA23" s="9"/>
      <c r="AB23" s="9"/>
      <c r="AC23" s="9"/>
      <c r="AE23" s="48" t="s">
        <v>21</v>
      </c>
      <c r="AF23" s="29">
        <v>434</v>
      </c>
      <c r="AG23" s="29">
        <v>634</v>
      </c>
      <c r="AH23" s="49" t="s">
        <v>21</v>
      </c>
      <c r="AI23" s="30">
        <v>437</v>
      </c>
      <c r="AJ23" s="30">
        <v>610</v>
      </c>
      <c r="AK23" s="48" t="s">
        <v>21</v>
      </c>
      <c r="AL23" s="29">
        <v>439</v>
      </c>
      <c r="AM23" s="29">
        <v>624</v>
      </c>
      <c r="AN23" s="49" t="s">
        <v>21</v>
      </c>
      <c r="AO23" s="30">
        <v>437</v>
      </c>
      <c r="AP23" s="30">
        <v>627</v>
      </c>
      <c r="AQ23" s="48" t="s">
        <v>21</v>
      </c>
      <c r="AR23" s="29">
        <v>430</v>
      </c>
      <c r="AS23" s="29">
        <v>603</v>
      </c>
    </row>
    <row r="24" spans="1:45">
      <c r="A24" s="24">
        <v>20</v>
      </c>
      <c r="B24" s="19"/>
      <c r="C24" s="19"/>
      <c r="D24" s="9"/>
      <c r="E24" s="9"/>
      <c r="F24" s="9"/>
      <c r="G24" s="9"/>
      <c r="H24" s="9"/>
      <c r="I24" s="3"/>
      <c r="J24" s="21">
        <v>20</v>
      </c>
      <c r="K24" s="34"/>
      <c r="L24" s="34"/>
      <c r="M24" s="34"/>
      <c r="N24" s="11"/>
      <c r="O24" s="9"/>
      <c r="P24" s="9"/>
      <c r="Q24" s="9"/>
      <c r="R24" s="9"/>
      <c r="T24" s="23">
        <v>20</v>
      </c>
      <c r="U24" s="35"/>
      <c r="V24" s="35"/>
      <c r="W24" s="35"/>
      <c r="X24" s="35"/>
      <c r="Y24" s="11"/>
      <c r="Z24" s="9"/>
      <c r="AA24" s="9"/>
      <c r="AB24" s="9"/>
      <c r="AC24" s="9"/>
      <c r="AE24" s="48" t="s">
        <v>22</v>
      </c>
      <c r="AF24" s="29">
        <v>507</v>
      </c>
      <c r="AG24" s="29">
        <v>605</v>
      </c>
      <c r="AH24" s="49" t="s">
        <v>22</v>
      </c>
      <c r="AI24" s="30">
        <v>508</v>
      </c>
      <c r="AJ24" s="30">
        <v>582</v>
      </c>
      <c r="AK24" s="48" t="s">
        <v>22</v>
      </c>
      <c r="AL24" s="29">
        <v>491</v>
      </c>
      <c r="AM24" s="29">
        <v>600</v>
      </c>
      <c r="AN24" s="49" t="s">
        <v>22</v>
      </c>
      <c r="AO24" s="30">
        <v>500</v>
      </c>
      <c r="AP24" s="30">
        <v>589</v>
      </c>
      <c r="AQ24" s="48" t="s">
        <v>22</v>
      </c>
      <c r="AR24" s="29">
        <v>498</v>
      </c>
      <c r="AS24" s="29">
        <v>591</v>
      </c>
    </row>
    <row r="25" spans="1:45" ht="15.75" customHeight="1">
      <c r="A25" s="24">
        <v>21</v>
      </c>
      <c r="B25" s="19"/>
      <c r="C25" s="19"/>
      <c r="D25" s="9"/>
      <c r="E25" s="9"/>
      <c r="F25" s="9"/>
      <c r="G25" s="9"/>
      <c r="H25" s="9"/>
      <c r="I25" s="3"/>
      <c r="J25" s="21">
        <v>21</v>
      </c>
      <c r="K25" s="34"/>
      <c r="L25" s="34"/>
      <c r="M25" s="34"/>
      <c r="N25" s="11"/>
      <c r="O25" s="9"/>
      <c r="P25" s="9"/>
      <c r="Q25" s="9"/>
      <c r="R25" s="9"/>
      <c r="T25" s="23">
        <v>21</v>
      </c>
      <c r="U25" s="35"/>
      <c r="V25" s="35"/>
      <c r="W25" s="35"/>
      <c r="X25" s="35"/>
      <c r="Y25" s="11"/>
      <c r="Z25" s="9"/>
      <c r="AA25" s="9"/>
      <c r="AB25" s="9"/>
      <c r="AC25" s="9"/>
      <c r="AE25" s="48" t="s">
        <v>23</v>
      </c>
      <c r="AF25" s="29">
        <v>434</v>
      </c>
      <c r="AG25" s="29">
        <v>563</v>
      </c>
      <c r="AH25" s="49" t="s">
        <v>23</v>
      </c>
      <c r="AI25" s="30">
        <v>431</v>
      </c>
      <c r="AJ25" s="30">
        <v>547</v>
      </c>
      <c r="AK25" s="48" t="s">
        <v>23</v>
      </c>
      <c r="AL25" s="29">
        <v>436</v>
      </c>
      <c r="AM25" s="29">
        <v>572</v>
      </c>
      <c r="AN25" s="49" t="s">
        <v>23</v>
      </c>
      <c r="AO25" s="30">
        <v>431</v>
      </c>
      <c r="AP25" s="30">
        <v>568</v>
      </c>
      <c r="AQ25" s="48" t="s">
        <v>23</v>
      </c>
      <c r="AR25" s="29">
        <v>428</v>
      </c>
      <c r="AS25" s="29">
        <v>561</v>
      </c>
    </row>
    <row r="26" spans="1:45" ht="16.5" customHeight="1">
      <c r="A26" s="24">
        <v>22</v>
      </c>
      <c r="B26" s="19"/>
      <c r="C26" s="19"/>
      <c r="D26" s="9"/>
      <c r="E26" s="9"/>
      <c r="F26" s="9"/>
      <c r="G26" s="9"/>
      <c r="H26" s="9"/>
      <c r="I26" s="3"/>
      <c r="J26" s="21">
        <v>22</v>
      </c>
      <c r="K26" s="34"/>
      <c r="L26" s="34"/>
      <c r="M26" s="34"/>
      <c r="N26" s="11"/>
      <c r="O26" s="9"/>
      <c r="P26" s="9"/>
      <c r="Q26" s="9"/>
      <c r="R26" s="9"/>
      <c r="T26" s="23">
        <v>22</v>
      </c>
      <c r="U26" s="35"/>
      <c r="V26" s="35"/>
      <c r="W26" s="35"/>
      <c r="X26" s="35"/>
      <c r="Y26" s="11"/>
      <c r="Z26" s="9"/>
      <c r="AA26" s="9"/>
      <c r="AB26" s="9"/>
      <c r="AC26" s="9"/>
      <c r="AE26" s="48" t="s">
        <v>24</v>
      </c>
      <c r="AF26" s="31">
        <v>1180</v>
      </c>
      <c r="AG26" s="31">
        <v>1180</v>
      </c>
      <c r="AH26" s="49" t="s">
        <v>24</v>
      </c>
      <c r="AI26" s="30">
        <v>1180</v>
      </c>
      <c r="AJ26" s="30">
        <v>1180</v>
      </c>
      <c r="AK26" s="48" t="s">
        <v>24</v>
      </c>
      <c r="AL26" s="31">
        <v>1180</v>
      </c>
      <c r="AM26" s="31">
        <v>1180</v>
      </c>
      <c r="AN26" s="49" t="s">
        <v>24</v>
      </c>
      <c r="AO26" s="30">
        <v>1180</v>
      </c>
      <c r="AP26" s="30">
        <v>1180</v>
      </c>
      <c r="AQ26" s="32" t="s">
        <v>24</v>
      </c>
      <c r="AR26" s="31">
        <v>1180</v>
      </c>
      <c r="AS26" s="31">
        <v>1180</v>
      </c>
    </row>
    <row r="27" spans="1:45">
      <c r="A27" s="24">
        <v>23</v>
      </c>
      <c r="B27" s="19"/>
      <c r="C27" s="19"/>
      <c r="D27" s="9"/>
      <c r="E27" s="9"/>
      <c r="F27" s="9"/>
      <c r="G27" s="9"/>
      <c r="H27" s="9"/>
      <c r="J27" s="21">
        <v>23</v>
      </c>
      <c r="K27" s="34"/>
      <c r="L27" s="34"/>
      <c r="M27" s="34"/>
      <c r="N27" s="11"/>
      <c r="O27" s="9"/>
      <c r="P27" s="9"/>
      <c r="Q27" s="9"/>
      <c r="R27" s="9"/>
      <c r="T27" s="23">
        <v>23</v>
      </c>
      <c r="U27" s="35"/>
      <c r="V27" s="35"/>
      <c r="W27" s="35"/>
      <c r="X27" s="35"/>
      <c r="Y27" s="11"/>
      <c r="Z27" s="9"/>
      <c r="AA27" s="9"/>
      <c r="AB27" s="9"/>
      <c r="AC27" s="9"/>
      <c r="AE27" s="46" t="s">
        <v>67</v>
      </c>
      <c r="AF27" s="8">
        <v>600</v>
      </c>
      <c r="AG27" s="37">
        <v>0</v>
      </c>
      <c r="AH27" s="46" t="s">
        <v>67</v>
      </c>
      <c r="AI27" s="9">
        <v>600</v>
      </c>
      <c r="AJ27" s="38">
        <v>0</v>
      </c>
      <c r="AK27" s="46" t="s">
        <v>67</v>
      </c>
      <c r="AL27" s="8">
        <v>600</v>
      </c>
      <c r="AM27" s="37">
        <v>0</v>
      </c>
      <c r="AN27" s="46" t="s">
        <v>67</v>
      </c>
      <c r="AO27" s="9">
        <v>600</v>
      </c>
      <c r="AP27" s="38">
        <v>0</v>
      </c>
      <c r="AQ27" s="46" t="s">
        <v>67</v>
      </c>
      <c r="AR27" s="8">
        <v>600</v>
      </c>
      <c r="AS27" s="37">
        <v>0</v>
      </c>
    </row>
    <row r="28" spans="1:45" s="7" customFormat="1">
      <c r="A28" s="24">
        <v>24</v>
      </c>
      <c r="B28" s="19"/>
      <c r="C28" s="19"/>
      <c r="D28" s="17"/>
      <c r="E28" s="12"/>
      <c r="F28" s="12"/>
      <c r="G28" s="12"/>
      <c r="H28" s="12"/>
      <c r="J28" s="21">
        <v>24</v>
      </c>
      <c r="K28" s="34"/>
      <c r="L28" s="34"/>
      <c r="M28" s="34"/>
      <c r="N28" s="17"/>
      <c r="O28" s="12"/>
      <c r="P28" s="12"/>
      <c r="Q28" s="12"/>
      <c r="R28" s="12"/>
      <c r="T28" s="23">
        <v>24</v>
      </c>
      <c r="U28" s="35"/>
      <c r="V28" s="35"/>
      <c r="W28" s="35"/>
      <c r="X28" s="35"/>
      <c r="Y28" s="17"/>
      <c r="Z28" s="12"/>
      <c r="AA28" s="12"/>
      <c r="AB28" s="12"/>
      <c r="AC28" s="12"/>
      <c r="AE28" s="46" t="s">
        <v>68</v>
      </c>
      <c r="AF28" s="8">
        <v>414</v>
      </c>
      <c r="AG28" s="37">
        <v>449</v>
      </c>
      <c r="AH28" s="46" t="s">
        <v>68</v>
      </c>
      <c r="AI28" s="9">
        <v>436</v>
      </c>
      <c r="AJ28" s="38">
        <v>416</v>
      </c>
      <c r="AK28" s="46" t="s">
        <v>68</v>
      </c>
      <c r="AL28" s="8">
        <v>421</v>
      </c>
      <c r="AM28" s="37">
        <v>456</v>
      </c>
      <c r="AN28" s="46" t="s">
        <v>68</v>
      </c>
      <c r="AO28" s="9">
        <v>415</v>
      </c>
      <c r="AP28" s="38">
        <v>485</v>
      </c>
      <c r="AQ28" s="46" t="s">
        <v>68</v>
      </c>
      <c r="AR28" s="8">
        <v>415</v>
      </c>
      <c r="AS28" s="37">
        <v>475</v>
      </c>
    </row>
    <row r="29" spans="1:45">
      <c r="A29" s="24">
        <v>25</v>
      </c>
      <c r="B29" s="19"/>
      <c r="C29" s="19"/>
      <c r="D29" s="18"/>
      <c r="E29" s="13"/>
      <c r="F29" s="9"/>
      <c r="G29" s="9"/>
      <c r="H29" s="9"/>
      <c r="J29" s="21">
        <v>25</v>
      </c>
      <c r="K29" s="34"/>
      <c r="L29" s="34"/>
      <c r="M29" s="34"/>
      <c r="N29" s="11"/>
      <c r="O29" s="9"/>
      <c r="P29" s="9"/>
      <c r="Q29" s="9"/>
      <c r="R29" s="9"/>
      <c r="T29" s="23">
        <v>25</v>
      </c>
      <c r="U29" s="35"/>
      <c r="V29" s="35"/>
      <c r="W29" s="35"/>
      <c r="X29" s="35"/>
      <c r="Y29" s="11"/>
      <c r="Z29" s="9"/>
      <c r="AA29" s="9"/>
      <c r="AB29" s="9"/>
      <c r="AC29" s="9"/>
      <c r="AE29" s="46" t="s">
        <v>69</v>
      </c>
      <c r="AF29" s="8">
        <v>303</v>
      </c>
      <c r="AG29" s="37">
        <v>511</v>
      </c>
      <c r="AH29" s="46" t="s">
        <v>69</v>
      </c>
      <c r="AI29" s="9">
        <v>330</v>
      </c>
      <c r="AJ29" s="38">
        <v>491</v>
      </c>
      <c r="AK29" s="46" t="s">
        <v>69</v>
      </c>
      <c r="AL29" s="8">
        <v>335</v>
      </c>
      <c r="AM29" s="37">
        <v>515</v>
      </c>
      <c r="AN29" s="46" t="s">
        <v>69</v>
      </c>
      <c r="AO29" s="9">
        <v>336</v>
      </c>
      <c r="AP29" s="38">
        <v>524</v>
      </c>
      <c r="AQ29" s="46" t="s">
        <v>69</v>
      </c>
      <c r="AR29" s="8">
        <v>301</v>
      </c>
      <c r="AS29" s="37">
        <v>530</v>
      </c>
    </row>
    <row r="30" spans="1:45">
      <c r="A30" s="24">
        <v>26</v>
      </c>
      <c r="B30" s="19"/>
      <c r="C30" s="19"/>
      <c r="D30" s="11"/>
      <c r="E30" s="9"/>
      <c r="F30" s="9"/>
      <c r="G30" s="9"/>
      <c r="H30" s="9"/>
      <c r="J30" s="21">
        <v>26</v>
      </c>
      <c r="K30" s="34"/>
      <c r="L30" s="34"/>
      <c r="M30" s="34"/>
      <c r="N30" s="11"/>
      <c r="O30" s="9"/>
      <c r="P30" s="9"/>
      <c r="Q30" s="9"/>
      <c r="R30" s="9"/>
      <c r="T30" s="23">
        <v>26</v>
      </c>
      <c r="U30" s="35"/>
      <c r="V30" s="35"/>
      <c r="W30" s="35"/>
      <c r="X30" s="35"/>
      <c r="Y30" s="11"/>
      <c r="Z30" s="9"/>
      <c r="AA30" s="9"/>
      <c r="AB30" s="9"/>
      <c r="AC30" s="9"/>
      <c r="AE30" s="46" t="s">
        <v>70</v>
      </c>
      <c r="AF30" s="8">
        <v>529</v>
      </c>
      <c r="AG30" s="37">
        <v>495</v>
      </c>
      <c r="AH30" s="46" t="s">
        <v>70</v>
      </c>
      <c r="AI30" s="9">
        <v>545</v>
      </c>
      <c r="AJ30" s="38">
        <v>451</v>
      </c>
      <c r="AK30" s="46" t="s">
        <v>70</v>
      </c>
      <c r="AL30" s="8">
        <v>496</v>
      </c>
      <c r="AM30" s="37">
        <v>479</v>
      </c>
      <c r="AN30" s="46" t="s">
        <v>70</v>
      </c>
      <c r="AO30" s="9">
        <v>498</v>
      </c>
      <c r="AP30" s="38">
        <v>519</v>
      </c>
      <c r="AQ30" s="46" t="s">
        <v>70</v>
      </c>
      <c r="AR30" s="8">
        <v>496</v>
      </c>
      <c r="AS30" s="37">
        <v>505</v>
      </c>
    </row>
    <row r="31" spans="1:45">
      <c r="A31" s="24">
        <v>27</v>
      </c>
      <c r="B31" s="19"/>
      <c r="C31" s="19"/>
      <c r="D31" s="11"/>
      <c r="E31" s="9"/>
      <c r="F31" s="9"/>
      <c r="G31" s="9"/>
      <c r="H31" s="9"/>
      <c r="J31" s="21">
        <v>27</v>
      </c>
      <c r="K31" s="34"/>
      <c r="L31" s="34"/>
      <c r="M31" s="34"/>
      <c r="N31" s="11"/>
      <c r="O31" s="9"/>
      <c r="P31" s="9"/>
      <c r="Q31" s="9"/>
      <c r="R31" s="9"/>
      <c r="T31" s="23">
        <v>27</v>
      </c>
      <c r="U31" s="35"/>
      <c r="V31" s="35"/>
      <c r="W31" s="35"/>
      <c r="X31" s="35"/>
      <c r="Y31" s="11"/>
      <c r="Z31" s="9"/>
      <c r="AA31" s="9"/>
      <c r="AB31" s="9"/>
      <c r="AC31" s="9"/>
      <c r="AE31" s="46" t="s">
        <v>71</v>
      </c>
      <c r="AF31" s="8">
        <v>417</v>
      </c>
      <c r="AG31" s="37">
        <v>498</v>
      </c>
      <c r="AH31" s="46" t="s">
        <v>71</v>
      </c>
      <c r="AI31" s="9">
        <v>436</v>
      </c>
      <c r="AJ31" s="38">
        <v>463</v>
      </c>
      <c r="AK31" s="46" t="s">
        <v>71</v>
      </c>
      <c r="AL31" s="8">
        <v>417</v>
      </c>
      <c r="AM31" s="37">
        <v>493</v>
      </c>
      <c r="AN31" s="46" t="s">
        <v>71</v>
      </c>
      <c r="AO31" s="9">
        <v>415</v>
      </c>
      <c r="AP31" s="38">
        <v>524</v>
      </c>
      <c r="AQ31" s="46" t="s">
        <v>71</v>
      </c>
      <c r="AR31" s="8">
        <v>404</v>
      </c>
      <c r="AS31" s="37">
        <v>516</v>
      </c>
    </row>
    <row r="32" spans="1:45">
      <c r="A32" s="24">
        <v>28</v>
      </c>
      <c r="B32" s="19"/>
      <c r="C32" s="19"/>
      <c r="D32" s="11"/>
      <c r="E32" s="9"/>
      <c r="F32" s="9"/>
      <c r="G32" s="9"/>
      <c r="H32" s="9"/>
      <c r="J32" s="21">
        <v>28</v>
      </c>
      <c r="K32" s="34"/>
      <c r="L32" s="34"/>
      <c r="M32" s="34"/>
      <c r="N32" s="11"/>
      <c r="O32" s="9"/>
      <c r="P32" s="9"/>
      <c r="Q32" s="9"/>
      <c r="R32" s="9"/>
      <c r="T32" s="23">
        <v>28</v>
      </c>
      <c r="U32" s="35"/>
      <c r="V32" s="35"/>
      <c r="W32" s="35"/>
      <c r="X32" s="35"/>
      <c r="Y32" s="11"/>
      <c r="Z32" s="9"/>
      <c r="AA32" s="9"/>
      <c r="AB32" s="9"/>
      <c r="AC32" s="9"/>
      <c r="AE32" s="46"/>
      <c r="AF32" s="8"/>
      <c r="AG32" s="37"/>
      <c r="AH32" s="46"/>
      <c r="AI32" s="9"/>
      <c r="AJ32" s="38"/>
      <c r="AK32" s="46"/>
      <c r="AL32" s="8"/>
      <c r="AM32" s="37"/>
      <c r="AN32" s="46"/>
      <c r="AO32" s="9"/>
      <c r="AP32" s="38"/>
      <c r="AQ32" s="46"/>
      <c r="AR32" s="8"/>
      <c r="AS32" s="37"/>
    </row>
    <row r="33" spans="1:45">
      <c r="A33" s="24">
        <v>29</v>
      </c>
      <c r="B33" s="19"/>
      <c r="C33" s="19"/>
      <c r="D33" s="11"/>
      <c r="E33" s="9"/>
      <c r="F33" s="9"/>
      <c r="G33" s="9"/>
      <c r="H33" s="9"/>
      <c r="J33" s="21">
        <v>29</v>
      </c>
      <c r="K33" s="34"/>
      <c r="L33" s="34"/>
      <c r="M33" s="34"/>
      <c r="N33" s="11"/>
      <c r="O33" s="9"/>
      <c r="P33" s="9"/>
      <c r="Q33" s="9"/>
      <c r="R33" s="9"/>
      <c r="T33" s="23">
        <v>29</v>
      </c>
      <c r="U33" s="35"/>
      <c r="V33" s="35"/>
      <c r="W33" s="35"/>
      <c r="X33" s="35"/>
      <c r="Y33" s="11"/>
      <c r="Z33" s="9"/>
      <c r="AA33" s="9"/>
      <c r="AB33" s="9"/>
      <c r="AC33" s="9"/>
      <c r="AE33" s="36"/>
      <c r="AF33" s="8"/>
      <c r="AG33" s="6"/>
      <c r="AH33" s="5"/>
      <c r="AI33" s="9"/>
      <c r="AJ33" s="16"/>
      <c r="AK33" s="36"/>
      <c r="AL33" s="8"/>
      <c r="AM33" s="6"/>
      <c r="AN33" s="5"/>
      <c r="AO33" s="9"/>
      <c r="AP33" s="16"/>
      <c r="AQ33" s="36"/>
      <c r="AR33" s="8"/>
      <c r="AS33" s="6"/>
    </row>
    <row r="34" spans="1:45">
      <c r="A34" s="24">
        <v>30</v>
      </c>
      <c r="B34" s="19"/>
      <c r="C34" s="19"/>
      <c r="D34" s="11"/>
      <c r="E34" s="9"/>
      <c r="F34" s="9"/>
      <c r="G34" s="9"/>
      <c r="H34" s="9"/>
      <c r="J34" s="21">
        <v>30</v>
      </c>
      <c r="K34" s="34"/>
      <c r="L34" s="34"/>
      <c r="M34" s="34"/>
      <c r="N34" s="11"/>
      <c r="O34" s="9"/>
      <c r="P34" s="9"/>
      <c r="Q34" s="9"/>
      <c r="R34" s="9"/>
      <c r="T34" s="23">
        <v>30</v>
      </c>
      <c r="U34" s="35"/>
      <c r="V34" s="35"/>
      <c r="W34" s="35"/>
      <c r="X34" s="35"/>
      <c r="Y34" s="11"/>
      <c r="Z34" s="9"/>
      <c r="AA34" s="9"/>
      <c r="AB34" s="9"/>
      <c r="AC34" s="9"/>
      <c r="AE34" s="36"/>
      <c r="AF34" s="8"/>
      <c r="AG34" s="6"/>
      <c r="AH34" s="5"/>
      <c r="AI34" s="9"/>
      <c r="AJ34" s="16"/>
      <c r="AK34" s="36"/>
      <c r="AL34" s="8"/>
      <c r="AM34" s="6"/>
      <c r="AN34" s="5"/>
      <c r="AO34" s="9"/>
      <c r="AP34" s="16"/>
      <c r="AQ34" s="36"/>
      <c r="AR34" s="8"/>
      <c r="AS34" s="6"/>
    </row>
    <row r="35" spans="1:45">
      <c r="A35" s="25"/>
      <c r="B35" s="15"/>
      <c r="C35" s="15"/>
      <c r="D35" s="14"/>
      <c r="E35" s="14"/>
    </row>
    <row r="36" spans="1:45" ht="15.75" customHeight="1">
      <c r="A36" s="79" t="s">
        <v>64</v>
      </c>
      <c r="B36" s="79"/>
      <c r="C36" s="79"/>
      <c r="D36" s="79"/>
      <c r="E36" s="79"/>
      <c r="F36" s="79"/>
      <c r="G36" s="79"/>
      <c r="H36" s="79"/>
      <c r="I36" s="20"/>
      <c r="J36" s="79" t="s">
        <v>64</v>
      </c>
      <c r="K36" s="80"/>
      <c r="L36" s="80"/>
      <c r="M36" s="80"/>
      <c r="N36" s="80"/>
      <c r="O36" s="80"/>
      <c r="P36" s="80"/>
      <c r="Q36" s="80"/>
      <c r="R36" s="80"/>
      <c r="T36" s="79" t="s">
        <v>64</v>
      </c>
      <c r="U36" s="80"/>
      <c r="V36" s="80"/>
      <c r="W36" s="80"/>
      <c r="X36" s="80"/>
      <c r="Y36" s="80"/>
      <c r="Z36" s="80"/>
      <c r="AA36" s="80"/>
      <c r="AB36" s="80"/>
      <c r="AC36" s="80"/>
      <c r="AE36" s="80" t="s">
        <v>63</v>
      </c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</row>
    <row r="37" spans="1:45" ht="15.75" customHeight="1">
      <c r="A37" s="79"/>
      <c r="B37" s="79"/>
      <c r="C37" s="79"/>
      <c r="D37" s="79"/>
      <c r="E37" s="79"/>
      <c r="F37" s="79"/>
      <c r="G37" s="79"/>
      <c r="H37" s="79"/>
      <c r="I37" s="20"/>
      <c r="J37" s="80"/>
      <c r="K37" s="80"/>
      <c r="L37" s="80"/>
      <c r="M37" s="80"/>
      <c r="N37" s="80"/>
      <c r="O37" s="80"/>
      <c r="P37" s="80"/>
      <c r="Q37" s="80"/>
      <c r="R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</row>
    <row r="38" spans="1:45">
      <c r="A38" s="79"/>
      <c r="B38" s="79"/>
      <c r="C38" s="79"/>
      <c r="D38" s="79"/>
      <c r="E38" s="79"/>
      <c r="F38" s="79"/>
      <c r="G38" s="79"/>
      <c r="H38" s="79"/>
      <c r="J38" s="80"/>
      <c r="K38" s="80"/>
      <c r="L38" s="80"/>
      <c r="M38" s="80"/>
      <c r="N38" s="80"/>
      <c r="O38" s="80"/>
      <c r="P38" s="80"/>
      <c r="Q38" s="80"/>
      <c r="R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</row>
    <row r="39" spans="1:45">
      <c r="A39" s="25"/>
      <c r="B39" s="15"/>
      <c r="C39" s="15"/>
      <c r="D39" s="14"/>
      <c r="E39" s="14"/>
    </row>
    <row r="40" spans="1:45">
      <c r="A40" s="25"/>
      <c r="B40" s="15"/>
      <c r="C40" s="15"/>
      <c r="D40" s="14"/>
      <c r="E40" s="14"/>
    </row>
    <row r="41" spans="1:45">
      <c r="A41" s="25"/>
      <c r="B41" s="15"/>
      <c r="C41" s="15"/>
      <c r="D41" s="14"/>
      <c r="E41" s="14"/>
    </row>
    <row r="42" spans="1:45">
      <c r="A42" s="25"/>
      <c r="B42" s="15"/>
      <c r="C42" s="15"/>
      <c r="D42" s="14"/>
      <c r="E42" s="14"/>
    </row>
    <row r="43" spans="1:45">
      <c r="A43" s="25"/>
      <c r="B43" s="15"/>
      <c r="C43" s="15"/>
      <c r="D43" s="14"/>
      <c r="E43" s="14"/>
    </row>
    <row r="44" spans="1:45">
      <c r="A44" s="25"/>
      <c r="B44" s="15"/>
      <c r="C44" s="15"/>
      <c r="D44" s="14"/>
      <c r="E44" s="14"/>
    </row>
    <row r="45" spans="1:45">
      <c r="A45" s="25"/>
      <c r="B45" s="15"/>
      <c r="C45" s="15"/>
      <c r="D45" s="14"/>
      <c r="E45" s="14"/>
    </row>
    <row r="46" spans="1:45">
      <c r="A46" s="25"/>
      <c r="B46" s="15"/>
      <c r="C46" s="15"/>
      <c r="D46" s="14"/>
      <c r="E46" s="14"/>
    </row>
    <row r="47" spans="1:45">
      <c r="A47" s="25"/>
      <c r="B47" s="15"/>
      <c r="C47" s="15"/>
      <c r="D47" s="14"/>
      <c r="E47" s="14"/>
    </row>
    <row r="48" spans="1:45">
      <c r="A48" s="25"/>
      <c r="B48" s="15"/>
      <c r="C48" s="15"/>
      <c r="D48" s="14"/>
      <c r="E48" s="14"/>
    </row>
    <row r="49" spans="1:5">
      <c r="A49" s="25"/>
      <c r="B49" s="15"/>
      <c r="C49" s="15"/>
      <c r="D49" s="14"/>
      <c r="E49" s="14"/>
    </row>
    <row r="50" spans="1:5">
      <c r="A50" s="25"/>
      <c r="B50" s="15"/>
      <c r="C50" s="15"/>
      <c r="D50" s="14"/>
      <c r="E50" s="14"/>
    </row>
    <row r="51" spans="1:5">
      <c r="A51" s="25"/>
      <c r="B51" s="15"/>
      <c r="C51" s="15"/>
      <c r="D51" s="14"/>
      <c r="E51" s="14"/>
    </row>
    <row r="52" spans="1:5">
      <c r="A52" s="25"/>
      <c r="B52" s="15"/>
      <c r="C52" s="15"/>
      <c r="D52" s="14"/>
      <c r="E52" s="14"/>
    </row>
  </sheetData>
  <mergeCells count="27">
    <mergeCell ref="A36:H38"/>
    <mergeCell ref="J36:R38"/>
    <mergeCell ref="T36:AC38"/>
    <mergeCell ref="AE36:AS38"/>
    <mergeCell ref="AN2:AP2"/>
    <mergeCell ref="AQ2:AS2"/>
    <mergeCell ref="AF3:AG3"/>
    <mergeCell ref="AI3:AJ3"/>
    <mergeCell ref="AL3:AM3"/>
    <mergeCell ref="AO3:AP3"/>
    <mergeCell ref="AR3:AS3"/>
    <mergeCell ref="T2:X4"/>
    <mergeCell ref="Y2:AA3"/>
    <mergeCell ref="AB2:AC3"/>
    <mergeCell ref="AE2:AG2"/>
    <mergeCell ref="AH2:AJ2"/>
    <mergeCell ref="AK2:AM2"/>
    <mergeCell ref="A1:H1"/>
    <mergeCell ref="J1:R1"/>
    <mergeCell ref="T1:AC1"/>
    <mergeCell ref="AE1:AS1"/>
    <mergeCell ref="A2:C4"/>
    <mergeCell ref="D2:F3"/>
    <mergeCell ref="G2:H3"/>
    <mergeCell ref="J2:M4"/>
    <mergeCell ref="N2:P3"/>
    <mergeCell ref="Q2:R3"/>
  </mergeCells>
  <phoneticPr fontId="1" type="noConversion"/>
  <conditionalFormatting sqref="Y1:AC1 Y4:AC35 Y2 Y39:AC1048576">
    <cfRule type="cellIs" dxfId="18" priority="1" operator="lessThan">
      <formula>0</formula>
    </cfRule>
  </conditionalFormatting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25"/>
  <dimension ref="A1:AS52"/>
  <sheetViews>
    <sheetView topLeftCell="P1" zoomScale="70" zoomScaleNormal="70" workbookViewId="0">
      <selection activeCell="AI3" sqref="AI3:AJ3"/>
    </sheetView>
  </sheetViews>
  <sheetFormatPr defaultColWidth="9" defaultRowHeight="15.5"/>
  <cols>
    <col min="1" max="1" width="3.58203125" style="22" customWidth="1"/>
    <col min="2" max="3" width="3.58203125" style="4" customWidth="1"/>
    <col min="4" max="8" width="10.58203125" style="10" customWidth="1"/>
    <col min="9" max="9" width="2.08203125" style="1" customWidth="1"/>
    <col min="10" max="10" width="3.58203125" style="22" customWidth="1"/>
    <col min="11" max="12" width="3.58203125" style="4" customWidth="1"/>
    <col min="13" max="13" width="3.08203125" style="4" bestFit="1" customWidth="1"/>
    <col min="14" max="18" width="10.58203125" style="10" customWidth="1"/>
    <col min="19" max="19" width="2.08203125" style="1" customWidth="1"/>
    <col min="20" max="20" width="3.58203125" style="22" customWidth="1"/>
    <col min="21" max="23" width="3.58203125" style="4" customWidth="1"/>
    <col min="24" max="24" width="3.08203125" style="4" bestFit="1" customWidth="1"/>
    <col min="25" max="29" width="10.58203125" style="10" customWidth="1"/>
    <col min="30" max="30" width="2.08203125" style="1" customWidth="1"/>
    <col min="31" max="31" width="7.58203125" style="4" customWidth="1"/>
    <col min="32" max="32" width="10.58203125" style="10" customWidth="1"/>
    <col min="33" max="33" width="10.58203125" style="1" customWidth="1"/>
    <col min="34" max="34" width="7.58203125" style="4" customWidth="1"/>
    <col min="35" max="35" width="10.58203125" style="10" customWidth="1"/>
    <col min="36" max="36" width="10.58203125" style="1" customWidth="1"/>
    <col min="37" max="37" width="7.58203125" style="4" customWidth="1"/>
    <col min="38" max="38" width="10.58203125" style="10" customWidth="1"/>
    <col min="39" max="39" width="10.58203125" style="1" customWidth="1"/>
    <col min="40" max="40" width="7.58203125" style="4" customWidth="1"/>
    <col min="41" max="41" width="10.58203125" style="10" customWidth="1"/>
    <col min="42" max="42" width="10.58203125" style="1" customWidth="1"/>
    <col min="43" max="16384" width="9" style="1"/>
  </cols>
  <sheetData>
    <row r="1" spans="1:45" ht="24" customHeight="1">
      <c r="A1" s="57" t="s">
        <v>58</v>
      </c>
      <c r="B1" s="57"/>
      <c r="C1" s="57"/>
      <c r="D1" s="57"/>
      <c r="E1" s="57"/>
      <c r="F1" s="57"/>
      <c r="G1" s="57"/>
      <c r="H1" s="58"/>
      <c r="J1" s="59" t="s">
        <v>60</v>
      </c>
      <c r="K1" s="59"/>
      <c r="L1" s="59"/>
      <c r="M1" s="59"/>
      <c r="N1" s="59"/>
      <c r="O1" s="59"/>
      <c r="P1" s="59"/>
      <c r="Q1" s="59"/>
      <c r="R1" s="59"/>
      <c r="T1" s="60" t="s">
        <v>59</v>
      </c>
      <c r="U1" s="60"/>
      <c r="V1" s="60"/>
      <c r="W1" s="60"/>
      <c r="X1" s="60"/>
      <c r="Y1" s="60"/>
      <c r="Z1" s="60"/>
      <c r="AA1" s="60"/>
      <c r="AB1" s="60"/>
      <c r="AC1" s="60"/>
      <c r="AE1" s="61" t="s">
        <v>179</v>
      </c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</row>
    <row r="2" spans="1:45" s="2" customFormat="1" ht="19.5" customHeight="1">
      <c r="A2" s="63" t="s">
        <v>55</v>
      </c>
      <c r="B2" s="63"/>
      <c r="C2" s="63"/>
      <c r="D2" s="65"/>
      <c r="E2" s="66"/>
      <c r="F2" s="67"/>
      <c r="G2" s="65"/>
      <c r="H2" s="67"/>
      <c r="J2" s="71" t="s">
        <v>56</v>
      </c>
      <c r="K2" s="71"/>
      <c r="L2" s="71"/>
      <c r="M2" s="71"/>
      <c r="N2" s="73"/>
      <c r="O2" s="74"/>
      <c r="P2" s="75"/>
      <c r="Q2" s="73"/>
      <c r="R2" s="75"/>
      <c r="T2" s="90" t="s">
        <v>57</v>
      </c>
      <c r="U2" s="90"/>
      <c r="V2" s="90"/>
      <c r="W2" s="90"/>
      <c r="X2" s="90"/>
      <c r="Y2" s="92"/>
      <c r="Z2" s="93"/>
      <c r="AA2" s="94"/>
      <c r="AB2" s="92"/>
      <c r="AC2" s="94"/>
      <c r="AE2" s="54" t="s">
        <v>145</v>
      </c>
      <c r="AF2" s="55"/>
      <c r="AG2" s="56"/>
      <c r="AH2" s="81" t="s">
        <v>146</v>
      </c>
      <c r="AI2" s="82"/>
      <c r="AJ2" s="83"/>
      <c r="AK2" s="54" t="s">
        <v>147</v>
      </c>
      <c r="AL2" s="55"/>
      <c r="AM2" s="56"/>
      <c r="AN2" s="81" t="s">
        <v>148</v>
      </c>
      <c r="AO2" s="82"/>
      <c r="AP2" s="83"/>
      <c r="AQ2" s="54" t="s">
        <v>149</v>
      </c>
      <c r="AR2" s="55"/>
      <c r="AS2" s="56"/>
    </row>
    <row r="3" spans="1:45" ht="16.5" customHeight="1">
      <c r="A3" s="63"/>
      <c r="B3" s="63"/>
      <c r="C3" s="63"/>
      <c r="D3" s="68"/>
      <c r="E3" s="69"/>
      <c r="F3" s="70"/>
      <c r="G3" s="68"/>
      <c r="H3" s="70"/>
      <c r="J3" s="71"/>
      <c r="K3" s="71"/>
      <c r="L3" s="71"/>
      <c r="M3" s="71"/>
      <c r="N3" s="76"/>
      <c r="O3" s="77"/>
      <c r="P3" s="78"/>
      <c r="Q3" s="76"/>
      <c r="R3" s="78"/>
      <c r="T3" s="90"/>
      <c r="U3" s="90"/>
      <c r="V3" s="90"/>
      <c r="W3" s="90"/>
      <c r="X3" s="90"/>
      <c r="Y3" s="95"/>
      <c r="Z3" s="96"/>
      <c r="AA3" s="97"/>
      <c r="AB3" s="95"/>
      <c r="AC3" s="97"/>
      <c r="AE3" s="48" t="s">
        <v>178</v>
      </c>
      <c r="AF3" s="85" t="s">
        <v>177</v>
      </c>
      <c r="AG3" s="85"/>
      <c r="AH3" s="52" t="s">
        <v>178</v>
      </c>
      <c r="AI3" s="85" t="s">
        <v>177</v>
      </c>
      <c r="AJ3" s="85"/>
      <c r="AK3" s="52" t="s">
        <v>178</v>
      </c>
      <c r="AL3" s="85" t="s">
        <v>177</v>
      </c>
      <c r="AM3" s="85"/>
      <c r="AN3" s="52" t="s">
        <v>178</v>
      </c>
      <c r="AO3" s="85" t="s">
        <v>177</v>
      </c>
      <c r="AP3" s="85"/>
      <c r="AQ3" s="52" t="s">
        <v>178</v>
      </c>
      <c r="AR3" s="85" t="s">
        <v>177</v>
      </c>
      <c r="AS3" s="85"/>
    </row>
    <row r="4" spans="1:45" s="4" customFormat="1" ht="40.25" customHeight="1">
      <c r="A4" s="63"/>
      <c r="B4" s="64"/>
      <c r="C4" s="64"/>
      <c r="D4" s="19" t="s">
        <v>25</v>
      </c>
      <c r="E4" s="19" t="s">
        <v>26</v>
      </c>
      <c r="F4" s="19" t="s">
        <v>27</v>
      </c>
      <c r="G4" s="19" t="s">
        <v>28</v>
      </c>
      <c r="H4" s="19" t="s">
        <v>29</v>
      </c>
      <c r="J4" s="71"/>
      <c r="K4" s="72"/>
      <c r="L4" s="72"/>
      <c r="M4" s="72"/>
      <c r="N4" s="34" t="s">
        <v>25</v>
      </c>
      <c r="O4" s="34" t="s">
        <v>26</v>
      </c>
      <c r="P4" s="34" t="s">
        <v>27</v>
      </c>
      <c r="Q4" s="34" t="s">
        <v>28</v>
      </c>
      <c r="R4" s="34" t="s">
        <v>29</v>
      </c>
      <c r="T4" s="90"/>
      <c r="U4" s="91"/>
      <c r="V4" s="91"/>
      <c r="W4" s="91"/>
      <c r="X4" s="91"/>
      <c r="Y4" s="35" t="s">
        <v>25</v>
      </c>
      <c r="Z4" s="35" t="s">
        <v>26</v>
      </c>
      <c r="AA4" s="35" t="s">
        <v>27</v>
      </c>
      <c r="AB4" s="35" t="s">
        <v>28</v>
      </c>
      <c r="AC4" s="35" t="s">
        <v>29</v>
      </c>
      <c r="AE4" s="48"/>
      <c r="AF4" s="48" t="s">
        <v>0</v>
      </c>
      <c r="AG4" s="48" t="s">
        <v>1</v>
      </c>
      <c r="AH4" s="48"/>
      <c r="AI4" s="48" t="s">
        <v>0</v>
      </c>
      <c r="AJ4" s="48" t="s">
        <v>1</v>
      </c>
      <c r="AK4" s="48" t="s">
        <v>2</v>
      </c>
      <c r="AL4" s="48" t="s">
        <v>0</v>
      </c>
      <c r="AM4" s="48" t="s">
        <v>1</v>
      </c>
      <c r="AN4" s="49" t="s">
        <v>2</v>
      </c>
      <c r="AO4" s="49" t="s">
        <v>0</v>
      </c>
      <c r="AP4" s="49" t="s">
        <v>1</v>
      </c>
      <c r="AQ4" s="48" t="s">
        <v>2</v>
      </c>
      <c r="AR4" s="48" t="s">
        <v>0</v>
      </c>
      <c r="AS4" s="48" t="s">
        <v>1</v>
      </c>
    </row>
    <row r="5" spans="1:45">
      <c r="A5" s="24">
        <v>1</v>
      </c>
      <c r="B5" s="19" t="s">
        <v>30</v>
      </c>
      <c r="C5" s="19" t="s">
        <v>32</v>
      </c>
      <c r="D5" s="11">
        <v>304</v>
      </c>
      <c r="E5" s="9">
        <v>341.0058650522011</v>
      </c>
      <c r="F5" s="9">
        <v>343</v>
      </c>
      <c r="G5" s="9">
        <v>340</v>
      </c>
      <c r="H5" s="9">
        <v>313</v>
      </c>
      <c r="J5" s="21">
        <v>1</v>
      </c>
      <c r="K5" s="34" t="s">
        <v>30</v>
      </c>
      <c r="L5" s="34" t="s">
        <v>35</v>
      </c>
      <c r="M5" s="34" t="s">
        <v>38</v>
      </c>
      <c r="N5" s="9">
        <v>70.898851206894861</v>
      </c>
      <c r="O5" s="9">
        <v>70.893646994228021</v>
      </c>
      <c r="P5" s="9">
        <v>68.131420814627475</v>
      </c>
      <c r="Q5" s="9">
        <v>69.026506578679204</v>
      </c>
      <c r="R5" s="9">
        <v>68.48240629511335</v>
      </c>
      <c r="T5" s="23">
        <v>1</v>
      </c>
      <c r="U5" s="35" t="s">
        <v>30</v>
      </c>
      <c r="V5" s="35" t="s">
        <v>35</v>
      </c>
      <c r="W5" s="35" t="s">
        <v>32</v>
      </c>
      <c r="X5" s="35" t="s">
        <v>38</v>
      </c>
      <c r="Y5" s="11">
        <v>27056</v>
      </c>
      <c r="Z5" s="9">
        <v>36828</v>
      </c>
      <c r="AA5" s="9">
        <v>40474</v>
      </c>
      <c r="AB5" s="9">
        <v>39100</v>
      </c>
      <c r="AC5" s="9">
        <v>34430</v>
      </c>
      <c r="AE5" s="48" t="s">
        <v>3</v>
      </c>
      <c r="AF5" s="29">
        <v>600</v>
      </c>
      <c r="AG5" s="29">
        <v>500</v>
      </c>
      <c r="AH5" s="48" t="s">
        <v>3</v>
      </c>
      <c r="AI5" s="29">
        <v>600</v>
      </c>
      <c r="AJ5" s="29">
        <v>514</v>
      </c>
      <c r="AK5" s="48" t="s">
        <v>3</v>
      </c>
      <c r="AL5" s="29">
        <v>600</v>
      </c>
      <c r="AM5" s="29">
        <v>499</v>
      </c>
      <c r="AN5" s="48" t="s">
        <v>3</v>
      </c>
      <c r="AO5" s="29">
        <v>600</v>
      </c>
      <c r="AP5" s="29">
        <v>461</v>
      </c>
      <c r="AQ5" s="48" t="s">
        <v>3</v>
      </c>
      <c r="AR5" s="29">
        <v>600</v>
      </c>
      <c r="AS5" s="29">
        <v>469</v>
      </c>
    </row>
    <row r="6" spans="1:45">
      <c r="A6" s="24">
        <v>2</v>
      </c>
      <c r="B6" s="19" t="s">
        <v>30</v>
      </c>
      <c r="C6" s="19" t="s">
        <v>33</v>
      </c>
      <c r="D6" s="11">
        <v>411.0985283359696</v>
      </c>
      <c r="E6" s="9">
        <v>441.0045351240733</v>
      </c>
      <c r="F6" s="9">
        <v>452</v>
      </c>
      <c r="G6" s="9">
        <v>481</v>
      </c>
      <c r="H6" s="9">
        <v>452</v>
      </c>
      <c r="J6" s="21">
        <v>2</v>
      </c>
      <c r="K6" s="34" t="s">
        <v>30</v>
      </c>
      <c r="L6" s="34" t="s">
        <v>41</v>
      </c>
      <c r="M6" s="34" t="s">
        <v>34</v>
      </c>
      <c r="N6" s="9">
        <v>88.764400256082553</v>
      </c>
      <c r="O6" s="9">
        <v>87.422933848414928</v>
      </c>
      <c r="P6" s="9">
        <v>86.969732573724883</v>
      </c>
      <c r="Q6" s="9">
        <v>96.972691106475864</v>
      </c>
      <c r="R6" s="9">
        <v>100.25063288016446</v>
      </c>
      <c r="T6" s="23">
        <v>2</v>
      </c>
      <c r="U6" s="35" t="s">
        <v>30</v>
      </c>
      <c r="V6" s="35" t="s">
        <v>41</v>
      </c>
      <c r="W6" s="35" t="s">
        <v>34</v>
      </c>
      <c r="X6" s="35" t="s">
        <v>42</v>
      </c>
      <c r="Y6" s="11">
        <v>220320</v>
      </c>
      <c r="Z6" s="9">
        <v>219780</v>
      </c>
      <c r="AA6" s="9">
        <v>229497</v>
      </c>
      <c r="AB6" s="9">
        <v>207791</v>
      </c>
      <c r="AC6" s="9">
        <v>205479</v>
      </c>
      <c r="AE6" s="48" t="s">
        <v>4</v>
      </c>
      <c r="AF6" s="29">
        <v>511</v>
      </c>
      <c r="AG6" s="29">
        <v>757</v>
      </c>
      <c r="AH6" s="48" t="s">
        <v>4</v>
      </c>
      <c r="AI6" s="29">
        <v>494</v>
      </c>
      <c r="AJ6" s="29">
        <v>820</v>
      </c>
      <c r="AK6" s="48" t="s">
        <v>4</v>
      </c>
      <c r="AL6" s="29">
        <v>482</v>
      </c>
      <c r="AM6" s="29">
        <v>793</v>
      </c>
      <c r="AN6" s="48" t="s">
        <v>4</v>
      </c>
      <c r="AO6" s="29">
        <v>485</v>
      </c>
      <c r="AP6" s="29">
        <v>761</v>
      </c>
      <c r="AQ6" s="48" t="s">
        <v>4</v>
      </c>
      <c r="AR6" s="29">
        <v>490</v>
      </c>
      <c r="AS6" s="29">
        <v>748</v>
      </c>
    </row>
    <row r="7" spans="1:45">
      <c r="A7" s="24">
        <v>3</v>
      </c>
      <c r="B7" s="19" t="s">
        <v>30</v>
      </c>
      <c r="C7" s="19" t="s">
        <v>34</v>
      </c>
      <c r="D7" s="11">
        <v>680</v>
      </c>
      <c r="E7" s="9">
        <v>666</v>
      </c>
      <c r="F7" s="9">
        <v>681</v>
      </c>
      <c r="G7" s="9">
        <v>719</v>
      </c>
      <c r="H7" s="9">
        <v>711</v>
      </c>
      <c r="J7" s="21">
        <v>3</v>
      </c>
      <c r="K7" s="34" t="s">
        <v>30</v>
      </c>
      <c r="L7" s="34" t="s">
        <v>44</v>
      </c>
      <c r="M7" s="34" t="s">
        <v>32</v>
      </c>
      <c r="N7" s="9">
        <v>44.303871915827429</v>
      </c>
      <c r="O7" s="9">
        <v>48.211074599226521</v>
      </c>
      <c r="P7" s="9">
        <v>45.599374178509862</v>
      </c>
      <c r="Q7" s="9">
        <v>49.423628920701134</v>
      </c>
      <c r="R7" s="9">
        <v>49.348850385798926</v>
      </c>
      <c r="T7" s="23">
        <v>3</v>
      </c>
      <c r="U7" s="35" t="s">
        <v>41</v>
      </c>
      <c r="V7" s="35" t="s">
        <v>39</v>
      </c>
      <c r="W7" s="35" t="s">
        <v>34</v>
      </c>
      <c r="X7" s="35" t="s">
        <v>42</v>
      </c>
      <c r="Y7" s="11">
        <v>77436</v>
      </c>
      <c r="Z7" s="9">
        <v>79970</v>
      </c>
      <c r="AA7" s="9">
        <v>85629.5</v>
      </c>
      <c r="AB7" s="9">
        <v>69049</v>
      </c>
      <c r="AC7" s="9">
        <v>86254.5</v>
      </c>
      <c r="AE7" s="48" t="s">
        <v>5</v>
      </c>
      <c r="AF7" s="29">
        <v>600</v>
      </c>
      <c r="AG7" s="29">
        <v>804</v>
      </c>
      <c r="AH7" s="48" t="s">
        <v>5</v>
      </c>
      <c r="AI7" s="29">
        <v>602</v>
      </c>
      <c r="AJ7" s="29">
        <v>855</v>
      </c>
      <c r="AK7" s="48" t="s">
        <v>5</v>
      </c>
      <c r="AL7" s="29">
        <v>600</v>
      </c>
      <c r="AM7" s="29">
        <v>842</v>
      </c>
      <c r="AN7" s="48" t="s">
        <v>5</v>
      </c>
      <c r="AO7" s="29">
        <v>600</v>
      </c>
      <c r="AP7" s="29">
        <v>801</v>
      </c>
      <c r="AQ7" s="48" t="s">
        <v>5</v>
      </c>
      <c r="AR7" s="29">
        <v>600</v>
      </c>
      <c r="AS7" s="29">
        <v>782</v>
      </c>
    </row>
    <row r="8" spans="1:45" ht="15.75" customHeight="1">
      <c r="A8" s="24">
        <v>4</v>
      </c>
      <c r="B8" s="19" t="s">
        <v>35</v>
      </c>
      <c r="C8" s="19" t="s">
        <v>38</v>
      </c>
      <c r="D8" s="11">
        <v>178</v>
      </c>
      <c r="E8" s="9">
        <v>216</v>
      </c>
      <c r="F8" s="9">
        <v>236</v>
      </c>
      <c r="G8" s="9">
        <v>230</v>
      </c>
      <c r="H8" s="9">
        <v>220</v>
      </c>
      <c r="J8" s="21">
        <v>4</v>
      </c>
      <c r="K8" s="34" t="s">
        <v>35</v>
      </c>
      <c r="L8" s="34" t="s">
        <v>32</v>
      </c>
      <c r="M8" s="34" t="s">
        <v>38</v>
      </c>
      <c r="N8" s="9">
        <v>124.32383760573056</v>
      </c>
      <c r="O8" s="9">
        <v>144.08766969474649</v>
      </c>
      <c r="P8" s="9">
        <v>134.89824903666604</v>
      </c>
      <c r="Q8" s="9">
        <v>141.64198394837854</v>
      </c>
      <c r="R8" s="9">
        <v>145.64819276850648</v>
      </c>
      <c r="T8" s="23">
        <v>4</v>
      </c>
      <c r="U8" s="35" t="s">
        <v>46</v>
      </c>
      <c r="V8" s="35" t="s">
        <v>43</v>
      </c>
      <c r="W8" s="35" t="s">
        <v>33</v>
      </c>
      <c r="X8" s="35" t="s">
        <v>47</v>
      </c>
      <c r="Y8" s="11">
        <v>448275.5</v>
      </c>
      <c r="Z8" s="9">
        <v>459725</v>
      </c>
      <c r="AA8" s="9">
        <v>511887</v>
      </c>
      <c r="AB8" s="9">
        <v>389314.5</v>
      </c>
      <c r="AC8" s="9">
        <v>341861.5</v>
      </c>
      <c r="AE8" s="48" t="s">
        <v>6</v>
      </c>
      <c r="AF8" s="29">
        <f>AF7+(AF7-AF6)</f>
        <v>689</v>
      </c>
      <c r="AG8" s="29">
        <f>AG6</f>
        <v>757</v>
      </c>
      <c r="AH8" s="48" t="s">
        <v>6</v>
      </c>
      <c r="AI8" s="29">
        <f>AI7+(AI7-AI6)</f>
        <v>710</v>
      </c>
      <c r="AJ8" s="29">
        <f>AJ6</f>
        <v>820</v>
      </c>
      <c r="AK8" s="48" t="s">
        <v>6</v>
      </c>
      <c r="AL8" s="29">
        <f t="shared" ref="AL8" si="0">AL7+(AL7-AL6)</f>
        <v>718</v>
      </c>
      <c r="AM8" s="29">
        <f t="shared" ref="AM8" si="1">AM6</f>
        <v>793</v>
      </c>
      <c r="AN8" s="48" t="s">
        <v>6</v>
      </c>
      <c r="AO8" s="29">
        <f t="shared" ref="AO8" si="2">AO7+(AO7-AO6)</f>
        <v>715</v>
      </c>
      <c r="AP8" s="29">
        <f t="shared" ref="AP8" si="3">AP6</f>
        <v>761</v>
      </c>
      <c r="AQ8" s="48" t="s">
        <v>6</v>
      </c>
      <c r="AR8" s="29">
        <f t="shared" ref="AR8" si="4">AR7+(AR7-AR6)</f>
        <v>710</v>
      </c>
      <c r="AS8" s="29">
        <f t="shared" ref="AS8" si="5">AS6</f>
        <v>748</v>
      </c>
    </row>
    <row r="9" spans="1:45" ht="15.75" customHeight="1">
      <c r="A9" s="24">
        <v>5</v>
      </c>
      <c r="B9" s="19" t="s">
        <v>32</v>
      </c>
      <c r="C9" s="19" t="s">
        <v>33</v>
      </c>
      <c r="D9" s="11">
        <v>107.37783756436893</v>
      </c>
      <c r="E9" s="9">
        <v>100</v>
      </c>
      <c r="F9" s="9">
        <v>109</v>
      </c>
      <c r="G9" s="9">
        <v>141</v>
      </c>
      <c r="H9" s="9">
        <v>139</v>
      </c>
      <c r="J9" s="21">
        <v>5</v>
      </c>
      <c r="K9" s="34" t="s">
        <v>39</v>
      </c>
      <c r="L9" s="34" t="s">
        <v>34</v>
      </c>
      <c r="M9" s="34" t="s">
        <v>40</v>
      </c>
      <c r="N9" s="9">
        <v>142.40022968269469</v>
      </c>
      <c r="O9" s="9">
        <v>141.88459097974336</v>
      </c>
      <c r="P9" s="9">
        <v>155.96199509091099</v>
      </c>
      <c r="Q9" s="9">
        <v>140.11523083660603</v>
      </c>
      <c r="R9" s="9">
        <v>118.41353223552075</v>
      </c>
      <c r="T9" s="23">
        <v>5</v>
      </c>
      <c r="U9" s="35" t="s">
        <v>48</v>
      </c>
      <c r="V9" s="35" t="s">
        <v>43</v>
      </c>
      <c r="W9" s="35" t="s">
        <v>34</v>
      </c>
      <c r="X9" s="35" t="s">
        <v>44</v>
      </c>
      <c r="Y9" s="11">
        <v>379408</v>
      </c>
      <c r="Z9" s="9">
        <v>369750</v>
      </c>
      <c r="AA9" s="9">
        <v>417441</v>
      </c>
      <c r="AB9" s="9">
        <v>360590</v>
      </c>
      <c r="AC9" s="9">
        <v>326230</v>
      </c>
      <c r="AE9" s="48" t="s">
        <v>77</v>
      </c>
      <c r="AF9" s="29">
        <v>609</v>
      </c>
      <c r="AG9" s="29">
        <v>911</v>
      </c>
      <c r="AH9" s="48" t="s">
        <v>77</v>
      </c>
      <c r="AI9" s="29">
        <v>602</v>
      </c>
      <c r="AJ9" s="29">
        <v>955</v>
      </c>
      <c r="AK9" s="48" t="s">
        <v>77</v>
      </c>
      <c r="AL9" s="29">
        <v>600</v>
      </c>
      <c r="AM9" s="29">
        <v>951</v>
      </c>
      <c r="AN9" s="48" t="s">
        <v>77</v>
      </c>
      <c r="AO9" s="29">
        <v>600</v>
      </c>
      <c r="AP9" s="29">
        <v>942</v>
      </c>
      <c r="AQ9" s="48" t="s">
        <v>77</v>
      </c>
      <c r="AR9" s="29">
        <v>600</v>
      </c>
      <c r="AS9" s="29">
        <v>921</v>
      </c>
    </row>
    <row r="10" spans="1:45">
      <c r="A10" s="24">
        <v>6</v>
      </c>
      <c r="B10" s="19" t="s">
        <v>32</v>
      </c>
      <c r="C10" s="19" t="s">
        <v>34</v>
      </c>
      <c r="D10" s="11">
        <v>376</v>
      </c>
      <c r="E10" s="9">
        <v>325.00615378789371</v>
      </c>
      <c r="F10" s="9">
        <v>338</v>
      </c>
      <c r="G10" s="9">
        <v>379</v>
      </c>
      <c r="H10" s="9">
        <v>398</v>
      </c>
      <c r="J10" s="21">
        <v>6</v>
      </c>
      <c r="K10" s="34" t="s">
        <v>40</v>
      </c>
      <c r="L10" s="34" t="s">
        <v>34</v>
      </c>
      <c r="M10" s="34" t="s">
        <v>62</v>
      </c>
      <c r="N10" s="9">
        <v>18.799885158652661</v>
      </c>
      <c r="O10" s="9">
        <v>19.057704510128289</v>
      </c>
      <c r="P10" s="9">
        <v>12.019002454544495</v>
      </c>
      <c r="Q10" s="9">
        <v>19.942384581697006</v>
      </c>
      <c r="R10" s="9">
        <v>30.793233882239615</v>
      </c>
      <c r="T10" s="23">
        <v>6</v>
      </c>
      <c r="U10" s="35" t="s">
        <v>52</v>
      </c>
      <c r="V10" s="35" t="s">
        <v>51</v>
      </c>
      <c r="W10" s="35" t="s">
        <v>54</v>
      </c>
      <c r="X10" s="35" t="s">
        <v>50</v>
      </c>
      <c r="Y10" s="11">
        <v>3952.5</v>
      </c>
      <c r="Z10" s="9">
        <v>5500</v>
      </c>
      <c r="AA10" s="9">
        <v>3804</v>
      </c>
      <c r="AB10" s="9">
        <v>4107.5</v>
      </c>
      <c r="AC10" s="9">
        <v>3459.5</v>
      </c>
      <c r="AE10" s="48" t="s">
        <v>8</v>
      </c>
      <c r="AF10" s="29">
        <v>459</v>
      </c>
      <c r="AG10" s="29">
        <v>1132</v>
      </c>
      <c r="AH10" s="48" t="s">
        <v>8</v>
      </c>
      <c r="AI10" s="29">
        <v>490</v>
      </c>
      <c r="AJ10" s="29">
        <v>1142</v>
      </c>
      <c r="AK10" s="48" t="s">
        <v>8</v>
      </c>
      <c r="AL10" s="29">
        <v>445</v>
      </c>
      <c r="AM10" s="29">
        <v>1147</v>
      </c>
      <c r="AN10" s="48" t="s">
        <v>8</v>
      </c>
      <c r="AO10" s="29">
        <v>487</v>
      </c>
      <c r="AP10" s="29">
        <v>1139</v>
      </c>
      <c r="AQ10" s="48" t="s">
        <v>8</v>
      </c>
      <c r="AR10" s="29">
        <v>501</v>
      </c>
      <c r="AS10" s="29">
        <v>1121</v>
      </c>
    </row>
    <row r="11" spans="1:45">
      <c r="A11" s="24">
        <v>7</v>
      </c>
      <c r="B11" s="19" t="s">
        <v>39</v>
      </c>
      <c r="C11" s="19" t="s">
        <v>40</v>
      </c>
      <c r="D11" s="11">
        <v>282</v>
      </c>
      <c r="E11" s="9">
        <v>220</v>
      </c>
      <c r="F11" s="9">
        <v>310</v>
      </c>
      <c r="G11" s="9">
        <v>226</v>
      </c>
      <c r="H11" s="9">
        <v>198</v>
      </c>
      <c r="J11" s="21">
        <v>7</v>
      </c>
      <c r="K11" s="34" t="s">
        <v>41</v>
      </c>
      <c r="L11" s="34" t="s">
        <v>34</v>
      </c>
      <c r="M11" s="34" t="s">
        <v>62</v>
      </c>
      <c r="N11" s="9">
        <v>146.30993247402023</v>
      </c>
      <c r="O11" s="9">
        <v>145.83181467497465</v>
      </c>
      <c r="P11" s="9">
        <v>146.86273469531366</v>
      </c>
      <c r="Q11" s="9">
        <v>143.09839467642269</v>
      </c>
      <c r="R11" s="9">
        <v>135.90618456681105</v>
      </c>
      <c r="T11" s="23">
        <v>7</v>
      </c>
      <c r="U11" s="35" t="s">
        <v>76</v>
      </c>
      <c r="V11" s="35" t="s">
        <v>73</v>
      </c>
      <c r="W11" s="35" t="s">
        <v>75</v>
      </c>
      <c r="X11" s="35" t="s">
        <v>74</v>
      </c>
      <c r="Y11" s="11">
        <v>2916</v>
      </c>
      <c r="Z11" s="9">
        <v>3245</v>
      </c>
      <c r="AA11" s="9">
        <v>3178.5</v>
      </c>
      <c r="AB11" s="9">
        <v>2849.5</v>
      </c>
      <c r="AC11" s="9">
        <v>3007.5</v>
      </c>
      <c r="AE11" s="48" t="s">
        <v>9</v>
      </c>
      <c r="AF11" s="29">
        <v>600</v>
      </c>
      <c r="AG11" s="29">
        <v>1180</v>
      </c>
      <c r="AH11" s="48" t="s">
        <v>9</v>
      </c>
      <c r="AI11" s="29">
        <v>600</v>
      </c>
      <c r="AJ11" s="29">
        <v>1180</v>
      </c>
      <c r="AK11" s="48" t="s">
        <v>9</v>
      </c>
      <c r="AL11" s="29">
        <v>600</v>
      </c>
      <c r="AM11" s="29">
        <v>1180</v>
      </c>
      <c r="AN11" s="48" t="s">
        <v>9</v>
      </c>
      <c r="AO11" s="29">
        <v>600</v>
      </c>
      <c r="AP11" s="29">
        <v>1180</v>
      </c>
      <c r="AQ11" s="48" t="s">
        <v>9</v>
      </c>
      <c r="AR11" s="29">
        <v>600</v>
      </c>
      <c r="AS11" s="29">
        <v>1180</v>
      </c>
    </row>
    <row r="12" spans="1:45">
      <c r="A12" s="24">
        <v>8</v>
      </c>
      <c r="B12" s="19" t="s">
        <v>41</v>
      </c>
      <c r="C12" s="19" t="s">
        <v>42</v>
      </c>
      <c r="D12" s="11">
        <v>648</v>
      </c>
      <c r="E12" s="9">
        <v>660</v>
      </c>
      <c r="F12" s="9">
        <v>674</v>
      </c>
      <c r="G12" s="9">
        <v>578</v>
      </c>
      <c r="H12" s="9">
        <v>578</v>
      </c>
      <c r="J12" s="21">
        <v>8</v>
      </c>
      <c r="K12" s="34" t="s">
        <v>42</v>
      </c>
      <c r="L12" s="34" t="s">
        <v>34</v>
      </c>
      <c r="M12" s="34" t="s">
        <v>62</v>
      </c>
      <c r="N12" s="9">
        <v>33.690067525979778</v>
      </c>
      <c r="O12" s="9">
        <v>34.168185325025341</v>
      </c>
      <c r="P12" s="9">
        <v>33.137265304686302</v>
      </c>
      <c r="Q12" s="9">
        <v>36.901605323577307</v>
      </c>
      <c r="R12" s="9">
        <v>44.093815433188944</v>
      </c>
      <c r="T12" s="23">
        <v>8</v>
      </c>
      <c r="U12" s="35"/>
      <c r="V12" s="35"/>
      <c r="W12" s="35"/>
      <c r="X12" s="35"/>
      <c r="Y12" s="11"/>
      <c r="Z12" s="9"/>
      <c r="AA12" s="9"/>
      <c r="AB12" s="9"/>
      <c r="AC12" s="9"/>
      <c r="AE12" s="48" t="s">
        <v>10</v>
      </c>
      <c r="AF12" s="29">
        <f>AF11+(AF11-AF10)</f>
        <v>741</v>
      </c>
      <c r="AG12" s="29">
        <f>AG10</f>
        <v>1132</v>
      </c>
      <c r="AH12" s="48" t="s">
        <v>10</v>
      </c>
      <c r="AI12" s="29">
        <f>AI11+(AI11-AI10)</f>
        <v>710</v>
      </c>
      <c r="AJ12" s="29">
        <f>AJ10</f>
        <v>1142</v>
      </c>
      <c r="AK12" s="48" t="s">
        <v>10</v>
      </c>
      <c r="AL12" s="29">
        <f t="shared" ref="AL12" si="6">AL11+(AL11-AL10)</f>
        <v>755</v>
      </c>
      <c r="AM12" s="29">
        <f t="shared" ref="AM12" si="7">AM10</f>
        <v>1147</v>
      </c>
      <c r="AN12" s="48" t="s">
        <v>10</v>
      </c>
      <c r="AO12" s="29">
        <f t="shared" ref="AO12" si="8">AO11+(AO11-AO10)</f>
        <v>713</v>
      </c>
      <c r="AP12" s="29">
        <f t="shared" ref="AP12" si="9">AP10</f>
        <v>1139</v>
      </c>
      <c r="AQ12" s="48" t="s">
        <v>10</v>
      </c>
      <c r="AR12" s="29">
        <f t="shared" ref="AR12" si="10">AR11+(AR11-AR10)</f>
        <v>699</v>
      </c>
      <c r="AS12" s="29">
        <f t="shared" ref="AS12" si="11">AS10</f>
        <v>1121</v>
      </c>
    </row>
    <row r="13" spans="1:45">
      <c r="A13" s="24">
        <v>9</v>
      </c>
      <c r="B13" s="19" t="s">
        <v>43</v>
      </c>
      <c r="C13" s="19" t="s">
        <v>44</v>
      </c>
      <c r="D13" s="11">
        <v>736</v>
      </c>
      <c r="E13" s="9">
        <v>750</v>
      </c>
      <c r="F13" s="9">
        <v>802</v>
      </c>
      <c r="G13" s="9">
        <v>674</v>
      </c>
      <c r="H13" s="9">
        <v>646</v>
      </c>
      <c r="J13" s="21">
        <v>9</v>
      </c>
      <c r="K13" s="34" t="s">
        <v>43</v>
      </c>
      <c r="L13" s="34" t="s">
        <v>41</v>
      </c>
      <c r="M13" s="34" t="s">
        <v>34</v>
      </c>
      <c r="N13" s="9">
        <v>133.15238973400542</v>
      </c>
      <c r="O13" s="9">
        <v>135.93647425704597</v>
      </c>
      <c r="P13" s="9">
        <v>138.55942662342494</v>
      </c>
      <c r="Q13" s="9">
        <v>139.43041303272881</v>
      </c>
      <c r="R13" s="9">
        <v>144.18733679471148</v>
      </c>
      <c r="T13" s="23">
        <v>9</v>
      </c>
      <c r="U13" s="35"/>
      <c r="V13" s="35"/>
      <c r="W13" s="35"/>
      <c r="X13" s="35"/>
      <c r="Y13" s="11"/>
      <c r="Z13" s="9"/>
      <c r="AA13" s="9"/>
      <c r="AB13" s="9"/>
      <c r="AC13" s="9"/>
      <c r="AE13" s="48" t="s">
        <v>11</v>
      </c>
      <c r="AF13" s="29">
        <v>276</v>
      </c>
      <c r="AG13" s="29">
        <v>964</v>
      </c>
      <c r="AH13" s="48" t="s">
        <v>11</v>
      </c>
      <c r="AI13" s="29">
        <v>270</v>
      </c>
      <c r="AJ13" s="29">
        <v>956</v>
      </c>
      <c r="AK13" s="48" t="s">
        <v>11</v>
      </c>
      <c r="AL13" s="29">
        <v>263</v>
      </c>
      <c r="AM13" s="29">
        <v>960</v>
      </c>
      <c r="AN13" s="48" t="s">
        <v>11</v>
      </c>
      <c r="AO13" s="29">
        <v>311</v>
      </c>
      <c r="AP13" s="29">
        <v>963</v>
      </c>
      <c r="AQ13" s="48" t="s">
        <v>11</v>
      </c>
      <c r="AR13" s="29">
        <v>311</v>
      </c>
      <c r="AS13" s="29">
        <v>900</v>
      </c>
    </row>
    <row r="14" spans="1:45">
      <c r="A14" s="24">
        <v>10</v>
      </c>
      <c r="B14" s="19" t="s">
        <v>45</v>
      </c>
      <c r="C14" s="19" t="s">
        <v>43</v>
      </c>
      <c r="D14" s="11">
        <v>67.007462271003817</v>
      </c>
      <c r="E14" s="9">
        <v>77.058419397233934</v>
      </c>
      <c r="F14" s="9">
        <v>95.189285111298105</v>
      </c>
      <c r="G14" s="9">
        <v>67.119296778199342</v>
      </c>
      <c r="H14" s="9">
        <v>76</v>
      </c>
      <c r="J14" s="21">
        <v>10</v>
      </c>
      <c r="K14" s="34" t="s">
        <v>44</v>
      </c>
      <c r="L14" s="34" t="s">
        <v>32</v>
      </c>
      <c r="M14" s="34" t="s">
        <v>62</v>
      </c>
      <c r="N14" s="9">
        <v>48.735120924249621</v>
      </c>
      <c r="O14" s="9">
        <v>46.483445518587686</v>
      </c>
      <c r="P14" s="9">
        <v>46.10174508374336</v>
      </c>
      <c r="Q14" s="9">
        <v>42.266077524359495</v>
      </c>
      <c r="R14" s="9">
        <v>47.193426866994166</v>
      </c>
      <c r="T14" s="23">
        <v>10</v>
      </c>
      <c r="U14" s="35"/>
      <c r="V14" s="35"/>
      <c r="W14" s="35"/>
      <c r="X14" s="35"/>
      <c r="Y14" s="11"/>
      <c r="Z14" s="9"/>
      <c r="AA14" s="9"/>
      <c r="AB14" s="9"/>
      <c r="AC14" s="9"/>
      <c r="AE14" s="48" t="s">
        <v>12</v>
      </c>
      <c r="AF14" s="29">
        <f>600+(600-AF13)</f>
        <v>924</v>
      </c>
      <c r="AG14" s="29">
        <f>AG13</f>
        <v>964</v>
      </c>
      <c r="AH14" s="48" t="s">
        <v>12</v>
      </c>
      <c r="AI14" s="29">
        <f>600+(600-AI13)</f>
        <v>930</v>
      </c>
      <c r="AJ14" s="29">
        <f>AJ13</f>
        <v>956</v>
      </c>
      <c r="AK14" s="48" t="s">
        <v>12</v>
      </c>
      <c r="AL14" s="29">
        <f t="shared" ref="AL14" si="12">600+(600-AL13)</f>
        <v>937</v>
      </c>
      <c r="AM14" s="29">
        <f t="shared" ref="AM14" si="13">AM13</f>
        <v>960</v>
      </c>
      <c r="AN14" s="48" t="s">
        <v>12</v>
      </c>
      <c r="AO14" s="29">
        <f t="shared" ref="AO14" si="14">600+(600-AO13)</f>
        <v>889</v>
      </c>
      <c r="AP14" s="29">
        <f t="shared" ref="AP14" si="15">AP13</f>
        <v>963</v>
      </c>
      <c r="AQ14" s="48" t="s">
        <v>12</v>
      </c>
      <c r="AR14" s="29">
        <f t="shared" ref="AR14" si="16">600+(600-AR13)</f>
        <v>889</v>
      </c>
      <c r="AS14" s="29">
        <f t="shared" ref="AS14" si="17">AS13</f>
        <v>900</v>
      </c>
    </row>
    <row r="15" spans="1:45">
      <c r="A15" s="24">
        <v>11</v>
      </c>
      <c r="B15" s="19" t="s">
        <v>46</v>
      </c>
      <c r="C15" s="19" t="s">
        <v>47</v>
      </c>
      <c r="D15" s="11">
        <v>712</v>
      </c>
      <c r="E15" s="9">
        <v>754</v>
      </c>
      <c r="F15" s="9">
        <v>804</v>
      </c>
      <c r="G15" s="9">
        <v>590</v>
      </c>
      <c r="H15" s="9">
        <v>526</v>
      </c>
      <c r="J15" s="21">
        <v>11</v>
      </c>
      <c r="K15" s="34" t="s">
        <v>44</v>
      </c>
      <c r="L15" s="34" t="s">
        <v>33</v>
      </c>
      <c r="M15" s="34" t="s">
        <v>62</v>
      </c>
      <c r="N15" s="9">
        <v>55.669896960751565</v>
      </c>
      <c r="O15" s="9">
        <v>51.22910880879482</v>
      </c>
      <c r="P15" s="9">
        <v>50.624335528410086</v>
      </c>
      <c r="Q15" s="9">
        <v>52.365718210235784</v>
      </c>
      <c r="R15" s="9">
        <v>57.341995191347117</v>
      </c>
      <c r="T15" s="23">
        <v>11</v>
      </c>
      <c r="U15" s="35"/>
      <c r="V15" s="35"/>
      <c r="W15" s="35"/>
      <c r="X15" s="35"/>
      <c r="Y15" s="11"/>
      <c r="Z15" s="9"/>
      <c r="AA15" s="9"/>
      <c r="AB15" s="9"/>
      <c r="AC15" s="9"/>
      <c r="AE15" s="48" t="s">
        <v>13</v>
      </c>
      <c r="AF15" s="29">
        <v>232</v>
      </c>
      <c r="AG15" s="29">
        <v>700</v>
      </c>
      <c r="AH15" s="48" t="s">
        <v>13</v>
      </c>
      <c r="AI15" s="29">
        <v>225</v>
      </c>
      <c r="AJ15" s="29">
        <v>740</v>
      </c>
      <c r="AK15" s="48" t="s">
        <v>13</v>
      </c>
      <c r="AL15" s="29">
        <v>199</v>
      </c>
      <c r="AM15" s="29">
        <v>728</v>
      </c>
      <c r="AN15" s="48" t="s">
        <v>13</v>
      </c>
      <c r="AO15" s="29">
        <v>263</v>
      </c>
      <c r="AP15" s="29">
        <v>747</v>
      </c>
      <c r="AQ15" s="48" t="s">
        <v>13</v>
      </c>
      <c r="AR15" s="29">
        <v>277</v>
      </c>
      <c r="AS15" s="29">
        <v>709</v>
      </c>
    </row>
    <row r="16" spans="1:45" ht="15.75" customHeight="1">
      <c r="A16" s="24">
        <v>12</v>
      </c>
      <c r="B16" s="19" t="s">
        <v>48</v>
      </c>
      <c r="C16" s="19" t="s">
        <v>30</v>
      </c>
      <c r="D16" s="11">
        <v>351</v>
      </c>
      <c r="E16" s="9">
        <v>320</v>
      </c>
      <c r="F16" s="9">
        <v>360</v>
      </c>
      <c r="G16" s="9">
        <v>351</v>
      </c>
      <c r="H16" s="9">
        <v>299</v>
      </c>
      <c r="J16" s="21">
        <v>12</v>
      </c>
      <c r="K16" s="34" t="s">
        <v>47</v>
      </c>
      <c r="L16" s="34" t="s">
        <v>30</v>
      </c>
      <c r="M16" s="34" t="s">
        <v>62</v>
      </c>
      <c r="N16" s="9">
        <v>103.14532863937222</v>
      </c>
      <c r="O16" s="9">
        <v>98.613786055629305</v>
      </c>
      <c r="P16" s="9">
        <v>99.158471294745112</v>
      </c>
      <c r="Q16" s="9">
        <v>106.08830388500252</v>
      </c>
      <c r="R16" s="9">
        <v>108.67819560892626</v>
      </c>
      <c r="T16" s="23">
        <v>12</v>
      </c>
      <c r="U16" s="35"/>
      <c r="V16" s="35"/>
      <c r="W16" s="35"/>
      <c r="X16" s="35"/>
      <c r="Y16" s="11"/>
      <c r="Z16" s="9"/>
      <c r="AA16" s="9"/>
      <c r="AB16" s="9"/>
      <c r="AC16" s="9"/>
      <c r="AE16" s="48" t="s">
        <v>14</v>
      </c>
      <c r="AF16" s="29">
        <f>600+(600-AF15)</f>
        <v>968</v>
      </c>
      <c r="AG16" s="29">
        <f>AG15</f>
        <v>700</v>
      </c>
      <c r="AH16" s="48" t="s">
        <v>14</v>
      </c>
      <c r="AI16" s="29">
        <f>600+(600-AI15)</f>
        <v>975</v>
      </c>
      <c r="AJ16" s="29">
        <f>AJ15</f>
        <v>740</v>
      </c>
      <c r="AK16" s="48" t="s">
        <v>14</v>
      </c>
      <c r="AL16" s="29">
        <f t="shared" ref="AL16" si="18">600+(600-AL15)</f>
        <v>1001</v>
      </c>
      <c r="AM16" s="29">
        <f t="shared" ref="AM16" si="19">AM15</f>
        <v>728</v>
      </c>
      <c r="AN16" s="48" t="s">
        <v>14</v>
      </c>
      <c r="AO16" s="29">
        <f t="shared" ref="AO16" si="20">600+(600-AO15)</f>
        <v>937</v>
      </c>
      <c r="AP16" s="29">
        <f t="shared" ref="AP16" si="21">AP15</f>
        <v>747</v>
      </c>
      <c r="AQ16" s="48" t="s">
        <v>14</v>
      </c>
      <c r="AR16" s="29">
        <f t="shared" ref="AR16" si="22">600+(600-AR15)</f>
        <v>923</v>
      </c>
      <c r="AS16" s="29">
        <f t="shared" ref="AS16" si="23">AS15</f>
        <v>709</v>
      </c>
    </row>
    <row r="17" spans="1:45" ht="15.75" customHeight="1">
      <c r="A17" s="24">
        <v>13</v>
      </c>
      <c r="B17" s="19" t="s">
        <v>48</v>
      </c>
      <c r="C17" s="19" t="s">
        <v>32</v>
      </c>
      <c r="D17" s="11">
        <v>655</v>
      </c>
      <c r="E17" s="9">
        <v>661.00302571168311</v>
      </c>
      <c r="F17" s="9">
        <v>703</v>
      </c>
      <c r="G17" s="9">
        <v>691</v>
      </c>
      <c r="H17" s="9">
        <v>612</v>
      </c>
      <c r="J17" s="21">
        <v>13</v>
      </c>
      <c r="K17" s="34" t="s">
        <v>47</v>
      </c>
      <c r="L17" s="34" t="s">
        <v>48</v>
      </c>
      <c r="M17" s="34" t="s">
        <v>62</v>
      </c>
      <c r="N17" s="9">
        <v>80.983709299999845</v>
      </c>
      <c r="O17" s="9">
        <v>77.741135073308726</v>
      </c>
      <c r="P17" s="9">
        <v>76.443553764665424</v>
      </c>
      <c r="Q17" s="9">
        <v>74.888551114516346</v>
      </c>
      <c r="R17" s="9">
        <v>84.659053016765043</v>
      </c>
      <c r="T17" s="23">
        <v>13</v>
      </c>
      <c r="U17" s="35"/>
      <c r="V17" s="35"/>
      <c r="W17" s="35"/>
      <c r="X17" s="35"/>
      <c r="Y17" s="11"/>
      <c r="Z17" s="9"/>
      <c r="AA17" s="9"/>
      <c r="AB17" s="9"/>
      <c r="AC17" s="9"/>
      <c r="AE17" s="48" t="s">
        <v>15</v>
      </c>
      <c r="AF17" s="29">
        <v>165</v>
      </c>
      <c r="AG17" s="29">
        <v>701</v>
      </c>
      <c r="AH17" s="48" t="s">
        <v>15</v>
      </c>
      <c r="AI17" s="29">
        <v>148</v>
      </c>
      <c r="AJ17" s="29">
        <v>743</v>
      </c>
      <c r="AK17" s="48" t="s">
        <v>15</v>
      </c>
      <c r="AL17" s="29">
        <v>105</v>
      </c>
      <c r="AM17" s="29">
        <v>743</v>
      </c>
      <c r="AN17" s="48" t="s">
        <v>15</v>
      </c>
      <c r="AO17" s="29">
        <v>196</v>
      </c>
      <c r="AP17" s="29">
        <v>743</v>
      </c>
      <c r="AQ17" s="48" t="s">
        <v>15</v>
      </c>
      <c r="AR17" s="29">
        <v>201</v>
      </c>
      <c r="AS17" s="29">
        <v>709</v>
      </c>
    </row>
    <row r="18" spans="1:45">
      <c r="A18" s="24">
        <v>14</v>
      </c>
      <c r="B18" s="19" t="s">
        <v>48</v>
      </c>
      <c r="C18" s="19" t="s">
        <v>33</v>
      </c>
      <c r="D18" s="11">
        <v>762.05314775283227</v>
      </c>
      <c r="E18" s="9">
        <v>761.00262811635548</v>
      </c>
      <c r="F18" s="9">
        <v>812</v>
      </c>
      <c r="G18" s="9">
        <v>832</v>
      </c>
      <c r="H18" s="9">
        <v>751</v>
      </c>
      <c r="J18" s="21">
        <v>14</v>
      </c>
      <c r="K18" s="44" t="s">
        <v>48</v>
      </c>
      <c r="L18" s="44" t="s">
        <v>78</v>
      </c>
      <c r="M18" s="44" t="s">
        <v>79</v>
      </c>
      <c r="N18" s="11">
        <v>43.83921932494804</v>
      </c>
      <c r="O18" s="9">
        <v>41.914936815741143</v>
      </c>
      <c r="P18" s="9">
        <v>45.215821646470502</v>
      </c>
      <c r="Q18" s="9">
        <v>44.908379604264695</v>
      </c>
      <c r="R18" s="9">
        <v>52.880089424728027</v>
      </c>
      <c r="T18" s="23">
        <v>14</v>
      </c>
      <c r="U18" s="35"/>
      <c r="V18" s="35"/>
      <c r="W18" s="35"/>
      <c r="X18" s="35"/>
      <c r="Y18" s="11"/>
      <c r="Z18" s="9"/>
      <c r="AA18" s="9"/>
      <c r="AB18" s="9"/>
      <c r="AC18" s="9"/>
      <c r="AE18" s="48" t="s">
        <v>16</v>
      </c>
      <c r="AF18" s="29">
        <f>600+(600-AF17)</f>
        <v>1035</v>
      </c>
      <c r="AG18" s="29">
        <f>AG17</f>
        <v>701</v>
      </c>
      <c r="AH18" s="48" t="s">
        <v>16</v>
      </c>
      <c r="AI18" s="29">
        <f>600+(600-AI17)</f>
        <v>1052</v>
      </c>
      <c r="AJ18" s="29">
        <f>AJ17</f>
        <v>743</v>
      </c>
      <c r="AK18" s="48" t="s">
        <v>16</v>
      </c>
      <c r="AL18" s="29">
        <f t="shared" ref="AL18" si="24">600+(600-AL17)</f>
        <v>1095</v>
      </c>
      <c r="AM18" s="29">
        <f t="shared" ref="AM18" si="25">AM17</f>
        <v>743</v>
      </c>
      <c r="AN18" s="48" t="s">
        <v>16</v>
      </c>
      <c r="AO18" s="29">
        <f t="shared" ref="AO18" si="26">600+(600-AO17)</f>
        <v>1004</v>
      </c>
      <c r="AP18" s="29">
        <f t="shared" ref="AP18" si="27">AP17</f>
        <v>743</v>
      </c>
      <c r="AQ18" s="48" t="s">
        <v>16</v>
      </c>
      <c r="AR18" s="29">
        <f t="shared" ref="AR18" si="28">600+(600-AR17)</f>
        <v>999</v>
      </c>
      <c r="AS18" s="29">
        <f t="shared" ref="AS18" si="29">AS17</f>
        <v>709</v>
      </c>
    </row>
    <row r="19" spans="1:45">
      <c r="A19" s="24">
        <v>15</v>
      </c>
      <c r="B19" s="19" t="s">
        <v>48</v>
      </c>
      <c r="C19" s="19" t="s">
        <v>34</v>
      </c>
      <c r="D19" s="11">
        <v>1031</v>
      </c>
      <c r="E19" s="9">
        <v>986</v>
      </c>
      <c r="F19" s="9">
        <v>1041</v>
      </c>
      <c r="G19" s="9">
        <v>1070</v>
      </c>
      <c r="H19" s="9">
        <v>1010</v>
      </c>
      <c r="J19" s="21">
        <v>15</v>
      </c>
      <c r="K19" s="44" t="s">
        <v>80</v>
      </c>
      <c r="L19" s="44" t="s">
        <v>78</v>
      </c>
      <c r="M19" s="44" t="s">
        <v>79</v>
      </c>
      <c r="N19" s="11">
        <v>12.270248195629685</v>
      </c>
      <c r="O19" s="9">
        <v>20.773134112591922</v>
      </c>
      <c r="P19" s="9">
        <v>22.804037423516597</v>
      </c>
      <c r="Q19" s="9">
        <v>15.930600348117265</v>
      </c>
      <c r="R19" s="9">
        <v>21.64016475393549</v>
      </c>
      <c r="T19" s="23">
        <v>15</v>
      </c>
      <c r="U19" s="35"/>
      <c r="V19" s="35"/>
      <c r="W19" s="35"/>
      <c r="X19" s="35"/>
      <c r="Y19" s="11"/>
      <c r="Z19" s="9"/>
      <c r="AA19" s="9"/>
      <c r="AB19" s="9"/>
      <c r="AC19" s="9"/>
      <c r="AE19" s="48" t="s">
        <v>17</v>
      </c>
      <c r="AF19" s="29">
        <v>244</v>
      </c>
      <c r="AG19" s="29">
        <v>17</v>
      </c>
      <c r="AH19" s="48" t="s">
        <v>17</v>
      </c>
      <c r="AI19" s="29">
        <v>223</v>
      </c>
      <c r="AJ19" s="29">
        <v>70</v>
      </c>
      <c r="AK19" s="48" t="s">
        <v>17</v>
      </c>
      <c r="AL19" s="29">
        <v>198</v>
      </c>
      <c r="AM19" s="29">
        <v>27</v>
      </c>
      <c r="AN19" s="48" t="s">
        <v>17</v>
      </c>
      <c r="AO19" s="29">
        <v>305</v>
      </c>
      <c r="AP19" s="29">
        <v>40</v>
      </c>
      <c r="AQ19" s="48" t="s">
        <v>17</v>
      </c>
      <c r="AR19" s="29">
        <v>337</v>
      </c>
      <c r="AS19" s="29">
        <v>50</v>
      </c>
    </row>
    <row r="20" spans="1:45">
      <c r="A20" s="24">
        <v>16</v>
      </c>
      <c r="B20" s="19" t="s">
        <v>50</v>
      </c>
      <c r="C20" s="19" t="s">
        <v>51</v>
      </c>
      <c r="D20" s="11">
        <v>51</v>
      </c>
      <c r="E20" s="9">
        <v>70.028565600046392</v>
      </c>
      <c r="F20" s="9">
        <v>49.254441424099006</v>
      </c>
      <c r="G20" s="9">
        <v>53.150729063673246</v>
      </c>
      <c r="H20" s="9">
        <v>47.042533945356304</v>
      </c>
      <c r="I20" s="3"/>
      <c r="J20" s="21">
        <v>16</v>
      </c>
      <c r="K20" s="44" t="s">
        <v>48</v>
      </c>
      <c r="L20" s="44" t="s">
        <v>81</v>
      </c>
      <c r="M20" s="44" t="s">
        <v>79</v>
      </c>
      <c r="N20" s="11">
        <v>93.132634266030379</v>
      </c>
      <c r="O20" s="9">
        <v>104.29721434562779</v>
      </c>
      <c r="P20" s="9">
        <v>115.17528214465059</v>
      </c>
      <c r="Q20" s="9">
        <v>100.66918369350996</v>
      </c>
      <c r="R20" s="9">
        <v>93.388813076397682</v>
      </c>
      <c r="T20" s="23">
        <v>16</v>
      </c>
      <c r="U20" s="35"/>
      <c r="V20" s="35"/>
      <c r="W20" s="35"/>
      <c r="X20" s="35"/>
      <c r="Y20" s="11"/>
      <c r="Z20" s="9"/>
      <c r="AA20" s="9"/>
      <c r="AB20" s="9"/>
      <c r="AC20" s="9"/>
      <c r="AE20" s="48" t="s">
        <v>18</v>
      </c>
      <c r="AF20" s="29">
        <v>600</v>
      </c>
      <c r="AG20" s="29">
        <v>149</v>
      </c>
      <c r="AH20" s="48" t="s">
        <v>18</v>
      </c>
      <c r="AI20" s="29">
        <v>600</v>
      </c>
      <c r="AJ20" s="29">
        <v>194</v>
      </c>
      <c r="AK20" s="48" t="s">
        <v>18</v>
      </c>
      <c r="AL20" s="29">
        <v>600</v>
      </c>
      <c r="AM20" s="29">
        <v>139</v>
      </c>
      <c r="AN20" s="48" t="s">
        <v>18</v>
      </c>
      <c r="AO20" s="29">
        <v>600</v>
      </c>
      <c r="AP20" s="29">
        <v>110</v>
      </c>
      <c r="AQ20" s="48" t="s">
        <v>18</v>
      </c>
      <c r="AR20" s="29">
        <v>600</v>
      </c>
      <c r="AS20" s="29">
        <v>170</v>
      </c>
    </row>
    <row r="21" spans="1:45">
      <c r="A21" s="24">
        <v>17</v>
      </c>
      <c r="B21" s="19" t="s">
        <v>65</v>
      </c>
      <c r="C21" s="19" t="s">
        <v>66</v>
      </c>
      <c r="D21" s="11">
        <v>269.15051551130273</v>
      </c>
      <c r="E21" s="9">
        <v>225.00888871331284</v>
      </c>
      <c r="F21" s="9">
        <v>229</v>
      </c>
      <c r="G21" s="9">
        <v>238</v>
      </c>
      <c r="H21" s="9">
        <v>259</v>
      </c>
      <c r="I21" s="3"/>
      <c r="J21" s="21">
        <v>17</v>
      </c>
      <c r="K21" s="44" t="s">
        <v>80</v>
      </c>
      <c r="L21" s="44" t="s">
        <v>81</v>
      </c>
      <c r="M21" s="44" t="s">
        <v>79</v>
      </c>
      <c r="N21" s="11">
        <v>14.367429256341889</v>
      </c>
      <c r="O21" s="9">
        <v>23.955759378706723</v>
      </c>
      <c r="P21" s="9">
        <v>27.234047849641122</v>
      </c>
      <c r="Q21" s="9">
        <v>19.73860254588028</v>
      </c>
      <c r="R21" s="9">
        <v>19.486047730822424</v>
      </c>
      <c r="T21" s="23">
        <v>17</v>
      </c>
      <c r="U21" s="35"/>
      <c r="V21" s="35"/>
      <c r="W21" s="35"/>
      <c r="X21" s="35"/>
      <c r="Y21" s="11"/>
      <c r="Z21" s="9"/>
      <c r="AA21" s="9"/>
      <c r="AB21" s="9"/>
      <c r="AC21" s="9"/>
      <c r="AE21" s="48" t="s">
        <v>19</v>
      </c>
      <c r="AF21" s="29">
        <f>600+(600-AF19)</f>
        <v>956</v>
      </c>
      <c r="AG21" s="29">
        <f>AG19</f>
        <v>17</v>
      </c>
      <c r="AH21" s="48" t="s">
        <v>19</v>
      </c>
      <c r="AI21" s="29">
        <f>600+(600-AI19)</f>
        <v>977</v>
      </c>
      <c r="AJ21" s="29">
        <f>AJ19</f>
        <v>70</v>
      </c>
      <c r="AK21" s="48" t="s">
        <v>19</v>
      </c>
      <c r="AL21" s="29">
        <f t="shared" ref="AL21" si="30">600+(600-AL19)</f>
        <v>1002</v>
      </c>
      <c r="AM21" s="29">
        <f t="shared" ref="AM21" si="31">AM19</f>
        <v>27</v>
      </c>
      <c r="AN21" s="48" t="s">
        <v>19</v>
      </c>
      <c r="AO21" s="29">
        <f t="shared" ref="AO21" si="32">600+(600-AO19)</f>
        <v>895</v>
      </c>
      <c r="AP21" s="29">
        <f t="shared" ref="AP21" si="33">AP19</f>
        <v>40</v>
      </c>
      <c r="AQ21" s="48" t="s">
        <v>19</v>
      </c>
      <c r="AR21" s="29">
        <f t="shared" ref="AR21" si="34">600+(600-AR19)</f>
        <v>863</v>
      </c>
      <c r="AS21" s="29">
        <f t="shared" ref="AS21" si="35">AS19</f>
        <v>50</v>
      </c>
    </row>
    <row r="22" spans="1:45">
      <c r="A22" s="24">
        <v>18</v>
      </c>
      <c r="B22" s="19" t="s">
        <v>76</v>
      </c>
      <c r="C22" s="19" t="s">
        <v>75</v>
      </c>
      <c r="D22" s="11">
        <v>28.460498941515414</v>
      </c>
      <c r="E22" s="9">
        <v>38.639358172723313</v>
      </c>
      <c r="F22" s="9">
        <v>39</v>
      </c>
      <c r="G22" s="9">
        <v>31.256999216175569</v>
      </c>
      <c r="H22" s="9">
        <v>34.205262752974143</v>
      </c>
      <c r="I22" s="3"/>
      <c r="J22" s="21">
        <v>18</v>
      </c>
      <c r="K22" s="34"/>
      <c r="L22" s="34"/>
      <c r="M22" s="34"/>
      <c r="N22" s="11"/>
      <c r="O22" s="9"/>
      <c r="P22" s="9"/>
      <c r="Q22" s="9"/>
      <c r="R22" s="9"/>
      <c r="T22" s="23">
        <v>18</v>
      </c>
      <c r="U22" s="35"/>
      <c r="V22" s="35"/>
      <c r="W22" s="35"/>
      <c r="X22" s="35"/>
      <c r="Y22" s="11"/>
      <c r="Z22" s="9"/>
      <c r="AA22" s="9"/>
      <c r="AB22" s="9"/>
      <c r="AC22" s="9"/>
      <c r="AE22" s="48" t="s">
        <v>20</v>
      </c>
      <c r="AF22" s="29">
        <v>362</v>
      </c>
      <c r="AG22" s="29">
        <v>579</v>
      </c>
      <c r="AH22" s="48" t="s">
        <v>20</v>
      </c>
      <c r="AI22" s="29">
        <v>341</v>
      </c>
      <c r="AJ22" s="29">
        <v>611</v>
      </c>
      <c r="AK22" s="48" t="s">
        <v>20</v>
      </c>
      <c r="AL22" s="29">
        <v>343</v>
      </c>
      <c r="AM22" s="29">
        <v>612</v>
      </c>
      <c r="AN22" s="49" t="s">
        <v>20</v>
      </c>
      <c r="AO22" s="30">
        <v>362</v>
      </c>
      <c r="AP22" s="30">
        <v>573</v>
      </c>
      <c r="AQ22" s="48" t="s">
        <v>20</v>
      </c>
      <c r="AR22" s="29">
        <v>372</v>
      </c>
      <c r="AS22" s="29">
        <v>552</v>
      </c>
    </row>
    <row r="23" spans="1:45">
      <c r="A23" s="24">
        <v>19</v>
      </c>
      <c r="B23" s="19" t="s">
        <v>73</v>
      </c>
      <c r="C23" s="19" t="s">
        <v>74</v>
      </c>
      <c r="D23" s="11">
        <v>217.02073633641555</v>
      </c>
      <c r="E23" s="9">
        <v>173.4156855650607</v>
      </c>
      <c r="F23" s="9">
        <v>165.38742394752995</v>
      </c>
      <c r="G23" s="9">
        <v>185.21878954360974</v>
      </c>
      <c r="H23" s="9">
        <v>177.49647883831386</v>
      </c>
      <c r="I23" s="3"/>
      <c r="J23" s="21">
        <v>19</v>
      </c>
      <c r="K23" s="34"/>
      <c r="L23" s="34"/>
      <c r="M23" s="34"/>
      <c r="N23" s="11"/>
      <c r="O23" s="9"/>
      <c r="P23" s="9"/>
      <c r="Q23" s="9"/>
      <c r="R23" s="9"/>
      <c r="T23" s="23">
        <v>19</v>
      </c>
      <c r="U23" s="35"/>
      <c r="V23" s="35"/>
      <c r="W23" s="35"/>
      <c r="X23" s="35"/>
      <c r="Y23" s="11"/>
      <c r="Z23" s="9"/>
      <c r="AA23" s="9"/>
      <c r="AB23" s="9"/>
      <c r="AC23" s="9"/>
      <c r="AE23" s="48" t="s">
        <v>21</v>
      </c>
      <c r="AF23" s="29">
        <v>446</v>
      </c>
      <c r="AG23" s="29">
        <v>588</v>
      </c>
      <c r="AH23" s="49" t="s">
        <v>21</v>
      </c>
      <c r="AI23" s="30">
        <v>423</v>
      </c>
      <c r="AJ23" s="30">
        <v>636</v>
      </c>
      <c r="AK23" s="48" t="s">
        <v>21</v>
      </c>
      <c r="AL23" s="29">
        <v>423</v>
      </c>
      <c r="AM23" s="29">
        <v>624</v>
      </c>
      <c r="AN23" s="49" t="s">
        <v>21</v>
      </c>
      <c r="AO23" s="30">
        <v>441</v>
      </c>
      <c r="AP23" s="30">
        <v>587</v>
      </c>
      <c r="AQ23" s="48" t="s">
        <v>21</v>
      </c>
      <c r="AR23" s="29">
        <v>447</v>
      </c>
      <c r="AS23" s="29">
        <v>566</v>
      </c>
    </row>
    <row r="24" spans="1:45">
      <c r="A24" s="24">
        <v>20</v>
      </c>
      <c r="B24" s="19"/>
      <c r="C24" s="19"/>
      <c r="D24" s="9"/>
      <c r="E24" s="9"/>
      <c r="F24" s="9"/>
      <c r="G24" s="9"/>
      <c r="H24" s="9"/>
      <c r="I24" s="3"/>
      <c r="J24" s="21">
        <v>20</v>
      </c>
      <c r="K24" s="34"/>
      <c r="L24" s="34"/>
      <c r="M24" s="34"/>
      <c r="N24" s="11"/>
      <c r="O24" s="9"/>
      <c r="P24" s="9"/>
      <c r="Q24" s="9"/>
      <c r="R24" s="9"/>
      <c r="T24" s="23">
        <v>20</v>
      </c>
      <c r="U24" s="35"/>
      <c r="V24" s="35"/>
      <c r="W24" s="35"/>
      <c r="X24" s="35"/>
      <c r="Y24" s="11"/>
      <c r="Z24" s="9"/>
      <c r="AA24" s="9"/>
      <c r="AB24" s="9"/>
      <c r="AC24" s="9"/>
      <c r="AE24" s="48" t="s">
        <v>22</v>
      </c>
      <c r="AF24" s="29">
        <v>517</v>
      </c>
      <c r="AG24" s="29">
        <v>580</v>
      </c>
      <c r="AH24" s="49" t="s">
        <v>22</v>
      </c>
      <c r="AI24" s="30">
        <v>498</v>
      </c>
      <c r="AJ24" s="30">
        <v>616</v>
      </c>
      <c r="AK24" s="48" t="s">
        <v>22</v>
      </c>
      <c r="AL24" s="29">
        <v>500</v>
      </c>
      <c r="AM24" s="29">
        <v>595</v>
      </c>
      <c r="AN24" s="49" t="s">
        <v>22</v>
      </c>
      <c r="AO24" s="30">
        <v>517</v>
      </c>
      <c r="AP24" s="30">
        <v>573</v>
      </c>
      <c r="AQ24" s="48" t="s">
        <v>22</v>
      </c>
      <c r="AR24" s="29">
        <v>519</v>
      </c>
      <c r="AS24" s="29">
        <v>557</v>
      </c>
    </row>
    <row r="25" spans="1:45" ht="15.75" customHeight="1">
      <c r="A25" s="24">
        <v>21</v>
      </c>
      <c r="B25" s="19"/>
      <c r="C25" s="19"/>
      <c r="D25" s="9"/>
      <c r="E25" s="9"/>
      <c r="F25" s="9"/>
      <c r="G25" s="9"/>
      <c r="H25" s="9"/>
      <c r="I25" s="3"/>
      <c r="J25" s="21">
        <v>21</v>
      </c>
      <c r="K25" s="34"/>
      <c r="L25" s="34"/>
      <c r="M25" s="34"/>
      <c r="N25" s="11"/>
      <c r="O25" s="9"/>
      <c r="P25" s="9"/>
      <c r="Q25" s="9"/>
      <c r="R25" s="9"/>
      <c r="T25" s="23">
        <v>21</v>
      </c>
      <c r="U25" s="35"/>
      <c r="V25" s="35"/>
      <c r="W25" s="35"/>
      <c r="X25" s="35"/>
      <c r="Y25" s="11"/>
      <c r="Z25" s="9"/>
      <c r="AA25" s="9"/>
      <c r="AB25" s="9"/>
      <c r="AC25" s="9"/>
      <c r="AE25" s="48" t="s">
        <v>23</v>
      </c>
      <c r="AF25" s="29">
        <v>446</v>
      </c>
      <c r="AG25" s="29">
        <v>537</v>
      </c>
      <c r="AH25" s="49" t="s">
        <v>23</v>
      </c>
      <c r="AI25" s="30">
        <v>425</v>
      </c>
      <c r="AJ25" s="30">
        <v>566</v>
      </c>
      <c r="AK25" s="48" t="s">
        <v>23</v>
      </c>
      <c r="AL25" s="29">
        <v>428</v>
      </c>
      <c r="AM25" s="29">
        <v>575</v>
      </c>
      <c r="AN25" s="49" t="s">
        <v>23</v>
      </c>
      <c r="AO25" s="30">
        <v>437</v>
      </c>
      <c r="AP25" s="30">
        <v>534</v>
      </c>
      <c r="AQ25" s="48" t="s">
        <v>23</v>
      </c>
      <c r="AR25" s="29">
        <v>449</v>
      </c>
      <c r="AS25" s="29">
        <v>519</v>
      </c>
    </row>
    <row r="26" spans="1:45" ht="16.5" customHeight="1">
      <c r="A26" s="24">
        <v>22</v>
      </c>
      <c r="B26" s="19"/>
      <c r="C26" s="19"/>
      <c r="D26" s="9"/>
      <c r="E26" s="9"/>
      <c r="F26" s="9"/>
      <c r="G26" s="9"/>
      <c r="H26" s="9"/>
      <c r="I26" s="3"/>
      <c r="J26" s="21">
        <v>22</v>
      </c>
      <c r="K26" s="34"/>
      <c r="L26" s="34"/>
      <c r="M26" s="34"/>
      <c r="N26" s="11"/>
      <c r="O26" s="9"/>
      <c r="P26" s="9"/>
      <c r="Q26" s="9"/>
      <c r="R26" s="9"/>
      <c r="T26" s="23">
        <v>22</v>
      </c>
      <c r="U26" s="35"/>
      <c r="V26" s="35"/>
      <c r="W26" s="35"/>
      <c r="X26" s="35"/>
      <c r="Y26" s="11"/>
      <c r="Z26" s="9"/>
      <c r="AA26" s="9"/>
      <c r="AB26" s="9"/>
      <c r="AC26" s="9"/>
      <c r="AE26" s="48" t="s">
        <v>24</v>
      </c>
      <c r="AF26" s="31">
        <v>1180</v>
      </c>
      <c r="AG26" s="31">
        <v>1180</v>
      </c>
      <c r="AH26" s="49" t="s">
        <v>24</v>
      </c>
      <c r="AI26" s="30">
        <v>1180</v>
      </c>
      <c r="AJ26" s="30">
        <v>1180</v>
      </c>
      <c r="AK26" s="48" t="s">
        <v>24</v>
      </c>
      <c r="AL26" s="31">
        <v>1180</v>
      </c>
      <c r="AM26" s="31">
        <v>1180</v>
      </c>
      <c r="AN26" s="49" t="s">
        <v>24</v>
      </c>
      <c r="AO26" s="30">
        <v>1180</v>
      </c>
      <c r="AP26" s="30">
        <v>1180</v>
      </c>
      <c r="AQ26" s="32" t="s">
        <v>24</v>
      </c>
      <c r="AR26" s="31">
        <v>1180</v>
      </c>
      <c r="AS26" s="31">
        <v>1180</v>
      </c>
    </row>
    <row r="27" spans="1:45">
      <c r="A27" s="24">
        <v>23</v>
      </c>
      <c r="B27" s="19"/>
      <c r="C27" s="19"/>
      <c r="D27" s="9"/>
      <c r="E27" s="9"/>
      <c r="F27" s="9"/>
      <c r="G27" s="9"/>
      <c r="H27" s="9"/>
      <c r="J27" s="21">
        <v>23</v>
      </c>
      <c r="K27" s="34"/>
      <c r="L27" s="34"/>
      <c r="M27" s="34"/>
      <c r="N27" s="11"/>
      <c r="O27" s="9"/>
      <c r="P27" s="9"/>
      <c r="Q27" s="9"/>
      <c r="R27" s="9"/>
      <c r="T27" s="23">
        <v>23</v>
      </c>
      <c r="U27" s="35"/>
      <c r="V27" s="35"/>
      <c r="W27" s="35"/>
      <c r="X27" s="35"/>
      <c r="Y27" s="11"/>
      <c r="Z27" s="9"/>
      <c r="AA27" s="9"/>
      <c r="AB27" s="9"/>
      <c r="AC27" s="9"/>
      <c r="AE27" s="46" t="s">
        <v>67</v>
      </c>
      <c r="AF27" s="8">
        <v>600</v>
      </c>
      <c r="AG27" s="37">
        <v>0</v>
      </c>
      <c r="AH27" s="46" t="s">
        <v>67</v>
      </c>
      <c r="AI27" s="9">
        <v>600</v>
      </c>
      <c r="AJ27" s="38">
        <v>0</v>
      </c>
      <c r="AK27" s="46" t="s">
        <v>67</v>
      </c>
      <c r="AL27" s="8">
        <v>600</v>
      </c>
      <c r="AM27" s="37">
        <v>0</v>
      </c>
      <c r="AN27" s="46" t="s">
        <v>67</v>
      </c>
      <c r="AO27" s="9">
        <v>600</v>
      </c>
      <c r="AP27" s="38">
        <v>0</v>
      </c>
      <c r="AQ27" s="46" t="s">
        <v>67</v>
      </c>
      <c r="AR27" s="8">
        <v>600</v>
      </c>
      <c r="AS27" s="37">
        <v>0</v>
      </c>
    </row>
    <row r="28" spans="1:45" s="7" customFormat="1">
      <c r="A28" s="24">
        <v>24</v>
      </c>
      <c r="B28" s="19"/>
      <c r="C28" s="19"/>
      <c r="D28" s="17"/>
      <c r="E28" s="12"/>
      <c r="F28" s="12"/>
      <c r="G28" s="12"/>
      <c r="H28" s="12"/>
      <c r="J28" s="21">
        <v>24</v>
      </c>
      <c r="K28" s="34"/>
      <c r="L28" s="34"/>
      <c r="M28" s="34"/>
      <c r="N28" s="17"/>
      <c r="O28" s="12"/>
      <c r="P28" s="12"/>
      <c r="Q28" s="12"/>
      <c r="R28" s="12"/>
      <c r="T28" s="23">
        <v>24</v>
      </c>
      <c r="U28" s="35"/>
      <c r="V28" s="35"/>
      <c r="W28" s="35"/>
      <c r="X28" s="35"/>
      <c r="Y28" s="17"/>
      <c r="Z28" s="12"/>
      <c r="AA28" s="12"/>
      <c r="AB28" s="12"/>
      <c r="AC28" s="12"/>
      <c r="AE28" s="46" t="s">
        <v>68</v>
      </c>
      <c r="AF28" s="8">
        <v>439</v>
      </c>
      <c r="AG28" s="37">
        <v>458</v>
      </c>
      <c r="AH28" s="46" t="s">
        <v>68</v>
      </c>
      <c r="AI28" s="9">
        <v>426</v>
      </c>
      <c r="AJ28" s="38">
        <v>474</v>
      </c>
      <c r="AK28" s="46" t="s">
        <v>68</v>
      </c>
      <c r="AL28" s="8">
        <v>418</v>
      </c>
      <c r="AM28" s="37">
        <v>470</v>
      </c>
      <c r="AN28" s="46" t="s">
        <v>68</v>
      </c>
      <c r="AO28" s="9">
        <v>427</v>
      </c>
      <c r="AP28" s="38">
        <v>430</v>
      </c>
      <c r="AQ28" s="46" t="s">
        <v>68</v>
      </c>
      <c r="AR28" s="8">
        <v>440</v>
      </c>
      <c r="AS28" s="37">
        <v>422</v>
      </c>
    </row>
    <row r="29" spans="1:45">
      <c r="A29" s="24">
        <v>25</v>
      </c>
      <c r="B29" s="19"/>
      <c r="C29" s="19"/>
      <c r="D29" s="18"/>
      <c r="E29" s="13"/>
      <c r="F29" s="9"/>
      <c r="G29" s="9"/>
      <c r="H29" s="9"/>
      <c r="J29" s="21">
        <v>25</v>
      </c>
      <c r="K29" s="34"/>
      <c r="L29" s="34"/>
      <c r="M29" s="34"/>
      <c r="N29" s="11"/>
      <c r="O29" s="9"/>
      <c r="P29" s="9"/>
      <c r="Q29" s="9"/>
      <c r="R29" s="9"/>
      <c r="T29" s="23">
        <v>25</v>
      </c>
      <c r="U29" s="35"/>
      <c r="V29" s="35"/>
      <c r="W29" s="35"/>
      <c r="X29" s="35"/>
      <c r="Y29" s="11"/>
      <c r="Z29" s="9"/>
      <c r="AA29" s="9"/>
      <c r="AB29" s="9"/>
      <c r="AC29" s="9"/>
      <c r="AE29" s="46" t="s">
        <v>69</v>
      </c>
      <c r="AF29" s="8">
        <v>327</v>
      </c>
      <c r="AG29" s="37">
        <v>500</v>
      </c>
      <c r="AH29" s="46" t="s">
        <v>69</v>
      </c>
      <c r="AI29" s="9">
        <v>338</v>
      </c>
      <c r="AJ29" s="38">
        <v>526</v>
      </c>
      <c r="AK29" s="46" t="s">
        <v>69</v>
      </c>
      <c r="AL29" s="8">
        <v>335</v>
      </c>
      <c r="AM29" s="37">
        <v>524</v>
      </c>
      <c r="AN29" s="46" t="s">
        <v>69</v>
      </c>
      <c r="AO29" s="9">
        <v>327</v>
      </c>
      <c r="AP29" s="38">
        <v>475</v>
      </c>
      <c r="AQ29" s="46" t="s">
        <v>69</v>
      </c>
      <c r="AR29" s="8">
        <v>353</v>
      </c>
      <c r="AS29" s="37">
        <v>449</v>
      </c>
    </row>
    <row r="30" spans="1:45">
      <c r="A30" s="24">
        <v>26</v>
      </c>
      <c r="B30" s="19"/>
      <c r="C30" s="19"/>
      <c r="D30" s="11"/>
      <c r="E30" s="9"/>
      <c r="F30" s="9"/>
      <c r="G30" s="9"/>
      <c r="H30" s="9"/>
      <c r="J30" s="21">
        <v>26</v>
      </c>
      <c r="K30" s="34"/>
      <c r="L30" s="34"/>
      <c r="M30" s="34"/>
      <c r="N30" s="11"/>
      <c r="O30" s="9"/>
      <c r="P30" s="9"/>
      <c r="Q30" s="9"/>
      <c r="R30" s="9"/>
      <c r="T30" s="23">
        <v>26</v>
      </c>
      <c r="U30" s="35"/>
      <c r="V30" s="35"/>
      <c r="W30" s="35"/>
      <c r="X30" s="35"/>
      <c r="Y30" s="11"/>
      <c r="Z30" s="9"/>
      <c r="AA30" s="9"/>
      <c r="AB30" s="9"/>
      <c r="AC30" s="9"/>
      <c r="AE30" s="46" t="s">
        <v>70</v>
      </c>
      <c r="AF30" s="8">
        <v>544</v>
      </c>
      <c r="AG30" s="37">
        <v>497</v>
      </c>
      <c r="AH30" s="46" t="s">
        <v>70</v>
      </c>
      <c r="AI30" s="9">
        <v>511</v>
      </c>
      <c r="AJ30" s="38">
        <v>514</v>
      </c>
      <c r="AK30" s="46" t="s">
        <v>70</v>
      </c>
      <c r="AL30" s="8">
        <v>498</v>
      </c>
      <c r="AM30" s="37">
        <v>496</v>
      </c>
      <c r="AN30" s="46" t="s">
        <v>70</v>
      </c>
      <c r="AO30" s="9">
        <v>512</v>
      </c>
      <c r="AP30" s="38">
        <v>466</v>
      </c>
      <c r="AQ30" s="46" t="s">
        <v>70</v>
      </c>
      <c r="AR30" s="8">
        <v>529</v>
      </c>
      <c r="AS30" s="37">
        <v>472</v>
      </c>
    </row>
    <row r="31" spans="1:45">
      <c r="A31" s="24">
        <v>27</v>
      </c>
      <c r="B31" s="19"/>
      <c r="C31" s="19"/>
      <c r="D31" s="11"/>
      <c r="E31" s="9"/>
      <c r="F31" s="9"/>
      <c r="G31" s="9"/>
      <c r="H31" s="9"/>
      <c r="J31" s="21">
        <v>27</v>
      </c>
      <c r="K31" s="34"/>
      <c r="L31" s="34"/>
      <c r="M31" s="34"/>
      <c r="N31" s="11"/>
      <c r="O31" s="9"/>
      <c r="P31" s="9"/>
      <c r="Q31" s="9"/>
      <c r="R31" s="9"/>
      <c r="T31" s="23">
        <v>27</v>
      </c>
      <c r="U31" s="35"/>
      <c r="V31" s="35"/>
      <c r="W31" s="35"/>
      <c r="X31" s="35"/>
      <c r="Y31" s="11"/>
      <c r="Z31" s="9"/>
      <c r="AA31" s="9"/>
      <c r="AB31" s="9"/>
      <c r="AC31" s="9"/>
      <c r="AE31" s="46" t="s">
        <v>71</v>
      </c>
      <c r="AF31" s="8">
        <v>430</v>
      </c>
      <c r="AG31" s="37">
        <v>485</v>
      </c>
      <c r="AH31" s="46" t="s">
        <v>71</v>
      </c>
      <c r="AI31" s="9">
        <v>419</v>
      </c>
      <c r="AJ31" s="38">
        <v>512</v>
      </c>
      <c r="AK31" s="46" t="s">
        <v>71</v>
      </c>
      <c r="AL31" s="8">
        <v>418</v>
      </c>
      <c r="AM31" s="37">
        <v>509</v>
      </c>
      <c r="AN31" s="46" t="s">
        <v>71</v>
      </c>
      <c r="AO31" s="9">
        <v>423</v>
      </c>
      <c r="AP31" s="38">
        <v>461</v>
      </c>
      <c r="AQ31" s="46" t="s">
        <v>71</v>
      </c>
      <c r="AR31" s="8">
        <v>431</v>
      </c>
      <c r="AS31" s="37">
        <v>455</v>
      </c>
    </row>
    <row r="32" spans="1:45">
      <c r="A32" s="24">
        <v>28</v>
      </c>
      <c r="B32" s="19"/>
      <c r="C32" s="19"/>
      <c r="D32" s="11"/>
      <c r="E32" s="9"/>
      <c r="F32" s="9"/>
      <c r="G32" s="9"/>
      <c r="H32" s="9"/>
      <c r="J32" s="21">
        <v>28</v>
      </c>
      <c r="K32" s="34"/>
      <c r="L32" s="34"/>
      <c r="M32" s="34"/>
      <c r="N32" s="11"/>
      <c r="O32" s="9"/>
      <c r="P32" s="9"/>
      <c r="Q32" s="9"/>
      <c r="R32" s="9"/>
      <c r="T32" s="23">
        <v>28</v>
      </c>
      <c r="U32" s="35"/>
      <c r="V32" s="35"/>
      <c r="W32" s="35"/>
      <c r="X32" s="35"/>
      <c r="Y32" s="11"/>
      <c r="Z32" s="9"/>
      <c r="AA32" s="9"/>
      <c r="AB32" s="9"/>
      <c r="AC32" s="9"/>
      <c r="AE32" s="46"/>
      <c r="AF32" s="8"/>
      <c r="AG32" s="37"/>
      <c r="AH32" s="46"/>
      <c r="AI32" s="9"/>
      <c r="AJ32" s="38"/>
      <c r="AK32" s="46"/>
      <c r="AL32" s="8"/>
      <c r="AM32" s="37"/>
      <c r="AN32" s="46"/>
      <c r="AO32" s="9"/>
      <c r="AP32" s="38"/>
      <c r="AQ32" s="46"/>
      <c r="AR32" s="8"/>
      <c r="AS32" s="37"/>
    </row>
    <row r="33" spans="1:45">
      <c r="A33" s="24">
        <v>29</v>
      </c>
      <c r="B33" s="19"/>
      <c r="C33" s="19"/>
      <c r="D33" s="11"/>
      <c r="E33" s="9"/>
      <c r="F33" s="9"/>
      <c r="G33" s="9"/>
      <c r="H33" s="9"/>
      <c r="J33" s="21">
        <v>29</v>
      </c>
      <c r="K33" s="34"/>
      <c r="L33" s="34"/>
      <c r="M33" s="34"/>
      <c r="N33" s="11"/>
      <c r="O33" s="9"/>
      <c r="P33" s="9"/>
      <c r="Q33" s="9"/>
      <c r="R33" s="9"/>
      <c r="T33" s="23">
        <v>29</v>
      </c>
      <c r="U33" s="35"/>
      <c r="V33" s="35"/>
      <c r="W33" s="35"/>
      <c r="X33" s="35"/>
      <c r="Y33" s="11"/>
      <c r="Z33" s="9"/>
      <c r="AA33" s="9"/>
      <c r="AB33" s="9"/>
      <c r="AC33" s="9"/>
      <c r="AE33" s="46"/>
      <c r="AF33" s="8"/>
      <c r="AG33" s="37"/>
      <c r="AH33" s="47"/>
      <c r="AI33" s="9"/>
      <c r="AJ33" s="38"/>
      <c r="AK33" s="46"/>
      <c r="AL33" s="8"/>
      <c r="AM33" s="37"/>
      <c r="AN33" s="47"/>
      <c r="AO33" s="9"/>
      <c r="AP33" s="38"/>
      <c r="AQ33" s="46"/>
      <c r="AR33" s="8"/>
      <c r="AS33" s="37"/>
    </row>
    <row r="34" spans="1:45">
      <c r="A34" s="24">
        <v>30</v>
      </c>
      <c r="B34" s="19"/>
      <c r="C34" s="19"/>
      <c r="D34" s="11"/>
      <c r="E34" s="9"/>
      <c r="F34" s="9"/>
      <c r="G34" s="9"/>
      <c r="H34" s="9"/>
      <c r="J34" s="21">
        <v>30</v>
      </c>
      <c r="K34" s="34"/>
      <c r="L34" s="34"/>
      <c r="M34" s="34"/>
      <c r="N34" s="11"/>
      <c r="O34" s="9"/>
      <c r="P34" s="9"/>
      <c r="Q34" s="9"/>
      <c r="R34" s="9"/>
      <c r="T34" s="23">
        <v>30</v>
      </c>
      <c r="U34" s="35"/>
      <c r="V34" s="35"/>
      <c r="W34" s="35"/>
      <c r="X34" s="35"/>
      <c r="Y34" s="11"/>
      <c r="Z34" s="9"/>
      <c r="AA34" s="9"/>
      <c r="AB34" s="9"/>
      <c r="AC34" s="9"/>
      <c r="AE34" s="36"/>
      <c r="AF34" s="8"/>
      <c r="AG34" s="6"/>
      <c r="AH34" s="5"/>
      <c r="AI34" s="9"/>
      <c r="AJ34" s="16"/>
      <c r="AK34" s="36"/>
      <c r="AL34" s="8"/>
      <c r="AM34" s="6"/>
      <c r="AN34" s="5"/>
      <c r="AO34" s="9"/>
      <c r="AP34" s="16"/>
      <c r="AQ34" s="36"/>
      <c r="AR34" s="8"/>
      <c r="AS34" s="6"/>
    </row>
    <row r="35" spans="1:45">
      <c r="A35" s="25"/>
      <c r="B35" s="15"/>
      <c r="C35" s="15"/>
      <c r="D35" s="14"/>
      <c r="E35" s="14"/>
    </row>
    <row r="36" spans="1:45" ht="15.75" customHeight="1">
      <c r="A36" s="79" t="s">
        <v>64</v>
      </c>
      <c r="B36" s="79"/>
      <c r="C36" s="79"/>
      <c r="D36" s="79"/>
      <c r="E36" s="79"/>
      <c r="F36" s="79"/>
      <c r="G36" s="79"/>
      <c r="H36" s="79"/>
      <c r="I36" s="20"/>
      <c r="J36" s="79" t="s">
        <v>64</v>
      </c>
      <c r="K36" s="80"/>
      <c r="L36" s="80"/>
      <c r="M36" s="80"/>
      <c r="N36" s="80"/>
      <c r="O36" s="80"/>
      <c r="P36" s="80"/>
      <c r="Q36" s="80"/>
      <c r="R36" s="80"/>
      <c r="T36" s="79" t="s">
        <v>64</v>
      </c>
      <c r="U36" s="80"/>
      <c r="V36" s="80"/>
      <c r="W36" s="80"/>
      <c r="X36" s="80"/>
      <c r="Y36" s="80"/>
      <c r="Z36" s="80"/>
      <c r="AA36" s="80"/>
      <c r="AB36" s="80"/>
      <c r="AC36" s="80"/>
      <c r="AE36" s="80" t="s">
        <v>63</v>
      </c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</row>
    <row r="37" spans="1:45" ht="15.75" customHeight="1">
      <c r="A37" s="79"/>
      <c r="B37" s="79"/>
      <c r="C37" s="79"/>
      <c r="D37" s="79"/>
      <c r="E37" s="79"/>
      <c r="F37" s="79"/>
      <c r="G37" s="79"/>
      <c r="H37" s="79"/>
      <c r="I37" s="20"/>
      <c r="J37" s="80"/>
      <c r="K37" s="80"/>
      <c r="L37" s="80"/>
      <c r="M37" s="80"/>
      <c r="N37" s="80"/>
      <c r="O37" s="80"/>
      <c r="P37" s="80"/>
      <c r="Q37" s="80"/>
      <c r="R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</row>
    <row r="38" spans="1:45">
      <c r="A38" s="79"/>
      <c r="B38" s="79"/>
      <c r="C38" s="79"/>
      <c r="D38" s="79"/>
      <c r="E38" s="79"/>
      <c r="F38" s="79"/>
      <c r="G38" s="79"/>
      <c r="H38" s="79"/>
      <c r="J38" s="80"/>
      <c r="K38" s="80"/>
      <c r="L38" s="80"/>
      <c r="M38" s="80"/>
      <c r="N38" s="80"/>
      <c r="O38" s="80"/>
      <c r="P38" s="80"/>
      <c r="Q38" s="80"/>
      <c r="R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</row>
    <row r="39" spans="1:45">
      <c r="A39" s="25"/>
      <c r="B39" s="15"/>
      <c r="C39" s="15"/>
      <c r="D39" s="14"/>
      <c r="E39" s="14"/>
    </row>
    <row r="40" spans="1:45">
      <c r="A40" s="25"/>
      <c r="B40" s="15"/>
      <c r="C40" s="15"/>
      <c r="D40" s="14"/>
      <c r="E40" s="14"/>
    </row>
    <row r="41" spans="1:45">
      <c r="A41" s="25"/>
      <c r="B41" s="15"/>
      <c r="C41" s="15"/>
      <c r="D41" s="14"/>
      <c r="E41" s="14"/>
    </row>
    <row r="42" spans="1:45">
      <c r="A42" s="25"/>
      <c r="B42" s="15"/>
      <c r="C42" s="15"/>
      <c r="D42" s="14"/>
      <c r="E42" s="14"/>
    </row>
    <row r="43" spans="1:45">
      <c r="A43" s="25"/>
      <c r="B43" s="15"/>
      <c r="C43" s="15"/>
      <c r="D43" s="14"/>
      <c r="E43" s="14"/>
    </row>
    <row r="44" spans="1:45">
      <c r="A44" s="25"/>
      <c r="B44" s="15"/>
      <c r="C44" s="15"/>
      <c r="D44" s="14"/>
      <c r="E44" s="14"/>
    </row>
    <row r="45" spans="1:45">
      <c r="A45" s="25"/>
      <c r="B45" s="15"/>
      <c r="C45" s="15"/>
      <c r="D45" s="14"/>
      <c r="E45" s="14"/>
    </row>
    <row r="46" spans="1:45">
      <c r="A46" s="25"/>
      <c r="B46" s="15"/>
      <c r="C46" s="15"/>
      <c r="D46" s="14"/>
      <c r="E46" s="14"/>
    </row>
    <row r="47" spans="1:45">
      <c r="A47" s="25"/>
      <c r="B47" s="15"/>
      <c r="C47" s="15"/>
      <c r="D47" s="14"/>
      <c r="E47" s="14"/>
    </row>
    <row r="48" spans="1:45">
      <c r="A48" s="25"/>
      <c r="B48" s="15"/>
      <c r="C48" s="15"/>
      <c r="D48" s="14"/>
      <c r="E48" s="14"/>
    </row>
    <row r="49" spans="1:5">
      <c r="A49" s="25"/>
      <c r="B49" s="15"/>
      <c r="C49" s="15"/>
      <c r="D49" s="14"/>
      <c r="E49" s="14"/>
    </row>
    <row r="50" spans="1:5">
      <c r="A50" s="25"/>
      <c r="B50" s="15"/>
      <c r="C50" s="15"/>
      <c r="D50" s="14"/>
      <c r="E50" s="14"/>
    </row>
    <row r="51" spans="1:5">
      <c r="A51" s="25"/>
      <c r="B51" s="15"/>
      <c r="C51" s="15"/>
      <c r="D51" s="14"/>
      <c r="E51" s="14"/>
    </row>
    <row r="52" spans="1:5">
      <c r="A52" s="25"/>
      <c r="B52" s="15"/>
      <c r="C52" s="15"/>
      <c r="D52" s="14"/>
      <c r="E52" s="14"/>
    </row>
  </sheetData>
  <mergeCells count="27">
    <mergeCell ref="A36:H38"/>
    <mergeCell ref="J36:R38"/>
    <mergeCell ref="T36:AC38"/>
    <mergeCell ref="AE36:AS38"/>
    <mergeCell ref="AN2:AP2"/>
    <mergeCell ref="AQ2:AS2"/>
    <mergeCell ref="AF3:AG3"/>
    <mergeCell ref="AI3:AJ3"/>
    <mergeCell ref="AL3:AM3"/>
    <mergeCell ref="AO3:AP3"/>
    <mergeCell ref="AR3:AS3"/>
    <mergeCell ref="T2:X4"/>
    <mergeCell ref="Y2:AA3"/>
    <mergeCell ref="AB2:AC3"/>
    <mergeCell ref="AE2:AG2"/>
    <mergeCell ref="AH2:AJ2"/>
    <mergeCell ref="AK2:AM2"/>
    <mergeCell ref="A1:H1"/>
    <mergeCell ref="J1:R1"/>
    <mergeCell ref="T1:AC1"/>
    <mergeCell ref="AE1:AS1"/>
    <mergeCell ref="A2:C4"/>
    <mergeCell ref="D2:F3"/>
    <mergeCell ref="G2:H3"/>
    <mergeCell ref="J2:M4"/>
    <mergeCell ref="N2:P3"/>
    <mergeCell ref="Q2:R3"/>
  </mergeCells>
  <phoneticPr fontId="1" type="noConversion"/>
  <conditionalFormatting sqref="Y1:AC1 Y4:AC35 Y2 Y39:AC1048576">
    <cfRule type="cellIs" dxfId="17" priority="1" operator="lessThan">
      <formula>0</formula>
    </cfRule>
  </conditionalFormatting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26"/>
  <dimension ref="A1:AS52"/>
  <sheetViews>
    <sheetView zoomScale="70" zoomScaleNormal="70" workbookViewId="0">
      <selection activeCell="AI3" sqref="AI3:AJ3"/>
    </sheetView>
  </sheetViews>
  <sheetFormatPr defaultColWidth="9" defaultRowHeight="15.5"/>
  <cols>
    <col min="1" max="1" width="3.58203125" style="22" customWidth="1"/>
    <col min="2" max="3" width="3.58203125" style="4" customWidth="1"/>
    <col min="4" max="8" width="10.58203125" style="10" customWidth="1"/>
    <col min="9" max="9" width="2.08203125" style="1" customWidth="1"/>
    <col min="10" max="10" width="3.58203125" style="22" customWidth="1"/>
    <col min="11" max="12" width="3.58203125" style="4" customWidth="1"/>
    <col min="13" max="13" width="3.08203125" style="4" bestFit="1" customWidth="1"/>
    <col min="14" max="18" width="10.58203125" style="10" customWidth="1"/>
    <col min="19" max="19" width="2.08203125" style="1" customWidth="1"/>
    <col min="20" max="20" width="3.58203125" style="22" customWidth="1"/>
    <col min="21" max="23" width="3.58203125" style="4" customWidth="1"/>
    <col min="24" max="24" width="3.08203125" style="4" bestFit="1" customWidth="1"/>
    <col min="25" max="29" width="10.58203125" style="10" customWidth="1"/>
    <col min="30" max="30" width="2.08203125" style="1" customWidth="1"/>
    <col min="31" max="31" width="7.58203125" style="4" customWidth="1"/>
    <col min="32" max="32" width="10.58203125" style="10" customWidth="1"/>
    <col min="33" max="33" width="10.58203125" style="1" customWidth="1"/>
    <col min="34" max="34" width="7.58203125" style="4" customWidth="1"/>
    <col min="35" max="35" width="10.58203125" style="10" customWidth="1"/>
    <col min="36" max="36" width="10.58203125" style="1" customWidth="1"/>
    <col min="37" max="37" width="7.58203125" style="4" customWidth="1"/>
    <col min="38" max="38" width="10.58203125" style="10" customWidth="1"/>
    <col min="39" max="39" width="10.58203125" style="1" customWidth="1"/>
    <col min="40" max="40" width="7.58203125" style="4" customWidth="1"/>
    <col min="41" max="41" width="10.58203125" style="10" customWidth="1"/>
    <col min="42" max="42" width="10.58203125" style="1" customWidth="1"/>
    <col min="43" max="16384" width="9" style="1"/>
  </cols>
  <sheetData>
    <row r="1" spans="1:45" ht="24" customHeight="1">
      <c r="A1" s="57" t="s">
        <v>58</v>
      </c>
      <c r="B1" s="57"/>
      <c r="C1" s="57"/>
      <c r="D1" s="57"/>
      <c r="E1" s="57"/>
      <c r="F1" s="57"/>
      <c r="G1" s="57"/>
      <c r="H1" s="58"/>
      <c r="J1" s="59" t="s">
        <v>60</v>
      </c>
      <c r="K1" s="59"/>
      <c r="L1" s="59"/>
      <c r="M1" s="59"/>
      <c r="N1" s="59"/>
      <c r="O1" s="59"/>
      <c r="P1" s="59"/>
      <c r="Q1" s="59"/>
      <c r="R1" s="59"/>
      <c r="T1" s="60" t="s">
        <v>59</v>
      </c>
      <c r="U1" s="60"/>
      <c r="V1" s="60"/>
      <c r="W1" s="60"/>
      <c r="X1" s="60"/>
      <c r="Y1" s="60"/>
      <c r="Z1" s="60"/>
      <c r="AA1" s="60"/>
      <c r="AB1" s="60"/>
      <c r="AC1" s="60"/>
      <c r="AE1" s="61" t="s">
        <v>179</v>
      </c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</row>
    <row r="2" spans="1:45" s="2" customFormat="1" ht="19.5" customHeight="1">
      <c r="A2" s="63" t="s">
        <v>55</v>
      </c>
      <c r="B2" s="63"/>
      <c r="C2" s="63"/>
      <c r="D2" s="65"/>
      <c r="E2" s="66"/>
      <c r="F2" s="67"/>
      <c r="G2" s="65"/>
      <c r="H2" s="67"/>
      <c r="J2" s="71" t="s">
        <v>56</v>
      </c>
      <c r="K2" s="71"/>
      <c r="L2" s="71"/>
      <c r="M2" s="71"/>
      <c r="N2" s="73"/>
      <c r="O2" s="74"/>
      <c r="P2" s="75"/>
      <c r="Q2" s="73"/>
      <c r="R2" s="75"/>
      <c r="T2" s="90" t="s">
        <v>57</v>
      </c>
      <c r="U2" s="90"/>
      <c r="V2" s="90"/>
      <c r="W2" s="90"/>
      <c r="X2" s="90"/>
      <c r="Y2" s="92"/>
      <c r="Z2" s="93"/>
      <c r="AA2" s="94"/>
      <c r="AB2" s="92"/>
      <c r="AC2" s="94"/>
      <c r="AE2" s="54" t="s">
        <v>150</v>
      </c>
      <c r="AF2" s="55"/>
      <c r="AG2" s="56"/>
      <c r="AH2" s="81" t="s">
        <v>151</v>
      </c>
      <c r="AI2" s="82"/>
      <c r="AJ2" s="83"/>
      <c r="AK2" s="54" t="s">
        <v>152</v>
      </c>
      <c r="AL2" s="55"/>
      <c r="AM2" s="56"/>
      <c r="AN2" s="81" t="s">
        <v>153</v>
      </c>
      <c r="AO2" s="82"/>
      <c r="AP2" s="83"/>
      <c r="AQ2" s="54" t="s">
        <v>154</v>
      </c>
      <c r="AR2" s="55"/>
      <c r="AS2" s="56"/>
    </row>
    <row r="3" spans="1:45" ht="16.5" customHeight="1">
      <c r="A3" s="63"/>
      <c r="B3" s="63"/>
      <c r="C3" s="63"/>
      <c r="D3" s="68"/>
      <c r="E3" s="69"/>
      <c r="F3" s="70"/>
      <c r="G3" s="68"/>
      <c r="H3" s="70"/>
      <c r="J3" s="71"/>
      <c r="K3" s="71"/>
      <c r="L3" s="71"/>
      <c r="M3" s="71"/>
      <c r="N3" s="76"/>
      <c r="O3" s="77"/>
      <c r="P3" s="78"/>
      <c r="Q3" s="76"/>
      <c r="R3" s="78"/>
      <c r="T3" s="90"/>
      <c r="U3" s="90"/>
      <c r="V3" s="90"/>
      <c r="W3" s="90"/>
      <c r="X3" s="90"/>
      <c r="Y3" s="95"/>
      <c r="Z3" s="96"/>
      <c r="AA3" s="97"/>
      <c r="AB3" s="95"/>
      <c r="AC3" s="97"/>
      <c r="AE3" s="48" t="s">
        <v>178</v>
      </c>
      <c r="AF3" s="85" t="s">
        <v>177</v>
      </c>
      <c r="AG3" s="85"/>
      <c r="AH3" s="52" t="s">
        <v>178</v>
      </c>
      <c r="AI3" s="85" t="s">
        <v>177</v>
      </c>
      <c r="AJ3" s="85"/>
      <c r="AK3" s="52" t="s">
        <v>178</v>
      </c>
      <c r="AL3" s="85" t="s">
        <v>177</v>
      </c>
      <c r="AM3" s="85"/>
      <c r="AN3" s="52" t="s">
        <v>178</v>
      </c>
      <c r="AO3" s="85" t="s">
        <v>177</v>
      </c>
      <c r="AP3" s="85"/>
      <c r="AQ3" s="52" t="s">
        <v>178</v>
      </c>
      <c r="AR3" s="85" t="s">
        <v>177</v>
      </c>
      <c r="AS3" s="85"/>
    </row>
    <row r="4" spans="1:45" s="4" customFormat="1" ht="50" customHeight="1">
      <c r="A4" s="63"/>
      <c r="B4" s="64"/>
      <c r="C4" s="64"/>
      <c r="D4" s="19" t="s">
        <v>25</v>
      </c>
      <c r="E4" s="19" t="s">
        <v>26</v>
      </c>
      <c r="F4" s="19" t="s">
        <v>27</v>
      </c>
      <c r="G4" s="19" t="s">
        <v>28</v>
      </c>
      <c r="H4" s="19" t="s">
        <v>29</v>
      </c>
      <c r="J4" s="71"/>
      <c r="K4" s="72"/>
      <c r="L4" s="72"/>
      <c r="M4" s="72"/>
      <c r="N4" s="34" t="s">
        <v>25</v>
      </c>
      <c r="O4" s="34" t="s">
        <v>26</v>
      </c>
      <c r="P4" s="34" t="s">
        <v>27</v>
      </c>
      <c r="Q4" s="34" t="s">
        <v>28</v>
      </c>
      <c r="R4" s="34" t="s">
        <v>29</v>
      </c>
      <c r="T4" s="90"/>
      <c r="U4" s="91"/>
      <c r="V4" s="91"/>
      <c r="W4" s="91"/>
      <c r="X4" s="91"/>
      <c r="Y4" s="35" t="s">
        <v>25</v>
      </c>
      <c r="Z4" s="35" t="s">
        <v>26</v>
      </c>
      <c r="AA4" s="35" t="s">
        <v>27</v>
      </c>
      <c r="AB4" s="35" t="s">
        <v>28</v>
      </c>
      <c r="AC4" s="35" t="s">
        <v>29</v>
      </c>
      <c r="AE4" s="48"/>
      <c r="AF4" s="48" t="s">
        <v>0</v>
      </c>
      <c r="AG4" s="48" t="s">
        <v>1</v>
      </c>
      <c r="AH4" s="48"/>
      <c r="AI4" s="48" t="s">
        <v>0</v>
      </c>
      <c r="AJ4" s="48" t="s">
        <v>1</v>
      </c>
      <c r="AK4" s="48" t="s">
        <v>2</v>
      </c>
      <c r="AL4" s="48" t="s">
        <v>0</v>
      </c>
      <c r="AM4" s="48" t="s">
        <v>1</v>
      </c>
      <c r="AN4" s="49" t="s">
        <v>2</v>
      </c>
      <c r="AO4" s="49" t="s">
        <v>0</v>
      </c>
      <c r="AP4" s="49" t="s">
        <v>1</v>
      </c>
      <c r="AQ4" s="48" t="s">
        <v>2</v>
      </c>
      <c r="AR4" s="48" t="s">
        <v>0</v>
      </c>
      <c r="AS4" s="48" t="s">
        <v>1</v>
      </c>
    </row>
    <row r="5" spans="1:45">
      <c r="A5" s="24">
        <v>1</v>
      </c>
      <c r="B5" s="19" t="s">
        <v>30</v>
      </c>
      <c r="C5" s="19" t="s">
        <v>32</v>
      </c>
      <c r="D5" s="11">
        <v>357</v>
      </c>
      <c r="E5" s="9">
        <v>304</v>
      </c>
      <c r="F5" s="9">
        <v>277</v>
      </c>
      <c r="G5" s="9">
        <v>341</v>
      </c>
      <c r="H5" s="9">
        <v>390</v>
      </c>
      <c r="J5" s="21">
        <v>1</v>
      </c>
      <c r="K5" s="34" t="s">
        <v>30</v>
      </c>
      <c r="L5" s="34" t="s">
        <v>35</v>
      </c>
      <c r="M5" s="34" t="s">
        <v>38</v>
      </c>
      <c r="N5" s="9">
        <v>73.252836251520279</v>
      </c>
      <c r="O5" s="9">
        <v>67.195459528678953</v>
      </c>
      <c r="P5" s="9">
        <v>67.954086537628484</v>
      </c>
      <c r="Q5" s="9">
        <v>68.129056834783398</v>
      </c>
      <c r="R5" s="9">
        <v>70.670699347714219</v>
      </c>
      <c r="T5" s="23">
        <v>1</v>
      </c>
      <c r="U5" s="35" t="s">
        <v>30</v>
      </c>
      <c r="V5" s="35" t="s">
        <v>35</v>
      </c>
      <c r="W5" s="35" t="s">
        <v>32</v>
      </c>
      <c r="X5" s="35" t="s">
        <v>38</v>
      </c>
      <c r="Y5" s="11">
        <v>35343</v>
      </c>
      <c r="Z5" s="9">
        <v>33744</v>
      </c>
      <c r="AA5" s="9">
        <v>27146</v>
      </c>
      <c r="AB5" s="9">
        <v>38874</v>
      </c>
      <c r="AC5" s="9">
        <v>44460</v>
      </c>
      <c r="AE5" s="48" t="s">
        <v>3</v>
      </c>
      <c r="AF5" s="29">
        <v>600</v>
      </c>
      <c r="AG5" s="29">
        <v>445</v>
      </c>
      <c r="AH5" s="48" t="s">
        <v>3</v>
      </c>
      <c r="AI5" s="29">
        <v>600</v>
      </c>
      <c r="AJ5" s="29">
        <v>496</v>
      </c>
      <c r="AK5" s="48" t="s">
        <v>3</v>
      </c>
      <c r="AL5" s="29">
        <v>600</v>
      </c>
      <c r="AM5" s="29">
        <v>551</v>
      </c>
      <c r="AN5" s="48" t="s">
        <v>3</v>
      </c>
      <c r="AO5" s="29">
        <v>600</v>
      </c>
      <c r="AP5" s="29">
        <v>494</v>
      </c>
      <c r="AQ5" s="48" t="s">
        <v>3</v>
      </c>
      <c r="AR5" s="29">
        <v>600</v>
      </c>
      <c r="AS5" s="29">
        <v>449</v>
      </c>
    </row>
    <row r="6" spans="1:45">
      <c r="A6" s="24">
        <v>2</v>
      </c>
      <c r="B6" s="19" t="s">
        <v>30</v>
      </c>
      <c r="C6" s="19" t="s">
        <v>33</v>
      </c>
      <c r="D6" s="11">
        <v>488</v>
      </c>
      <c r="E6" s="9">
        <v>426</v>
      </c>
      <c r="F6" s="9">
        <v>392</v>
      </c>
      <c r="G6" s="9">
        <v>445</v>
      </c>
      <c r="H6" s="9">
        <v>454</v>
      </c>
      <c r="J6" s="21">
        <v>2</v>
      </c>
      <c r="K6" s="34" t="s">
        <v>30</v>
      </c>
      <c r="L6" s="34" t="s">
        <v>41</v>
      </c>
      <c r="M6" s="34" t="s">
        <v>34</v>
      </c>
      <c r="N6" s="9">
        <v>93.654490226081052</v>
      </c>
      <c r="O6" s="9">
        <v>4.8943840572947366</v>
      </c>
      <c r="P6" s="9">
        <v>97.170239967709648</v>
      </c>
      <c r="Q6" s="9">
        <v>84.33714816553605</v>
      </c>
      <c r="R6" s="9">
        <v>94.367304675176342</v>
      </c>
      <c r="T6" s="23">
        <v>2</v>
      </c>
      <c r="U6" s="35" t="s">
        <v>30</v>
      </c>
      <c r="V6" s="35" t="s">
        <v>41</v>
      </c>
      <c r="W6" s="35" t="s">
        <v>34</v>
      </c>
      <c r="X6" s="35" t="s">
        <v>42</v>
      </c>
      <c r="Y6" s="11">
        <v>236670</v>
      </c>
      <c r="Z6" s="9">
        <v>209304</v>
      </c>
      <c r="AA6" s="9">
        <v>165427</v>
      </c>
      <c r="AB6" s="9">
        <v>241472</v>
      </c>
      <c r="AC6" s="9">
        <v>241961</v>
      </c>
      <c r="AE6" s="48" t="s">
        <v>4</v>
      </c>
      <c r="AF6" s="29">
        <v>501</v>
      </c>
      <c r="AG6" s="29">
        <v>774</v>
      </c>
      <c r="AH6" s="48" t="s">
        <v>4</v>
      </c>
      <c r="AI6" s="29">
        <v>489</v>
      </c>
      <c r="AJ6" s="29">
        <v>760</v>
      </c>
      <c r="AK6" s="48" t="s">
        <v>4</v>
      </c>
      <c r="AL6" s="29">
        <v>502</v>
      </c>
      <c r="AM6" s="29">
        <v>793</v>
      </c>
      <c r="AN6" s="48" t="s">
        <v>4</v>
      </c>
      <c r="AO6" s="29">
        <v>486</v>
      </c>
      <c r="AP6" s="29">
        <v>778</v>
      </c>
      <c r="AQ6" s="48" t="s">
        <v>4</v>
      </c>
      <c r="AR6" s="29">
        <v>486</v>
      </c>
      <c r="AS6" s="29">
        <v>774</v>
      </c>
    </row>
    <row r="7" spans="1:45">
      <c r="A7" s="24">
        <v>3</v>
      </c>
      <c r="B7" s="19" t="s">
        <v>30</v>
      </c>
      <c r="C7" s="19" t="s">
        <v>34</v>
      </c>
      <c r="D7" s="11">
        <v>735</v>
      </c>
      <c r="E7" s="9">
        <v>684</v>
      </c>
      <c r="F7" s="9">
        <v>629</v>
      </c>
      <c r="G7" s="9">
        <v>686</v>
      </c>
      <c r="H7" s="9">
        <v>731</v>
      </c>
      <c r="J7" s="21">
        <v>3</v>
      </c>
      <c r="K7" s="34" t="s">
        <v>30</v>
      </c>
      <c r="L7" s="34" t="s">
        <v>44</v>
      </c>
      <c r="M7" s="34" t="s">
        <v>32</v>
      </c>
      <c r="N7" s="9">
        <v>50.082637672417881</v>
      </c>
      <c r="O7" s="9">
        <v>44.116127529810193</v>
      </c>
      <c r="P7" s="9">
        <v>45.024047000736218</v>
      </c>
      <c r="Q7" s="9">
        <v>46.695664631349914</v>
      </c>
      <c r="R7" s="9">
        <v>55.592171733666156</v>
      </c>
      <c r="T7" s="23">
        <v>3</v>
      </c>
      <c r="U7" s="35" t="s">
        <v>41</v>
      </c>
      <c r="V7" s="35" t="s">
        <v>39</v>
      </c>
      <c r="W7" s="35" t="s">
        <v>34</v>
      </c>
      <c r="X7" s="35" t="s">
        <v>42</v>
      </c>
      <c r="Y7" s="11">
        <v>84116</v>
      </c>
      <c r="Z7" s="9">
        <v>659373</v>
      </c>
      <c r="AA7" s="9">
        <v>62148.5</v>
      </c>
      <c r="AB7" s="9">
        <v>83164</v>
      </c>
      <c r="AC7" s="9">
        <v>107055.5</v>
      </c>
      <c r="AE7" s="48" t="s">
        <v>5</v>
      </c>
      <c r="AF7" s="29">
        <v>600</v>
      </c>
      <c r="AG7" s="29">
        <v>802</v>
      </c>
      <c r="AH7" s="48" t="s">
        <v>5</v>
      </c>
      <c r="AI7" s="29">
        <v>600</v>
      </c>
      <c r="AJ7" s="29">
        <v>800</v>
      </c>
      <c r="AK7" s="48" t="s">
        <v>5</v>
      </c>
      <c r="AL7" s="29">
        <v>600</v>
      </c>
      <c r="AM7" s="29">
        <v>828</v>
      </c>
      <c r="AN7" s="48" t="s">
        <v>5</v>
      </c>
      <c r="AO7" s="29">
        <v>600</v>
      </c>
      <c r="AP7" s="29">
        <v>835</v>
      </c>
      <c r="AQ7" s="48" t="s">
        <v>5</v>
      </c>
      <c r="AR7" s="29">
        <v>600</v>
      </c>
      <c r="AS7" s="29">
        <v>839</v>
      </c>
    </row>
    <row r="8" spans="1:45" ht="15.75" customHeight="1">
      <c r="A8" s="24">
        <v>4</v>
      </c>
      <c r="B8" s="19" t="s">
        <v>35</v>
      </c>
      <c r="C8" s="19" t="s">
        <v>38</v>
      </c>
      <c r="D8" s="11">
        <v>198</v>
      </c>
      <c r="E8" s="9">
        <v>222</v>
      </c>
      <c r="F8" s="9">
        <v>196</v>
      </c>
      <c r="G8" s="9">
        <v>228</v>
      </c>
      <c r="H8" s="9">
        <v>228</v>
      </c>
      <c r="J8" s="21">
        <v>4</v>
      </c>
      <c r="K8" s="34" t="s">
        <v>35</v>
      </c>
      <c r="L8" s="34" t="s">
        <v>32</v>
      </c>
      <c r="M8" s="34" t="s">
        <v>38</v>
      </c>
      <c r="N8" s="9">
        <v>148.41519294228544</v>
      </c>
      <c r="O8" s="9">
        <v>140.36569496076206</v>
      </c>
      <c r="P8" s="9">
        <v>140.69235188389339</v>
      </c>
      <c r="Q8" s="9">
        <v>126.86989764584402</v>
      </c>
      <c r="R8" s="9">
        <v>120.6185469759664</v>
      </c>
      <c r="T8" s="23">
        <v>4</v>
      </c>
      <c r="U8" s="35" t="s">
        <v>46</v>
      </c>
      <c r="V8" s="35" t="s">
        <v>43</v>
      </c>
      <c r="W8" s="35" t="s">
        <v>33</v>
      </c>
      <c r="X8" s="35" t="s">
        <v>47</v>
      </c>
      <c r="Y8" s="11">
        <v>406706</v>
      </c>
      <c r="Z8" s="9">
        <v>341892</v>
      </c>
      <c r="AA8" s="9">
        <v>410491.5</v>
      </c>
      <c r="AB8" s="9">
        <v>446867.5</v>
      </c>
      <c r="AC8" s="9">
        <v>432984</v>
      </c>
      <c r="AE8" s="48" t="s">
        <v>6</v>
      </c>
      <c r="AF8" s="29">
        <f>AF7+(AF7-AF6)</f>
        <v>699</v>
      </c>
      <c r="AG8" s="29">
        <f>AG6</f>
        <v>774</v>
      </c>
      <c r="AH8" s="48" t="s">
        <v>6</v>
      </c>
      <c r="AI8" s="29">
        <f>AI7+(AI7-AI6)</f>
        <v>711</v>
      </c>
      <c r="AJ8" s="29">
        <f>AJ6</f>
        <v>760</v>
      </c>
      <c r="AK8" s="48" t="s">
        <v>6</v>
      </c>
      <c r="AL8" s="29">
        <f t="shared" ref="AL8" si="0">AL7+(AL7-AL6)</f>
        <v>698</v>
      </c>
      <c r="AM8" s="29">
        <f t="shared" ref="AM8" si="1">AM6</f>
        <v>793</v>
      </c>
      <c r="AN8" s="48" t="s">
        <v>6</v>
      </c>
      <c r="AO8" s="29">
        <f t="shared" ref="AO8" si="2">AO7+(AO7-AO6)</f>
        <v>714</v>
      </c>
      <c r="AP8" s="29">
        <f t="shared" ref="AP8" si="3">AP6</f>
        <v>778</v>
      </c>
      <c r="AQ8" s="48" t="s">
        <v>6</v>
      </c>
      <c r="AR8" s="29">
        <f t="shared" ref="AR8" si="4">AR7+(AR7-AR6)</f>
        <v>714</v>
      </c>
      <c r="AS8" s="29">
        <f t="shared" ref="AS8" si="5">AS6</f>
        <v>774</v>
      </c>
    </row>
    <row r="9" spans="1:45" ht="15.75" customHeight="1">
      <c r="A9" s="24">
        <v>5</v>
      </c>
      <c r="B9" s="19" t="s">
        <v>32</v>
      </c>
      <c r="C9" s="19" t="s">
        <v>33</v>
      </c>
      <c r="D9" s="11">
        <v>131</v>
      </c>
      <c r="E9" s="9">
        <v>122</v>
      </c>
      <c r="F9" s="9">
        <v>115</v>
      </c>
      <c r="G9" s="9">
        <v>104</v>
      </c>
      <c r="H9" s="9">
        <v>64</v>
      </c>
      <c r="J9" s="21">
        <v>5</v>
      </c>
      <c r="K9" s="34" t="s">
        <v>39</v>
      </c>
      <c r="L9" s="34" t="s">
        <v>34</v>
      </c>
      <c r="M9" s="34" t="s">
        <v>40</v>
      </c>
      <c r="N9" s="9">
        <v>138.45549063590832</v>
      </c>
      <c r="O9" s="9">
        <v>137.79032283014072</v>
      </c>
      <c r="P9" s="9">
        <v>130.03752078756787</v>
      </c>
      <c r="Q9" s="9">
        <v>155.02906501828565</v>
      </c>
      <c r="R9" s="9">
        <v>144.01382436405254</v>
      </c>
      <c r="T9" s="23">
        <v>5</v>
      </c>
      <c r="U9" s="35" t="s">
        <v>48</v>
      </c>
      <c r="V9" s="35" t="s">
        <v>43</v>
      </c>
      <c r="W9" s="35" t="s">
        <v>34</v>
      </c>
      <c r="X9" s="35" t="s">
        <v>44</v>
      </c>
      <c r="Y9" s="11">
        <v>391645</v>
      </c>
      <c r="Z9" s="9">
        <v>343530</v>
      </c>
      <c r="AA9" s="9">
        <v>334848</v>
      </c>
      <c r="AB9" s="9">
        <v>413700</v>
      </c>
      <c r="AC9" s="9">
        <v>395600</v>
      </c>
      <c r="AE9" s="48" t="s">
        <v>77</v>
      </c>
      <c r="AF9" s="29">
        <v>600</v>
      </c>
      <c r="AG9" s="29">
        <v>933</v>
      </c>
      <c r="AH9" s="48" t="s">
        <v>77</v>
      </c>
      <c r="AI9" s="29">
        <v>600</v>
      </c>
      <c r="AJ9" s="29">
        <v>922</v>
      </c>
      <c r="AK9" s="48" t="s">
        <v>77</v>
      </c>
      <c r="AL9" s="29">
        <v>600</v>
      </c>
      <c r="AM9" s="29">
        <v>943</v>
      </c>
      <c r="AN9" s="48" t="s">
        <v>77</v>
      </c>
      <c r="AO9" s="29">
        <v>600</v>
      </c>
      <c r="AP9" s="29">
        <v>939</v>
      </c>
      <c r="AQ9" s="48" t="s">
        <v>77</v>
      </c>
      <c r="AR9" s="29">
        <v>600</v>
      </c>
      <c r="AS9" s="29">
        <v>903</v>
      </c>
    </row>
    <row r="10" spans="1:45">
      <c r="A10" s="24">
        <v>6</v>
      </c>
      <c r="B10" s="19" t="s">
        <v>32</v>
      </c>
      <c r="C10" s="19" t="s">
        <v>34</v>
      </c>
      <c r="D10" s="11">
        <v>378</v>
      </c>
      <c r="E10" s="9">
        <v>380</v>
      </c>
      <c r="F10" s="9">
        <v>352</v>
      </c>
      <c r="G10" s="9">
        <v>345</v>
      </c>
      <c r="H10" s="9">
        <v>341</v>
      </c>
      <c r="J10" s="21">
        <v>6</v>
      </c>
      <c r="K10" s="34" t="s">
        <v>40</v>
      </c>
      <c r="L10" s="34" t="s">
        <v>34</v>
      </c>
      <c r="M10" s="34" t="s">
        <v>62</v>
      </c>
      <c r="N10" s="9">
        <v>20.77225468204583</v>
      </c>
      <c r="O10" s="9">
        <v>21.104838584929684</v>
      </c>
      <c r="P10" s="9">
        <v>24.981239606216025</v>
      </c>
      <c r="Q10" s="9">
        <v>12.485467490857181</v>
      </c>
      <c r="R10" s="9">
        <v>17.993087817973723</v>
      </c>
      <c r="T10" s="23">
        <v>6</v>
      </c>
      <c r="U10" s="35" t="s">
        <v>52</v>
      </c>
      <c r="V10" s="35" t="s">
        <v>51</v>
      </c>
      <c r="W10" s="35" t="s">
        <v>54</v>
      </c>
      <c r="X10" s="35" t="s">
        <v>50</v>
      </c>
      <c r="Y10" s="11">
        <v>3294</v>
      </c>
      <c r="Z10" s="9">
        <v>5196</v>
      </c>
      <c r="AA10" s="9">
        <v>3652</v>
      </c>
      <c r="AB10" s="9">
        <v>6205</v>
      </c>
      <c r="AC10" s="9">
        <v>5917.5</v>
      </c>
      <c r="AE10" s="48" t="s">
        <v>8</v>
      </c>
      <c r="AF10" s="29">
        <v>484</v>
      </c>
      <c r="AG10" s="29">
        <v>1136</v>
      </c>
      <c r="AH10" s="48" t="s">
        <v>8</v>
      </c>
      <c r="AI10" s="29">
        <v>486</v>
      </c>
      <c r="AJ10" s="29">
        <v>1136</v>
      </c>
      <c r="AK10" s="48" t="s">
        <v>8</v>
      </c>
      <c r="AL10" s="29">
        <v>512</v>
      </c>
      <c r="AM10" s="29">
        <v>1139</v>
      </c>
      <c r="AN10" s="48" t="s">
        <v>8</v>
      </c>
      <c r="AO10" s="29">
        <v>460</v>
      </c>
      <c r="AP10" s="29">
        <v>1149</v>
      </c>
      <c r="AQ10" s="48" t="s">
        <v>8</v>
      </c>
      <c r="AR10" s="29">
        <v>483</v>
      </c>
      <c r="AS10" s="29">
        <v>1142</v>
      </c>
    </row>
    <row r="11" spans="1:45">
      <c r="A11" s="24">
        <v>7</v>
      </c>
      <c r="B11" s="19" t="s">
        <v>39</v>
      </c>
      <c r="C11" s="19" t="s">
        <v>40</v>
      </c>
      <c r="D11" s="11">
        <v>232</v>
      </c>
      <c r="E11" s="9">
        <v>228</v>
      </c>
      <c r="F11" s="9">
        <v>176</v>
      </c>
      <c r="G11" s="9">
        <v>280</v>
      </c>
      <c r="H11" s="9">
        <v>234</v>
      </c>
      <c r="J11" s="21">
        <v>7</v>
      </c>
      <c r="K11" s="34" t="s">
        <v>41</v>
      </c>
      <c r="L11" s="34" t="s">
        <v>34</v>
      </c>
      <c r="M11" s="34" t="s">
        <v>62</v>
      </c>
      <c r="N11" s="9">
        <v>143.30130437306101</v>
      </c>
      <c r="O11" s="9">
        <v>98.471144633014831</v>
      </c>
      <c r="P11" s="9">
        <v>140.08745408895803</v>
      </c>
      <c r="Q11" s="9">
        <v>149.1800819427709</v>
      </c>
      <c r="R11" s="9">
        <v>138.67954923845045</v>
      </c>
      <c r="T11" s="23">
        <v>7</v>
      </c>
      <c r="U11" s="35" t="s">
        <v>76</v>
      </c>
      <c r="V11" s="35" t="s">
        <v>73</v>
      </c>
      <c r="W11" s="35" t="s">
        <v>75</v>
      </c>
      <c r="X11" s="35" t="s">
        <v>74</v>
      </c>
      <c r="Y11" s="11">
        <v>4017</v>
      </c>
      <c r="Z11" s="9">
        <v>2741</v>
      </c>
      <c r="AA11" s="9">
        <v>2970</v>
      </c>
      <c r="AB11" s="9">
        <v>4256</v>
      </c>
      <c r="AC11" s="9">
        <v>6136</v>
      </c>
      <c r="AE11" s="48" t="s">
        <v>9</v>
      </c>
      <c r="AF11" s="29">
        <v>600</v>
      </c>
      <c r="AG11" s="29">
        <v>1180</v>
      </c>
      <c r="AH11" s="48" t="s">
        <v>9</v>
      </c>
      <c r="AI11" s="29">
        <v>600</v>
      </c>
      <c r="AJ11" s="29">
        <v>1180</v>
      </c>
      <c r="AK11" s="48" t="s">
        <v>9</v>
      </c>
      <c r="AL11" s="29">
        <v>600</v>
      </c>
      <c r="AM11" s="29">
        <v>1180</v>
      </c>
      <c r="AN11" s="48" t="s">
        <v>9</v>
      </c>
      <c r="AO11" s="29">
        <v>600</v>
      </c>
      <c r="AP11" s="29">
        <v>1180</v>
      </c>
      <c r="AQ11" s="48" t="s">
        <v>9</v>
      </c>
      <c r="AR11" s="29">
        <v>600</v>
      </c>
      <c r="AS11" s="29">
        <v>1180</v>
      </c>
    </row>
    <row r="12" spans="1:45">
      <c r="A12" s="24">
        <v>8</v>
      </c>
      <c r="B12" s="19" t="s">
        <v>41</v>
      </c>
      <c r="C12" s="19" t="s">
        <v>42</v>
      </c>
      <c r="D12" s="11">
        <v>644</v>
      </c>
      <c r="E12" s="9">
        <v>612</v>
      </c>
      <c r="F12" s="9">
        <v>526</v>
      </c>
      <c r="G12" s="9">
        <v>704</v>
      </c>
      <c r="H12" s="9">
        <v>662</v>
      </c>
      <c r="J12" s="21">
        <v>8</v>
      </c>
      <c r="K12" s="34" t="s">
        <v>42</v>
      </c>
      <c r="L12" s="34" t="s">
        <v>34</v>
      </c>
      <c r="M12" s="34" t="s">
        <v>62</v>
      </c>
      <c r="N12" s="9">
        <v>36.698695626938999</v>
      </c>
      <c r="O12" s="9">
        <v>79.521955358659696</v>
      </c>
      <c r="P12" s="9">
        <v>39.91254591104196</v>
      </c>
      <c r="Q12" s="9">
        <v>30.819918057229092</v>
      </c>
      <c r="R12" s="9">
        <v>41.320450761549537</v>
      </c>
      <c r="T12" s="23">
        <v>8</v>
      </c>
      <c r="U12" s="35"/>
      <c r="V12" s="35"/>
      <c r="W12" s="35"/>
      <c r="X12" s="35"/>
      <c r="Y12" s="11"/>
      <c r="Z12" s="9"/>
      <c r="AA12" s="9"/>
      <c r="AB12" s="9"/>
      <c r="AC12" s="9"/>
      <c r="AE12" s="48" t="s">
        <v>10</v>
      </c>
      <c r="AF12" s="29">
        <f>AF11+(AF11-AF10)</f>
        <v>716</v>
      </c>
      <c r="AG12" s="29">
        <f>AG10</f>
        <v>1136</v>
      </c>
      <c r="AH12" s="48" t="s">
        <v>10</v>
      </c>
      <c r="AI12" s="29">
        <f>AI11+(AI11-AI10)</f>
        <v>714</v>
      </c>
      <c r="AJ12" s="29">
        <f>AJ10</f>
        <v>1136</v>
      </c>
      <c r="AK12" s="48" t="s">
        <v>10</v>
      </c>
      <c r="AL12" s="29">
        <f t="shared" ref="AL12" si="6">AL11+(AL11-AL10)</f>
        <v>688</v>
      </c>
      <c r="AM12" s="29">
        <f t="shared" ref="AM12" si="7">AM10</f>
        <v>1139</v>
      </c>
      <c r="AN12" s="48" t="s">
        <v>10</v>
      </c>
      <c r="AO12" s="29">
        <f t="shared" ref="AO12" si="8">AO11+(AO11-AO10)</f>
        <v>740</v>
      </c>
      <c r="AP12" s="29">
        <f t="shared" ref="AP12" si="9">AP10</f>
        <v>1149</v>
      </c>
      <c r="AQ12" s="48" t="s">
        <v>10</v>
      </c>
      <c r="AR12" s="29">
        <f t="shared" ref="AR12" si="10">AR11+(AR11-AR10)</f>
        <v>717</v>
      </c>
      <c r="AS12" s="29">
        <f t="shared" ref="AS12" si="11">AS10</f>
        <v>1142</v>
      </c>
    </row>
    <row r="13" spans="1:45">
      <c r="A13" s="24">
        <v>9</v>
      </c>
      <c r="B13" s="19" t="s">
        <v>43</v>
      </c>
      <c r="C13" s="19" t="s">
        <v>44</v>
      </c>
      <c r="D13" s="11">
        <v>730</v>
      </c>
      <c r="E13" s="9">
        <v>694</v>
      </c>
      <c r="F13" s="9">
        <v>654</v>
      </c>
      <c r="G13" s="9">
        <v>788</v>
      </c>
      <c r="H13" s="9">
        <v>736</v>
      </c>
      <c r="J13" s="21">
        <v>9</v>
      </c>
      <c r="K13" s="34" t="s">
        <v>43</v>
      </c>
      <c r="L13" s="34" t="s">
        <v>41</v>
      </c>
      <c r="M13" s="34" t="s">
        <v>34</v>
      </c>
      <c r="N13" s="9">
        <v>137.33345656567928</v>
      </c>
      <c r="O13" s="9">
        <v>10.637829891728876</v>
      </c>
      <c r="P13" s="9">
        <v>146.27362336638825</v>
      </c>
      <c r="Q13" s="9">
        <v>129.23226334765593</v>
      </c>
      <c r="R13" s="9">
        <v>141.08500864143798</v>
      </c>
      <c r="T13" s="23">
        <v>9</v>
      </c>
      <c r="U13" s="35"/>
      <c r="V13" s="35"/>
      <c r="W13" s="35"/>
      <c r="X13" s="35"/>
      <c r="Y13" s="11"/>
      <c r="Z13" s="9"/>
      <c r="AA13" s="9"/>
      <c r="AB13" s="9"/>
      <c r="AC13" s="9"/>
      <c r="AE13" s="48" t="s">
        <v>11</v>
      </c>
      <c r="AF13" s="29">
        <v>278</v>
      </c>
      <c r="AG13" s="29">
        <v>940</v>
      </c>
      <c r="AH13" s="48" t="s">
        <v>11</v>
      </c>
      <c r="AI13" s="29">
        <v>327</v>
      </c>
      <c r="AJ13" s="29">
        <v>-653</v>
      </c>
      <c r="AK13" s="48" t="s">
        <v>11</v>
      </c>
      <c r="AL13" s="29">
        <v>337</v>
      </c>
      <c r="AM13" s="29">
        <v>960</v>
      </c>
      <c r="AN13" s="48" t="s">
        <v>11</v>
      </c>
      <c r="AO13" s="29">
        <v>248</v>
      </c>
      <c r="AP13" s="29">
        <v>970</v>
      </c>
      <c r="AQ13" s="48" t="s">
        <v>11</v>
      </c>
      <c r="AR13" s="29">
        <v>269</v>
      </c>
      <c r="AS13" s="29">
        <v>889</v>
      </c>
    </row>
    <row r="14" spans="1:45">
      <c r="A14" s="24">
        <v>10</v>
      </c>
      <c r="B14" s="19" t="s">
        <v>45</v>
      </c>
      <c r="C14" s="19" t="s">
        <v>43</v>
      </c>
      <c r="D14" s="11">
        <v>73.061617830431317</v>
      </c>
      <c r="E14" s="9">
        <v>68.46897107449476</v>
      </c>
      <c r="F14" s="9">
        <v>80.993826925266347</v>
      </c>
      <c r="G14" s="9">
        <v>53.600373133029585</v>
      </c>
      <c r="H14" s="9">
        <v>68.029405406779802</v>
      </c>
      <c r="J14" s="21">
        <v>10</v>
      </c>
      <c r="K14" s="34" t="s">
        <v>44</v>
      </c>
      <c r="L14" s="34" t="s">
        <v>32</v>
      </c>
      <c r="M14" s="34" t="s">
        <v>62</v>
      </c>
      <c r="N14" s="9">
        <v>47.092560361778382</v>
      </c>
      <c r="O14" s="9">
        <v>49.07479318566638</v>
      </c>
      <c r="P14" s="9">
        <v>45.988357130079613</v>
      </c>
      <c r="Q14" s="9">
        <v>51.46059325675045</v>
      </c>
      <c r="R14" s="9">
        <v>54.602604098247539</v>
      </c>
      <c r="T14" s="23">
        <v>10</v>
      </c>
      <c r="U14" s="35"/>
      <c r="V14" s="35"/>
      <c r="W14" s="35"/>
      <c r="X14" s="35"/>
      <c r="Y14" s="11"/>
      <c r="Z14" s="9"/>
      <c r="AA14" s="9"/>
      <c r="AB14" s="9"/>
      <c r="AC14" s="9"/>
      <c r="AE14" s="48" t="s">
        <v>12</v>
      </c>
      <c r="AF14" s="29">
        <f>600+(600-AF13)</f>
        <v>922</v>
      </c>
      <c r="AG14" s="29">
        <f>AG13</f>
        <v>940</v>
      </c>
      <c r="AH14" s="48" t="s">
        <v>12</v>
      </c>
      <c r="AI14" s="29">
        <v>939</v>
      </c>
      <c r="AJ14" s="29">
        <f>AJ13</f>
        <v>-653</v>
      </c>
      <c r="AK14" s="48" t="s">
        <v>12</v>
      </c>
      <c r="AL14" s="29">
        <f t="shared" ref="AL14" si="12">600+(600-AL13)</f>
        <v>863</v>
      </c>
      <c r="AM14" s="29">
        <f t="shared" ref="AM14" si="13">AM13</f>
        <v>960</v>
      </c>
      <c r="AN14" s="48" t="s">
        <v>12</v>
      </c>
      <c r="AO14" s="29">
        <f t="shared" ref="AO14" si="14">600+(600-AO13)</f>
        <v>952</v>
      </c>
      <c r="AP14" s="29">
        <f t="shared" ref="AP14" si="15">AP13</f>
        <v>970</v>
      </c>
      <c r="AQ14" s="48" t="s">
        <v>12</v>
      </c>
      <c r="AR14" s="29">
        <f t="shared" ref="AR14" si="16">600+(600-AR13)</f>
        <v>931</v>
      </c>
      <c r="AS14" s="29">
        <f t="shared" ref="AS14" si="17">AS13</f>
        <v>889</v>
      </c>
    </row>
    <row r="15" spans="1:45">
      <c r="A15" s="24">
        <v>11</v>
      </c>
      <c r="B15" s="19" t="s">
        <v>46</v>
      </c>
      <c r="C15" s="19" t="s">
        <v>47</v>
      </c>
      <c r="D15" s="11">
        <v>656</v>
      </c>
      <c r="E15" s="9">
        <v>624</v>
      </c>
      <c r="F15" s="9">
        <v>660</v>
      </c>
      <c r="G15" s="9">
        <v>690</v>
      </c>
      <c r="H15" s="9">
        <v>704</v>
      </c>
      <c r="J15" s="21">
        <v>11</v>
      </c>
      <c r="K15" s="34" t="s">
        <v>44</v>
      </c>
      <c r="L15" s="34" t="s">
        <v>33</v>
      </c>
      <c r="M15" s="34" t="s">
        <v>62</v>
      </c>
      <c r="N15" s="9">
        <v>54.376084363692208</v>
      </c>
      <c r="O15" s="9">
        <v>55.510496023376191</v>
      </c>
      <c r="P15" s="9">
        <v>53.804105620248102</v>
      </c>
      <c r="Q15" s="9">
        <v>55.269544462498658</v>
      </c>
      <c r="R15" s="9">
        <v>57.421783384267243</v>
      </c>
      <c r="T15" s="23">
        <v>11</v>
      </c>
      <c r="U15" s="35"/>
      <c r="V15" s="35"/>
      <c r="W15" s="35"/>
      <c r="X15" s="35"/>
      <c r="Y15" s="11"/>
      <c r="Z15" s="9"/>
      <c r="AA15" s="9"/>
      <c r="AB15" s="9"/>
      <c r="AC15" s="9"/>
      <c r="AE15" s="48" t="s">
        <v>13</v>
      </c>
      <c r="AF15" s="29">
        <v>235</v>
      </c>
      <c r="AG15" s="29">
        <v>711</v>
      </c>
      <c r="AH15" s="48" t="s">
        <v>13</v>
      </c>
      <c r="AI15" s="29">
        <v>276</v>
      </c>
      <c r="AJ15" s="29">
        <v>695</v>
      </c>
      <c r="AK15" s="48" t="s">
        <v>13</v>
      </c>
      <c r="AL15" s="29">
        <v>273</v>
      </c>
      <c r="AM15" s="29">
        <v>742</v>
      </c>
      <c r="AN15" s="48" t="s">
        <v>13</v>
      </c>
      <c r="AO15" s="29">
        <v>206</v>
      </c>
      <c r="AP15" s="29">
        <v>686</v>
      </c>
      <c r="AQ15" s="48" t="s">
        <v>13</v>
      </c>
      <c r="AR15" s="29">
        <v>232</v>
      </c>
      <c r="AS15" s="29">
        <v>674</v>
      </c>
    </row>
    <row r="16" spans="1:45" ht="15.75" customHeight="1">
      <c r="A16" s="24">
        <v>12</v>
      </c>
      <c r="B16" s="19" t="s">
        <v>48</v>
      </c>
      <c r="C16" s="19" t="s">
        <v>30</v>
      </c>
      <c r="D16" s="11">
        <v>338</v>
      </c>
      <c r="E16" s="9">
        <v>306</v>
      </c>
      <c r="F16" s="9">
        <v>395</v>
      </c>
      <c r="G16" s="9">
        <v>364</v>
      </c>
      <c r="H16" s="9">
        <v>344</v>
      </c>
      <c r="J16" s="21">
        <v>12</v>
      </c>
      <c r="K16" s="34" t="s">
        <v>47</v>
      </c>
      <c r="L16" s="34" t="s">
        <v>30</v>
      </c>
      <c r="M16" s="34" t="s">
        <v>62</v>
      </c>
      <c r="N16" s="9">
        <v>100.92309871646992</v>
      </c>
      <c r="O16" s="9">
        <v>99.564579877391679</v>
      </c>
      <c r="P16" s="9">
        <v>104.26128825619277</v>
      </c>
      <c r="Q16" s="9">
        <v>102.91621591437172</v>
      </c>
      <c r="R16" s="9">
        <v>102.20101530907257</v>
      </c>
      <c r="T16" s="23">
        <v>12</v>
      </c>
      <c r="U16" s="35"/>
      <c r="V16" s="35"/>
      <c r="W16" s="35"/>
      <c r="X16" s="35"/>
      <c r="Y16" s="11"/>
      <c r="Z16" s="9"/>
      <c r="AA16" s="9"/>
      <c r="AB16" s="9"/>
      <c r="AC16" s="9"/>
      <c r="AE16" s="48" t="s">
        <v>14</v>
      </c>
      <c r="AF16" s="29">
        <f>600+(600-AF15)</f>
        <v>965</v>
      </c>
      <c r="AG16" s="29">
        <f>AG15</f>
        <v>711</v>
      </c>
      <c r="AH16" s="48" t="s">
        <v>14</v>
      </c>
      <c r="AI16" s="29">
        <v>970</v>
      </c>
      <c r="AJ16" s="29">
        <f>AJ15</f>
        <v>695</v>
      </c>
      <c r="AK16" s="48" t="s">
        <v>14</v>
      </c>
      <c r="AL16" s="29">
        <f t="shared" ref="AL16" si="18">600+(600-AL15)</f>
        <v>927</v>
      </c>
      <c r="AM16" s="29">
        <f t="shared" ref="AM16" si="19">AM15</f>
        <v>742</v>
      </c>
      <c r="AN16" s="48" t="s">
        <v>14</v>
      </c>
      <c r="AO16" s="29">
        <f t="shared" ref="AO16" si="20">600+(600-AO15)</f>
        <v>994</v>
      </c>
      <c r="AP16" s="29">
        <f t="shared" ref="AP16" si="21">AP15</f>
        <v>686</v>
      </c>
      <c r="AQ16" s="48" t="s">
        <v>14</v>
      </c>
      <c r="AR16" s="29">
        <f t="shared" ref="AR16" si="22">600+(600-AR15)</f>
        <v>968</v>
      </c>
      <c r="AS16" s="29">
        <f t="shared" ref="AS16" si="23">AS15</f>
        <v>674</v>
      </c>
    </row>
    <row r="17" spans="1:45" ht="15.75" customHeight="1">
      <c r="A17" s="24">
        <v>13</v>
      </c>
      <c r="B17" s="19" t="s">
        <v>48</v>
      </c>
      <c r="C17" s="19" t="s">
        <v>32</v>
      </c>
      <c r="D17" s="11">
        <v>695</v>
      </c>
      <c r="E17" s="9">
        <v>610</v>
      </c>
      <c r="F17" s="9">
        <v>672</v>
      </c>
      <c r="G17" s="9">
        <v>705</v>
      </c>
      <c r="H17" s="9">
        <v>734</v>
      </c>
      <c r="J17" s="21">
        <v>13</v>
      </c>
      <c r="K17" s="34" t="s">
        <v>47</v>
      </c>
      <c r="L17" s="34" t="s">
        <v>48</v>
      </c>
      <c r="M17" s="34" t="s">
        <v>62</v>
      </c>
      <c r="N17" s="9">
        <v>68.903926732592183</v>
      </c>
      <c r="O17" s="9">
        <v>71.227904410130748</v>
      </c>
      <c r="P17" s="9">
        <v>79.219414096073066</v>
      </c>
      <c r="Q17" s="9">
        <v>76.634379828074898</v>
      </c>
      <c r="R17" s="9">
        <v>75.227328498933531</v>
      </c>
      <c r="T17" s="23">
        <v>13</v>
      </c>
      <c r="U17" s="35"/>
      <c r="V17" s="35"/>
      <c r="W17" s="35"/>
      <c r="X17" s="35"/>
      <c r="Y17" s="11"/>
      <c r="Z17" s="9"/>
      <c r="AA17" s="9"/>
      <c r="AB17" s="9"/>
      <c r="AC17" s="9"/>
      <c r="AE17" s="48" t="s">
        <v>15</v>
      </c>
      <c r="AF17" s="29">
        <v>162</v>
      </c>
      <c r="AG17" s="29">
        <v>714</v>
      </c>
      <c r="AH17" s="48" t="s">
        <v>15</v>
      </c>
      <c r="AI17" s="29">
        <v>208</v>
      </c>
      <c r="AJ17" s="29">
        <v>703</v>
      </c>
      <c r="AK17" s="48" t="s">
        <v>15</v>
      </c>
      <c r="AL17" s="29">
        <v>197</v>
      </c>
      <c r="AM17" s="29">
        <v>714</v>
      </c>
      <c r="AN17" s="48" t="s">
        <v>15</v>
      </c>
      <c r="AO17" s="29">
        <v>153</v>
      </c>
      <c r="AP17" s="29">
        <v>694</v>
      </c>
      <c r="AQ17" s="48" t="s">
        <v>15</v>
      </c>
      <c r="AR17" s="29">
        <v>164</v>
      </c>
      <c r="AS17" s="29">
        <v>672</v>
      </c>
    </row>
    <row r="18" spans="1:45">
      <c r="A18" s="24">
        <v>14</v>
      </c>
      <c r="B18" s="19" t="s">
        <v>48</v>
      </c>
      <c r="C18" s="19" t="s">
        <v>33</v>
      </c>
      <c r="D18" s="11">
        <v>826</v>
      </c>
      <c r="E18" s="9">
        <v>732</v>
      </c>
      <c r="F18" s="9">
        <v>787</v>
      </c>
      <c r="G18" s="9">
        <v>809</v>
      </c>
      <c r="H18" s="9">
        <v>798</v>
      </c>
      <c r="J18" s="21">
        <v>14</v>
      </c>
      <c r="K18" s="44" t="s">
        <v>48</v>
      </c>
      <c r="L18" s="44" t="s">
        <v>78</v>
      </c>
      <c r="M18" s="44" t="s">
        <v>79</v>
      </c>
      <c r="N18" s="11">
        <v>51.698018713693259</v>
      </c>
      <c r="O18" s="9">
        <v>50.010411705248679</v>
      </c>
      <c r="P18" s="9">
        <v>57.018331444674587</v>
      </c>
      <c r="Q18" s="9">
        <v>48.682967323247247</v>
      </c>
      <c r="R18" s="9">
        <v>41.662737808655535</v>
      </c>
      <c r="T18" s="23">
        <v>14</v>
      </c>
      <c r="U18" s="35"/>
      <c r="V18" s="35"/>
      <c r="W18" s="35"/>
      <c r="X18" s="35"/>
      <c r="Y18" s="11"/>
      <c r="Z18" s="9"/>
      <c r="AA18" s="9"/>
      <c r="AB18" s="9"/>
      <c r="AC18" s="9"/>
      <c r="AE18" s="48" t="s">
        <v>16</v>
      </c>
      <c r="AF18" s="29">
        <f>600+(600-AF17)</f>
        <v>1038</v>
      </c>
      <c r="AG18" s="29">
        <f>AG17</f>
        <v>714</v>
      </c>
      <c r="AH18" s="48" t="s">
        <v>16</v>
      </c>
      <c r="AI18" s="29">
        <f>600+(600-AI17)</f>
        <v>992</v>
      </c>
      <c r="AJ18" s="29">
        <f>AJ17</f>
        <v>703</v>
      </c>
      <c r="AK18" s="48" t="s">
        <v>16</v>
      </c>
      <c r="AL18" s="29">
        <f t="shared" ref="AL18" si="24">600+(600-AL17)</f>
        <v>1003</v>
      </c>
      <c r="AM18" s="29">
        <f t="shared" ref="AM18" si="25">AM17</f>
        <v>714</v>
      </c>
      <c r="AN18" s="48" t="s">
        <v>16</v>
      </c>
      <c r="AO18" s="29">
        <f t="shared" ref="AO18" si="26">600+(600-AO17)</f>
        <v>1047</v>
      </c>
      <c r="AP18" s="29">
        <f t="shared" ref="AP18" si="27">AP17</f>
        <v>694</v>
      </c>
      <c r="AQ18" s="48" t="s">
        <v>16</v>
      </c>
      <c r="AR18" s="29">
        <f t="shared" ref="AR18" si="28">600+(600-AR17)</f>
        <v>1036</v>
      </c>
      <c r="AS18" s="29">
        <f t="shared" ref="AS18" si="29">AS17</f>
        <v>672</v>
      </c>
    </row>
    <row r="19" spans="1:45">
      <c r="A19" s="24">
        <v>15</v>
      </c>
      <c r="B19" s="19" t="s">
        <v>48</v>
      </c>
      <c r="C19" s="19" t="s">
        <v>34</v>
      </c>
      <c r="D19" s="11">
        <v>1073</v>
      </c>
      <c r="E19" s="9">
        <v>990</v>
      </c>
      <c r="F19" s="9">
        <v>1024</v>
      </c>
      <c r="G19" s="9">
        <v>1050</v>
      </c>
      <c r="H19" s="9">
        <v>1075</v>
      </c>
      <c r="J19" s="21">
        <v>15</v>
      </c>
      <c r="K19" s="44" t="s">
        <v>80</v>
      </c>
      <c r="L19" s="44" t="s">
        <v>78</v>
      </c>
      <c r="M19" s="44" t="s">
        <v>79</v>
      </c>
      <c r="N19" s="11">
        <v>20.511021287384008</v>
      </c>
      <c r="O19" s="9">
        <v>12.113713496341305</v>
      </c>
      <c r="P19" s="9">
        <v>17.091158739097938</v>
      </c>
      <c r="Q19" s="9">
        <v>18.510636730696245</v>
      </c>
      <c r="R19" s="9">
        <v>28.325461749332039</v>
      </c>
      <c r="T19" s="23">
        <v>15</v>
      </c>
      <c r="U19" s="35"/>
      <c r="V19" s="35"/>
      <c r="W19" s="35"/>
      <c r="X19" s="35"/>
      <c r="Y19" s="11"/>
      <c r="Z19" s="9"/>
      <c r="AA19" s="9"/>
      <c r="AB19" s="9"/>
      <c r="AC19" s="9"/>
      <c r="AE19" s="48" t="s">
        <v>17</v>
      </c>
      <c r="AF19" s="29">
        <v>272</v>
      </c>
      <c r="AG19" s="29">
        <v>65</v>
      </c>
      <c r="AH19" s="48" t="s">
        <v>17</v>
      </c>
      <c r="AI19" s="29">
        <v>288</v>
      </c>
      <c r="AJ19" s="29">
        <v>126</v>
      </c>
      <c r="AK19" s="48" t="s">
        <v>17</v>
      </c>
      <c r="AL19" s="29">
        <v>270</v>
      </c>
      <c r="AM19" s="29">
        <v>44</v>
      </c>
      <c r="AN19" s="48" t="s">
        <v>17</v>
      </c>
      <c r="AO19" s="29">
        <v>255</v>
      </c>
      <c r="AP19" s="29">
        <v>34</v>
      </c>
      <c r="AQ19" s="48" t="s">
        <v>17</v>
      </c>
      <c r="AR19" s="29">
        <v>248</v>
      </c>
      <c r="AS19" s="29">
        <v>20</v>
      </c>
    </row>
    <row r="20" spans="1:45">
      <c r="A20" s="24">
        <v>16</v>
      </c>
      <c r="B20" s="19" t="s">
        <v>50</v>
      </c>
      <c r="C20" s="19" t="s">
        <v>51</v>
      </c>
      <c r="D20" s="11">
        <v>46.173585522460783</v>
      </c>
      <c r="E20" s="9">
        <v>62.032249677083293</v>
      </c>
      <c r="F20" s="9">
        <v>51.623637996561229</v>
      </c>
      <c r="G20" s="9">
        <v>77.103826104804938</v>
      </c>
      <c r="H20" s="9">
        <v>70.035705179572517</v>
      </c>
      <c r="I20" s="3"/>
      <c r="J20" s="21">
        <v>16</v>
      </c>
      <c r="K20" s="44" t="s">
        <v>48</v>
      </c>
      <c r="L20" s="44" t="s">
        <v>81</v>
      </c>
      <c r="M20" s="44" t="s">
        <v>79</v>
      </c>
      <c r="N20" s="11">
        <v>109.06544135794857</v>
      </c>
      <c r="O20" s="9">
        <v>93.499277269741043</v>
      </c>
      <c r="P20" s="9">
        <v>103.03720004644167</v>
      </c>
      <c r="Q20" s="9">
        <v>92.244336661220089</v>
      </c>
      <c r="R20" s="9">
        <v>110.71774047404485</v>
      </c>
      <c r="T20" s="23">
        <v>16</v>
      </c>
      <c r="U20" s="35"/>
      <c r="V20" s="35"/>
      <c r="W20" s="35"/>
      <c r="X20" s="35"/>
      <c r="Y20" s="11"/>
      <c r="Z20" s="9"/>
      <c r="AA20" s="9"/>
      <c r="AB20" s="9"/>
      <c r="AC20" s="9"/>
      <c r="AE20" s="48" t="s">
        <v>18</v>
      </c>
      <c r="AF20" s="29">
        <v>600</v>
      </c>
      <c r="AG20" s="29">
        <v>107</v>
      </c>
      <c r="AH20" s="48" t="s">
        <v>18</v>
      </c>
      <c r="AI20" s="29">
        <v>600</v>
      </c>
      <c r="AJ20" s="29">
        <v>190</v>
      </c>
      <c r="AK20" s="48" t="s">
        <v>18</v>
      </c>
      <c r="AL20" s="29">
        <v>600</v>
      </c>
      <c r="AM20" s="29">
        <v>156</v>
      </c>
      <c r="AN20" s="48" t="s">
        <v>18</v>
      </c>
      <c r="AO20" s="29">
        <v>600</v>
      </c>
      <c r="AP20" s="29">
        <v>130</v>
      </c>
      <c r="AQ20" s="48" t="s">
        <v>18</v>
      </c>
      <c r="AR20" s="29">
        <v>600</v>
      </c>
      <c r="AS20" s="29">
        <v>105</v>
      </c>
    </row>
    <row r="21" spans="1:45">
      <c r="A21" s="24">
        <v>17</v>
      </c>
      <c r="B21" s="19" t="s">
        <v>65</v>
      </c>
      <c r="C21" s="19" t="s">
        <v>66</v>
      </c>
      <c r="D21" s="11">
        <v>247</v>
      </c>
      <c r="E21" s="9">
        <v>258</v>
      </c>
      <c r="F21" s="9">
        <v>237</v>
      </c>
      <c r="G21" s="9">
        <v>241</v>
      </c>
      <c r="H21" s="9">
        <v>277</v>
      </c>
      <c r="I21" s="3"/>
      <c r="J21" s="21">
        <v>17</v>
      </c>
      <c r="K21" s="44" t="s">
        <v>80</v>
      </c>
      <c r="L21" s="44" t="s">
        <v>81</v>
      </c>
      <c r="M21" s="44" t="s">
        <v>79</v>
      </c>
      <c r="N21" s="11">
        <v>25.164496825252115</v>
      </c>
      <c r="O21" s="9">
        <v>13.403172998012886</v>
      </c>
      <c r="P21" s="9">
        <v>28.739795291688058</v>
      </c>
      <c r="Q21" s="9">
        <v>17.696031733366471</v>
      </c>
      <c r="R21" s="9">
        <v>29.014573118806496</v>
      </c>
      <c r="T21" s="23">
        <v>17</v>
      </c>
      <c r="U21" s="35"/>
      <c r="V21" s="35"/>
      <c r="W21" s="35"/>
      <c r="X21" s="35"/>
      <c r="Y21" s="11"/>
      <c r="Z21" s="9"/>
      <c r="AA21" s="9"/>
      <c r="AB21" s="9"/>
      <c r="AC21" s="9"/>
      <c r="AE21" s="48" t="s">
        <v>19</v>
      </c>
      <c r="AF21" s="29">
        <f>600+(600-AF19)</f>
        <v>928</v>
      </c>
      <c r="AG21" s="29">
        <f>AG19</f>
        <v>65</v>
      </c>
      <c r="AH21" s="48" t="s">
        <v>19</v>
      </c>
      <c r="AI21" s="29">
        <f>600+(600-AI19)</f>
        <v>912</v>
      </c>
      <c r="AJ21" s="29">
        <f>AJ19</f>
        <v>126</v>
      </c>
      <c r="AK21" s="48" t="s">
        <v>19</v>
      </c>
      <c r="AL21" s="29">
        <f t="shared" ref="AL21" si="30">600+(600-AL19)</f>
        <v>930</v>
      </c>
      <c r="AM21" s="29">
        <f t="shared" ref="AM21" si="31">AM19</f>
        <v>44</v>
      </c>
      <c r="AN21" s="48" t="s">
        <v>19</v>
      </c>
      <c r="AO21" s="29">
        <f t="shared" ref="AO21" si="32">600+(600-AO19)</f>
        <v>945</v>
      </c>
      <c r="AP21" s="29">
        <f t="shared" ref="AP21" si="33">AP19</f>
        <v>34</v>
      </c>
      <c r="AQ21" s="48" t="s">
        <v>19</v>
      </c>
      <c r="AR21" s="29">
        <f t="shared" ref="AR21" si="34">600+(600-AR19)</f>
        <v>952</v>
      </c>
      <c r="AS21" s="29">
        <f t="shared" ref="AS21" si="35">AS19</f>
        <v>20</v>
      </c>
    </row>
    <row r="22" spans="1:45">
      <c r="A22" s="24">
        <v>18</v>
      </c>
      <c r="B22" s="19" t="s">
        <v>76</v>
      </c>
      <c r="C22" s="19" t="s">
        <v>75</v>
      </c>
      <c r="D22" s="11">
        <v>41.593268686170845</v>
      </c>
      <c r="E22" s="9">
        <v>26</v>
      </c>
      <c r="F22" s="9">
        <v>36.055512754639892</v>
      </c>
      <c r="G22" s="9">
        <v>38</v>
      </c>
      <c r="H22" s="9">
        <v>59</v>
      </c>
      <c r="I22" s="3"/>
      <c r="J22" s="21">
        <v>18</v>
      </c>
      <c r="K22" s="34"/>
      <c r="L22" s="34"/>
      <c r="M22" s="34"/>
      <c r="N22" s="11"/>
      <c r="O22" s="9"/>
      <c r="P22" s="9"/>
      <c r="Q22" s="9"/>
      <c r="R22" s="9"/>
      <c r="T22" s="23">
        <v>18</v>
      </c>
      <c r="U22" s="35"/>
      <c r="V22" s="35"/>
      <c r="W22" s="35"/>
      <c r="X22" s="35"/>
      <c r="Y22" s="11"/>
      <c r="Z22" s="9"/>
      <c r="AA22" s="9"/>
      <c r="AB22" s="9"/>
      <c r="AC22" s="9"/>
      <c r="AE22" s="48" t="s">
        <v>20</v>
      </c>
      <c r="AF22" s="29">
        <v>357</v>
      </c>
      <c r="AG22" s="29">
        <v>563</v>
      </c>
      <c r="AH22" s="48" t="s">
        <v>20</v>
      </c>
      <c r="AI22" s="29">
        <v>348</v>
      </c>
      <c r="AJ22" s="29">
        <v>559</v>
      </c>
      <c r="AK22" s="48" t="s">
        <v>20</v>
      </c>
      <c r="AL22" s="29">
        <v>379</v>
      </c>
      <c r="AM22" s="29">
        <v>617</v>
      </c>
      <c r="AN22" s="49" t="s">
        <v>20</v>
      </c>
      <c r="AO22" s="30">
        <v>335</v>
      </c>
      <c r="AP22" s="30">
        <v>573</v>
      </c>
      <c r="AQ22" s="48" t="s">
        <v>20</v>
      </c>
      <c r="AR22" s="29">
        <v>343</v>
      </c>
      <c r="AS22" s="29">
        <v>587</v>
      </c>
    </row>
    <row r="23" spans="1:45">
      <c r="A23" s="24">
        <v>19</v>
      </c>
      <c r="B23" s="19" t="s">
        <v>73</v>
      </c>
      <c r="C23" s="19" t="s">
        <v>74</v>
      </c>
      <c r="D23" s="11">
        <v>198.36330305779848</v>
      </c>
      <c r="E23" s="9">
        <v>219.4288039433292</v>
      </c>
      <c r="F23" s="9">
        <v>174.01149387324966</v>
      </c>
      <c r="G23" s="9">
        <v>224.26992665089986</v>
      </c>
      <c r="H23" s="9">
        <v>210.29740844813091</v>
      </c>
      <c r="I23" s="3"/>
      <c r="J23" s="21">
        <v>19</v>
      </c>
      <c r="K23" s="34"/>
      <c r="L23" s="34"/>
      <c r="M23" s="34"/>
      <c r="N23" s="11"/>
      <c r="O23" s="9"/>
      <c r="P23" s="9"/>
      <c r="Q23" s="9"/>
      <c r="R23" s="9"/>
      <c r="T23" s="23">
        <v>19</v>
      </c>
      <c r="U23" s="35"/>
      <c r="V23" s="35"/>
      <c r="W23" s="35"/>
      <c r="X23" s="35"/>
      <c r="Y23" s="11"/>
      <c r="Z23" s="9"/>
      <c r="AA23" s="9"/>
      <c r="AB23" s="9"/>
      <c r="AC23" s="9"/>
      <c r="AE23" s="48" t="s">
        <v>21</v>
      </c>
      <c r="AF23" s="29">
        <v>435</v>
      </c>
      <c r="AG23" s="29">
        <v>573</v>
      </c>
      <c r="AH23" s="49" t="s">
        <v>21</v>
      </c>
      <c r="AI23" s="30">
        <v>438</v>
      </c>
      <c r="AJ23" s="30">
        <v>585</v>
      </c>
      <c r="AK23" s="48" t="s">
        <v>21</v>
      </c>
      <c r="AL23" s="29">
        <v>457</v>
      </c>
      <c r="AM23" s="29">
        <v>638</v>
      </c>
      <c r="AN23" s="49" t="s">
        <v>21</v>
      </c>
      <c r="AO23" s="30">
        <v>424</v>
      </c>
      <c r="AP23" s="30">
        <v>620</v>
      </c>
      <c r="AQ23" s="48" t="s">
        <v>21</v>
      </c>
      <c r="AR23" s="29">
        <v>444</v>
      </c>
      <c r="AS23" s="29">
        <v>611</v>
      </c>
    </row>
    <row r="24" spans="1:45">
      <c r="A24" s="24">
        <v>20</v>
      </c>
      <c r="B24" s="19"/>
      <c r="C24" s="19"/>
      <c r="D24" s="9"/>
      <c r="E24" s="9"/>
      <c r="F24" s="9"/>
      <c r="G24" s="9"/>
      <c r="H24" s="9"/>
      <c r="I24" s="3"/>
      <c r="J24" s="21">
        <v>20</v>
      </c>
      <c r="K24" s="34"/>
      <c r="L24" s="34"/>
      <c r="M24" s="34"/>
      <c r="N24" s="11"/>
      <c r="O24" s="9"/>
      <c r="P24" s="9"/>
      <c r="Q24" s="9"/>
      <c r="R24" s="9"/>
      <c r="T24" s="23">
        <v>20</v>
      </c>
      <c r="U24" s="35"/>
      <c r="V24" s="35"/>
      <c r="W24" s="35"/>
      <c r="X24" s="35"/>
      <c r="Y24" s="11"/>
      <c r="Z24" s="9"/>
      <c r="AA24" s="9"/>
      <c r="AB24" s="9"/>
      <c r="AC24" s="9"/>
      <c r="AE24" s="48" t="s">
        <v>22</v>
      </c>
      <c r="AF24" s="29">
        <v>501</v>
      </c>
      <c r="AG24" s="29">
        <v>554</v>
      </c>
      <c r="AH24" s="49" t="s">
        <v>22</v>
      </c>
      <c r="AI24" s="30">
        <v>516</v>
      </c>
      <c r="AJ24" s="30">
        <v>571</v>
      </c>
      <c r="AK24" s="48" t="s">
        <v>22</v>
      </c>
      <c r="AL24" s="29">
        <v>523</v>
      </c>
      <c r="AM24" s="29">
        <v>622</v>
      </c>
      <c r="AN24" s="49" t="s">
        <v>22</v>
      </c>
      <c r="AO24" s="30">
        <v>497</v>
      </c>
      <c r="AP24" s="30">
        <v>589</v>
      </c>
      <c r="AQ24" s="48" t="s">
        <v>22</v>
      </c>
      <c r="AR24" s="29">
        <v>514</v>
      </c>
      <c r="AS24" s="29">
        <v>584</v>
      </c>
    </row>
    <row r="25" spans="1:45" ht="15.75" customHeight="1">
      <c r="A25" s="24">
        <v>21</v>
      </c>
      <c r="B25" s="19"/>
      <c r="C25" s="19"/>
      <c r="D25" s="9"/>
      <c r="E25" s="9"/>
      <c r="F25" s="9"/>
      <c r="G25" s="9"/>
      <c r="H25" s="9"/>
      <c r="I25" s="3"/>
      <c r="J25" s="21">
        <v>21</v>
      </c>
      <c r="K25" s="34"/>
      <c r="L25" s="34"/>
      <c r="M25" s="34"/>
      <c r="N25" s="11"/>
      <c r="O25" s="9"/>
      <c r="P25" s="9"/>
      <c r="Q25" s="9"/>
      <c r="R25" s="9"/>
      <c r="T25" s="23">
        <v>21</v>
      </c>
      <c r="U25" s="35"/>
      <c r="V25" s="35"/>
      <c r="W25" s="35"/>
      <c r="X25" s="35"/>
      <c r="Y25" s="11"/>
      <c r="Z25" s="9"/>
      <c r="AA25" s="9"/>
      <c r="AB25" s="9"/>
      <c r="AC25" s="9"/>
      <c r="AE25" s="48" t="s">
        <v>23</v>
      </c>
      <c r="AF25" s="29">
        <v>439</v>
      </c>
      <c r="AG25" s="29">
        <v>527</v>
      </c>
      <c r="AH25" s="49" t="s">
        <v>23</v>
      </c>
      <c r="AI25" s="30">
        <v>436</v>
      </c>
      <c r="AJ25" s="30">
        <v>523</v>
      </c>
      <c r="AK25" s="48" t="s">
        <v>23</v>
      </c>
      <c r="AL25" s="29">
        <v>449</v>
      </c>
      <c r="AM25" s="29">
        <v>587</v>
      </c>
      <c r="AN25" s="49" t="s">
        <v>23</v>
      </c>
      <c r="AO25" s="30">
        <v>420</v>
      </c>
      <c r="AP25" s="30">
        <v>543</v>
      </c>
      <c r="AQ25" s="48" t="s">
        <v>23</v>
      </c>
      <c r="AR25" s="29">
        <v>432</v>
      </c>
      <c r="AS25" s="29">
        <v>542</v>
      </c>
    </row>
    <row r="26" spans="1:45" ht="16.5" customHeight="1">
      <c r="A26" s="24">
        <v>22</v>
      </c>
      <c r="B26" s="19"/>
      <c r="C26" s="19"/>
      <c r="D26" s="9"/>
      <c r="E26" s="9"/>
      <c r="F26" s="9"/>
      <c r="G26" s="9"/>
      <c r="H26" s="9"/>
      <c r="I26" s="3"/>
      <c r="J26" s="21">
        <v>22</v>
      </c>
      <c r="K26" s="34"/>
      <c r="L26" s="34"/>
      <c r="M26" s="34"/>
      <c r="N26" s="11"/>
      <c r="O26" s="9"/>
      <c r="P26" s="9"/>
      <c r="Q26" s="9"/>
      <c r="R26" s="9"/>
      <c r="T26" s="23">
        <v>22</v>
      </c>
      <c r="U26" s="35"/>
      <c r="V26" s="35"/>
      <c r="W26" s="35"/>
      <c r="X26" s="35"/>
      <c r="Y26" s="11"/>
      <c r="Z26" s="9"/>
      <c r="AA26" s="9"/>
      <c r="AB26" s="9"/>
      <c r="AC26" s="9"/>
      <c r="AE26" s="48" t="s">
        <v>24</v>
      </c>
      <c r="AF26" s="31">
        <v>1180</v>
      </c>
      <c r="AG26" s="31">
        <v>1180</v>
      </c>
      <c r="AH26" s="49" t="s">
        <v>24</v>
      </c>
      <c r="AI26" s="30">
        <v>1180</v>
      </c>
      <c r="AJ26" s="30">
        <v>1180</v>
      </c>
      <c r="AK26" s="48" t="s">
        <v>24</v>
      </c>
      <c r="AL26" s="31">
        <v>1180</v>
      </c>
      <c r="AM26" s="31">
        <v>1180</v>
      </c>
      <c r="AN26" s="49" t="s">
        <v>24</v>
      </c>
      <c r="AO26" s="30">
        <v>1180</v>
      </c>
      <c r="AP26" s="30">
        <v>1180</v>
      </c>
      <c r="AQ26" s="32" t="s">
        <v>24</v>
      </c>
      <c r="AR26" s="31">
        <v>1180</v>
      </c>
      <c r="AS26" s="31">
        <v>1180</v>
      </c>
    </row>
    <row r="27" spans="1:45">
      <c r="A27" s="24">
        <v>23</v>
      </c>
      <c r="B27" s="19"/>
      <c r="C27" s="19"/>
      <c r="D27" s="9"/>
      <c r="E27" s="9"/>
      <c r="F27" s="9"/>
      <c r="G27" s="9"/>
      <c r="H27" s="9"/>
      <c r="J27" s="21">
        <v>23</v>
      </c>
      <c r="K27" s="34"/>
      <c r="L27" s="34"/>
      <c r="M27" s="34"/>
      <c r="N27" s="11"/>
      <c r="O27" s="9"/>
      <c r="P27" s="9"/>
      <c r="Q27" s="9"/>
      <c r="R27" s="9"/>
      <c r="T27" s="23">
        <v>23</v>
      </c>
      <c r="U27" s="35"/>
      <c r="V27" s="35"/>
      <c r="W27" s="35"/>
      <c r="X27" s="35"/>
      <c r="Y27" s="11"/>
      <c r="Z27" s="9"/>
      <c r="AA27" s="9"/>
      <c r="AB27" s="9"/>
      <c r="AC27" s="9"/>
      <c r="AE27" s="46" t="s">
        <v>67</v>
      </c>
      <c r="AF27" s="8">
        <v>600</v>
      </c>
      <c r="AG27" s="37">
        <v>0</v>
      </c>
      <c r="AH27" s="46" t="s">
        <v>67</v>
      </c>
      <c r="AI27" s="9">
        <v>600</v>
      </c>
      <c r="AJ27" s="38">
        <v>0</v>
      </c>
      <c r="AK27" s="46" t="s">
        <v>67</v>
      </c>
      <c r="AL27" s="8">
        <v>600</v>
      </c>
      <c r="AM27" s="37">
        <v>0</v>
      </c>
      <c r="AN27" s="46" t="s">
        <v>67</v>
      </c>
      <c r="AO27" s="9">
        <v>600</v>
      </c>
      <c r="AP27" s="38">
        <v>0</v>
      </c>
      <c r="AQ27" s="46" t="s">
        <v>67</v>
      </c>
      <c r="AR27" s="8">
        <v>600</v>
      </c>
      <c r="AS27" s="37">
        <v>0</v>
      </c>
    </row>
    <row r="28" spans="1:45" s="7" customFormat="1">
      <c r="A28" s="24">
        <v>24</v>
      </c>
      <c r="B28" s="19"/>
      <c r="C28" s="19"/>
      <c r="D28" s="17"/>
      <c r="E28" s="12"/>
      <c r="F28" s="12"/>
      <c r="G28" s="12"/>
      <c r="H28" s="12"/>
      <c r="J28" s="21">
        <v>24</v>
      </c>
      <c r="K28" s="34"/>
      <c r="L28" s="34"/>
      <c r="M28" s="34"/>
      <c r="N28" s="17"/>
      <c r="O28" s="12"/>
      <c r="P28" s="12"/>
      <c r="Q28" s="12"/>
      <c r="R28" s="12"/>
      <c r="T28" s="23">
        <v>24</v>
      </c>
      <c r="U28" s="35"/>
      <c r="V28" s="35"/>
      <c r="W28" s="35"/>
      <c r="X28" s="35"/>
      <c r="Y28" s="17"/>
      <c r="Z28" s="12"/>
      <c r="AA28" s="12"/>
      <c r="AB28" s="12"/>
      <c r="AC28" s="12"/>
      <c r="AE28" s="46" t="s">
        <v>68</v>
      </c>
      <c r="AF28" s="8">
        <v>435</v>
      </c>
      <c r="AG28" s="37">
        <v>419</v>
      </c>
      <c r="AH28" s="46" t="s">
        <v>68</v>
      </c>
      <c r="AI28" s="9">
        <v>435</v>
      </c>
      <c r="AJ28" s="38">
        <v>459</v>
      </c>
      <c r="AK28" s="46" t="s">
        <v>68</v>
      </c>
      <c r="AL28" s="8">
        <v>447</v>
      </c>
      <c r="AM28" s="37">
        <v>515</v>
      </c>
      <c r="AN28" s="46" t="s">
        <v>68</v>
      </c>
      <c r="AO28" s="9">
        <v>425</v>
      </c>
      <c r="AP28" s="38">
        <v>439</v>
      </c>
      <c r="AQ28" s="46" t="s">
        <v>68</v>
      </c>
      <c r="AR28" s="8">
        <v>407</v>
      </c>
      <c r="AS28" s="37">
        <v>395</v>
      </c>
    </row>
    <row r="29" spans="1:45">
      <c r="A29" s="24">
        <v>25</v>
      </c>
      <c r="B29" s="19"/>
      <c r="C29" s="19"/>
      <c r="D29" s="18"/>
      <c r="E29" s="13"/>
      <c r="F29" s="9"/>
      <c r="G29" s="9"/>
      <c r="H29" s="9"/>
      <c r="J29" s="21">
        <v>25</v>
      </c>
      <c r="K29" s="34"/>
      <c r="L29" s="34"/>
      <c r="M29" s="34"/>
      <c r="N29" s="11"/>
      <c r="O29" s="9"/>
      <c r="P29" s="9"/>
      <c r="Q29" s="9"/>
      <c r="R29" s="9"/>
      <c r="T29" s="23">
        <v>25</v>
      </c>
      <c r="U29" s="35"/>
      <c r="V29" s="35"/>
      <c r="W29" s="35"/>
      <c r="X29" s="35"/>
      <c r="Y29" s="11"/>
      <c r="Z29" s="9"/>
      <c r="AA29" s="9"/>
      <c r="AB29" s="9"/>
      <c r="AC29" s="9"/>
      <c r="AE29" s="46" t="s">
        <v>69</v>
      </c>
      <c r="AF29" s="8">
        <v>326</v>
      </c>
      <c r="AG29" s="37">
        <v>461</v>
      </c>
      <c r="AH29" s="46" t="s">
        <v>69</v>
      </c>
      <c r="AI29" s="9">
        <v>318</v>
      </c>
      <c r="AJ29" s="38">
        <v>474</v>
      </c>
      <c r="AK29" s="46" t="s">
        <v>69</v>
      </c>
      <c r="AL29" s="8">
        <v>335</v>
      </c>
      <c r="AM29" s="37">
        <v>547</v>
      </c>
      <c r="AN29" s="46" t="s">
        <v>69</v>
      </c>
      <c r="AO29" s="9">
        <v>313</v>
      </c>
      <c r="AP29" s="38">
        <v>481</v>
      </c>
      <c r="AQ29" s="46" t="s">
        <v>69</v>
      </c>
      <c r="AR29" s="8">
        <v>311</v>
      </c>
      <c r="AS29" s="37">
        <v>471</v>
      </c>
    </row>
    <row r="30" spans="1:45">
      <c r="A30" s="24">
        <v>26</v>
      </c>
      <c r="B30" s="19"/>
      <c r="C30" s="19"/>
      <c r="D30" s="11"/>
      <c r="E30" s="9"/>
      <c r="F30" s="9"/>
      <c r="G30" s="9"/>
      <c r="H30" s="9"/>
      <c r="J30" s="21">
        <v>26</v>
      </c>
      <c r="K30" s="34"/>
      <c r="L30" s="34"/>
      <c r="M30" s="34"/>
      <c r="N30" s="11"/>
      <c r="O30" s="9"/>
      <c r="P30" s="9"/>
      <c r="Q30" s="9"/>
      <c r="R30" s="9"/>
      <c r="T30" s="23">
        <v>26</v>
      </c>
      <c r="U30" s="35"/>
      <c r="V30" s="35"/>
      <c r="W30" s="35"/>
      <c r="X30" s="35"/>
      <c r="Y30" s="11"/>
      <c r="Z30" s="9"/>
      <c r="AA30" s="9"/>
      <c r="AB30" s="9"/>
      <c r="AC30" s="9"/>
      <c r="AE30" s="46" t="s">
        <v>70</v>
      </c>
      <c r="AF30" s="8">
        <v>524</v>
      </c>
      <c r="AG30" s="37">
        <v>449</v>
      </c>
      <c r="AH30" s="46" t="s">
        <v>70</v>
      </c>
      <c r="AI30" s="9">
        <v>536</v>
      </c>
      <c r="AJ30" s="38">
        <v>499</v>
      </c>
      <c r="AK30" s="46" t="s">
        <v>70</v>
      </c>
      <c r="AL30" s="8">
        <v>509</v>
      </c>
      <c r="AM30" s="37">
        <v>549</v>
      </c>
      <c r="AN30" s="46" t="s">
        <v>70</v>
      </c>
      <c r="AO30" s="9">
        <v>537</v>
      </c>
      <c r="AP30" s="38">
        <v>492</v>
      </c>
      <c r="AQ30" s="46" t="s">
        <v>70</v>
      </c>
      <c r="AR30" s="8">
        <v>519</v>
      </c>
      <c r="AS30" s="37">
        <v>440</v>
      </c>
    </row>
    <row r="31" spans="1:45">
      <c r="A31" s="24">
        <v>27</v>
      </c>
      <c r="B31" s="19"/>
      <c r="C31" s="19"/>
      <c r="D31" s="11"/>
      <c r="E31" s="9"/>
      <c r="F31" s="9"/>
      <c r="G31" s="9"/>
      <c r="H31" s="9"/>
      <c r="J31" s="21">
        <v>27</v>
      </c>
      <c r="K31" s="34"/>
      <c r="L31" s="34"/>
      <c r="M31" s="34"/>
      <c r="N31" s="11"/>
      <c r="O31" s="9"/>
      <c r="P31" s="9"/>
      <c r="Q31" s="9"/>
      <c r="R31" s="9"/>
      <c r="T31" s="23">
        <v>27</v>
      </c>
      <c r="U31" s="35"/>
      <c r="V31" s="35"/>
      <c r="W31" s="35"/>
      <c r="X31" s="35"/>
      <c r="Y31" s="11"/>
      <c r="Z31" s="9"/>
      <c r="AA31" s="9"/>
      <c r="AB31" s="9"/>
      <c r="AC31" s="9"/>
      <c r="AE31" s="46" t="s">
        <v>71</v>
      </c>
      <c r="AF31" s="8">
        <v>428</v>
      </c>
      <c r="AG31" s="37">
        <v>460</v>
      </c>
      <c r="AH31" s="46" t="s">
        <v>71</v>
      </c>
      <c r="AI31" s="9">
        <v>425</v>
      </c>
      <c r="AJ31" s="38">
        <v>483</v>
      </c>
      <c r="AK31" s="46" t="s">
        <v>71</v>
      </c>
      <c r="AL31" s="8">
        <v>435</v>
      </c>
      <c r="AM31" s="37">
        <v>549</v>
      </c>
      <c r="AN31" s="46" t="s">
        <v>71</v>
      </c>
      <c r="AO31" s="9">
        <v>425</v>
      </c>
      <c r="AP31" s="38">
        <v>477</v>
      </c>
      <c r="AQ31" s="46" t="s">
        <v>71</v>
      </c>
      <c r="AR31" s="8">
        <v>407</v>
      </c>
      <c r="AS31" s="37">
        <v>454</v>
      </c>
    </row>
    <row r="32" spans="1:45">
      <c r="A32" s="24">
        <v>28</v>
      </c>
      <c r="B32" s="19"/>
      <c r="C32" s="19"/>
      <c r="D32" s="11"/>
      <c r="E32" s="9"/>
      <c r="F32" s="9"/>
      <c r="G32" s="9"/>
      <c r="H32" s="9"/>
      <c r="J32" s="21">
        <v>28</v>
      </c>
      <c r="K32" s="34"/>
      <c r="L32" s="34"/>
      <c r="M32" s="34"/>
      <c r="N32" s="11"/>
      <c r="O32" s="9"/>
      <c r="P32" s="9"/>
      <c r="Q32" s="9"/>
      <c r="R32" s="9"/>
      <c r="T32" s="23">
        <v>28</v>
      </c>
      <c r="U32" s="35"/>
      <c r="V32" s="35"/>
      <c r="W32" s="35"/>
      <c r="X32" s="35"/>
      <c r="Y32" s="11"/>
      <c r="Z32" s="9"/>
      <c r="AA32" s="9"/>
      <c r="AB32" s="9"/>
      <c r="AC32" s="9"/>
      <c r="AE32" s="46"/>
      <c r="AF32" s="8"/>
      <c r="AG32" s="37"/>
      <c r="AH32" s="46"/>
      <c r="AI32" s="9"/>
      <c r="AJ32" s="38"/>
      <c r="AK32" s="46"/>
      <c r="AL32" s="8"/>
      <c r="AM32" s="37"/>
      <c r="AN32" s="46"/>
      <c r="AO32" s="9"/>
      <c r="AP32" s="38"/>
      <c r="AQ32" s="46"/>
      <c r="AR32" s="8"/>
      <c r="AS32" s="37"/>
    </row>
    <row r="33" spans="1:45">
      <c r="A33" s="24">
        <v>29</v>
      </c>
      <c r="B33" s="19"/>
      <c r="C33" s="19"/>
      <c r="D33" s="11"/>
      <c r="E33" s="9"/>
      <c r="F33" s="9"/>
      <c r="G33" s="9"/>
      <c r="H33" s="9"/>
      <c r="J33" s="21">
        <v>29</v>
      </c>
      <c r="K33" s="34"/>
      <c r="L33" s="34"/>
      <c r="M33" s="34"/>
      <c r="N33" s="11"/>
      <c r="O33" s="9"/>
      <c r="P33" s="9"/>
      <c r="Q33" s="9"/>
      <c r="R33" s="9"/>
      <c r="T33" s="23">
        <v>29</v>
      </c>
      <c r="U33" s="35"/>
      <c r="V33" s="35"/>
      <c r="W33" s="35"/>
      <c r="X33" s="35"/>
      <c r="Y33" s="11"/>
      <c r="Z33" s="9"/>
      <c r="AA33" s="9"/>
      <c r="AB33" s="9"/>
      <c r="AC33" s="9"/>
      <c r="AE33" s="36"/>
      <c r="AF33" s="8"/>
      <c r="AG33" s="6"/>
      <c r="AH33" s="5"/>
      <c r="AI33" s="9"/>
      <c r="AJ33" s="16"/>
      <c r="AK33" s="36"/>
      <c r="AL33" s="8"/>
      <c r="AM33" s="6"/>
      <c r="AN33" s="5"/>
      <c r="AO33" s="9"/>
      <c r="AP33" s="16"/>
      <c r="AQ33" s="36"/>
      <c r="AR33" s="8"/>
      <c r="AS33" s="6"/>
    </row>
    <row r="34" spans="1:45">
      <c r="A34" s="24">
        <v>30</v>
      </c>
      <c r="B34" s="19"/>
      <c r="C34" s="19"/>
      <c r="D34" s="11"/>
      <c r="E34" s="9"/>
      <c r="F34" s="9"/>
      <c r="G34" s="9"/>
      <c r="H34" s="9"/>
      <c r="J34" s="21">
        <v>30</v>
      </c>
      <c r="K34" s="34"/>
      <c r="L34" s="34"/>
      <c r="M34" s="34"/>
      <c r="N34" s="11"/>
      <c r="O34" s="9"/>
      <c r="P34" s="9"/>
      <c r="Q34" s="9"/>
      <c r="R34" s="9"/>
      <c r="T34" s="23">
        <v>30</v>
      </c>
      <c r="U34" s="35"/>
      <c r="V34" s="35"/>
      <c r="W34" s="35"/>
      <c r="X34" s="35"/>
      <c r="Y34" s="11"/>
      <c r="Z34" s="9"/>
      <c r="AA34" s="9"/>
      <c r="AB34" s="9"/>
      <c r="AC34" s="9"/>
      <c r="AE34" s="36"/>
      <c r="AF34" s="8"/>
      <c r="AG34" s="6"/>
      <c r="AH34" s="5"/>
      <c r="AI34" s="9"/>
      <c r="AJ34" s="16"/>
      <c r="AK34" s="36"/>
      <c r="AL34" s="8"/>
      <c r="AM34" s="6"/>
      <c r="AN34" s="5"/>
      <c r="AO34" s="9"/>
      <c r="AP34" s="16"/>
      <c r="AQ34" s="36"/>
      <c r="AR34" s="8"/>
      <c r="AS34" s="6"/>
    </row>
    <row r="35" spans="1:45">
      <c r="A35" s="25"/>
      <c r="B35" s="15"/>
      <c r="C35" s="15"/>
      <c r="D35" s="14"/>
      <c r="E35" s="14"/>
    </row>
    <row r="36" spans="1:45" ht="15.75" customHeight="1">
      <c r="A36" s="79" t="s">
        <v>64</v>
      </c>
      <c r="B36" s="79"/>
      <c r="C36" s="79"/>
      <c r="D36" s="79"/>
      <c r="E36" s="79"/>
      <c r="F36" s="79"/>
      <c r="G36" s="79"/>
      <c r="H36" s="79"/>
      <c r="I36" s="20"/>
      <c r="J36" s="79" t="s">
        <v>64</v>
      </c>
      <c r="K36" s="80"/>
      <c r="L36" s="80"/>
      <c r="M36" s="80"/>
      <c r="N36" s="80"/>
      <c r="O36" s="80"/>
      <c r="P36" s="80"/>
      <c r="Q36" s="80"/>
      <c r="R36" s="80"/>
      <c r="T36" s="79" t="s">
        <v>64</v>
      </c>
      <c r="U36" s="80"/>
      <c r="V36" s="80"/>
      <c r="W36" s="80"/>
      <c r="X36" s="80"/>
      <c r="Y36" s="80"/>
      <c r="Z36" s="80"/>
      <c r="AA36" s="80"/>
      <c r="AB36" s="80"/>
      <c r="AC36" s="80"/>
      <c r="AE36" s="80" t="s">
        <v>63</v>
      </c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</row>
    <row r="37" spans="1:45" ht="15.75" customHeight="1">
      <c r="A37" s="79"/>
      <c r="B37" s="79"/>
      <c r="C37" s="79"/>
      <c r="D37" s="79"/>
      <c r="E37" s="79"/>
      <c r="F37" s="79"/>
      <c r="G37" s="79"/>
      <c r="H37" s="79"/>
      <c r="I37" s="20"/>
      <c r="J37" s="80"/>
      <c r="K37" s="80"/>
      <c r="L37" s="80"/>
      <c r="M37" s="80"/>
      <c r="N37" s="80"/>
      <c r="O37" s="80"/>
      <c r="P37" s="80"/>
      <c r="Q37" s="80"/>
      <c r="R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</row>
    <row r="38" spans="1:45">
      <c r="A38" s="79"/>
      <c r="B38" s="79"/>
      <c r="C38" s="79"/>
      <c r="D38" s="79"/>
      <c r="E38" s="79"/>
      <c r="F38" s="79"/>
      <c r="G38" s="79"/>
      <c r="H38" s="79"/>
      <c r="J38" s="80"/>
      <c r="K38" s="80"/>
      <c r="L38" s="80"/>
      <c r="M38" s="80"/>
      <c r="N38" s="80"/>
      <c r="O38" s="80"/>
      <c r="P38" s="80"/>
      <c r="Q38" s="80"/>
      <c r="R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</row>
    <row r="39" spans="1:45">
      <c r="A39" s="25"/>
      <c r="B39" s="15"/>
      <c r="C39" s="15"/>
      <c r="D39" s="14"/>
      <c r="E39" s="14"/>
    </row>
    <row r="40" spans="1:45">
      <c r="A40" s="25"/>
      <c r="B40" s="15"/>
      <c r="C40" s="15"/>
      <c r="D40" s="14"/>
      <c r="E40" s="14"/>
    </row>
    <row r="41" spans="1:45">
      <c r="A41" s="25"/>
      <c r="B41" s="15"/>
      <c r="C41" s="15"/>
      <c r="D41" s="14"/>
      <c r="E41" s="14"/>
    </row>
    <row r="42" spans="1:45">
      <c r="A42" s="25"/>
      <c r="B42" s="15"/>
      <c r="C42" s="15"/>
      <c r="D42" s="14"/>
      <c r="E42" s="14"/>
    </row>
    <row r="43" spans="1:45">
      <c r="A43" s="25"/>
      <c r="B43" s="15"/>
      <c r="C43" s="15"/>
      <c r="D43" s="14"/>
      <c r="E43" s="14"/>
    </row>
    <row r="44" spans="1:45">
      <c r="A44" s="25"/>
      <c r="B44" s="15"/>
      <c r="C44" s="15"/>
      <c r="D44" s="14"/>
      <c r="E44" s="14"/>
    </row>
    <row r="45" spans="1:45">
      <c r="A45" s="25"/>
      <c r="B45" s="15"/>
      <c r="C45" s="15"/>
      <c r="D45" s="14"/>
      <c r="E45" s="14"/>
    </row>
    <row r="46" spans="1:45">
      <c r="A46" s="25"/>
      <c r="B46" s="15"/>
      <c r="C46" s="15"/>
      <c r="D46" s="14"/>
      <c r="E46" s="14"/>
    </row>
    <row r="47" spans="1:45">
      <c r="A47" s="25"/>
      <c r="B47" s="15"/>
      <c r="C47" s="15"/>
      <c r="D47" s="14"/>
      <c r="E47" s="14"/>
    </row>
    <row r="48" spans="1:45">
      <c r="A48" s="25"/>
      <c r="B48" s="15"/>
      <c r="C48" s="15"/>
      <c r="D48" s="14"/>
      <c r="E48" s="14"/>
    </row>
    <row r="49" spans="1:5">
      <c r="A49" s="25"/>
      <c r="B49" s="15"/>
      <c r="C49" s="15"/>
      <c r="D49" s="14"/>
      <c r="E49" s="14"/>
    </row>
    <row r="50" spans="1:5">
      <c r="A50" s="25"/>
      <c r="B50" s="15"/>
      <c r="C50" s="15"/>
      <c r="D50" s="14"/>
      <c r="E50" s="14"/>
    </row>
    <row r="51" spans="1:5">
      <c r="A51" s="25"/>
      <c r="B51" s="15"/>
      <c r="C51" s="15"/>
      <c r="D51" s="14"/>
      <c r="E51" s="14"/>
    </row>
    <row r="52" spans="1:5">
      <c r="A52" s="25"/>
      <c r="B52" s="15"/>
      <c r="C52" s="15"/>
      <c r="D52" s="14"/>
      <c r="E52" s="14"/>
    </row>
  </sheetData>
  <mergeCells count="27">
    <mergeCell ref="A36:H38"/>
    <mergeCell ref="J36:R38"/>
    <mergeCell ref="T36:AC38"/>
    <mergeCell ref="AE36:AS38"/>
    <mergeCell ref="AN2:AP2"/>
    <mergeCell ref="AQ2:AS2"/>
    <mergeCell ref="AF3:AG3"/>
    <mergeCell ref="AI3:AJ3"/>
    <mergeCell ref="AL3:AM3"/>
    <mergeCell ref="AO3:AP3"/>
    <mergeCell ref="AR3:AS3"/>
    <mergeCell ref="T2:X4"/>
    <mergeCell ref="Y2:AA3"/>
    <mergeCell ref="AB2:AC3"/>
    <mergeCell ref="AE2:AG2"/>
    <mergeCell ref="AH2:AJ2"/>
    <mergeCell ref="AK2:AM2"/>
    <mergeCell ref="A1:H1"/>
    <mergeCell ref="J1:R1"/>
    <mergeCell ref="T1:AC1"/>
    <mergeCell ref="AE1:AS1"/>
    <mergeCell ref="A2:C4"/>
    <mergeCell ref="D2:F3"/>
    <mergeCell ref="G2:H3"/>
    <mergeCell ref="J2:M4"/>
    <mergeCell ref="N2:P3"/>
    <mergeCell ref="Q2:R3"/>
  </mergeCells>
  <phoneticPr fontId="1" type="noConversion"/>
  <conditionalFormatting sqref="Y1:AC1 Y4:AC35 Y2 Y39:AC1048576">
    <cfRule type="cellIs" dxfId="16" priority="1" operator="lessThan">
      <formula>0</formula>
    </cfRule>
  </conditionalFormatting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工作表27"/>
  <dimension ref="A1:AS52"/>
  <sheetViews>
    <sheetView topLeftCell="P1" zoomScale="70" zoomScaleNormal="70" workbookViewId="0">
      <selection activeCell="AI3" sqref="AI3:AJ3"/>
    </sheetView>
  </sheetViews>
  <sheetFormatPr defaultColWidth="9" defaultRowHeight="15.5"/>
  <cols>
    <col min="1" max="1" width="3.58203125" style="22" customWidth="1"/>
    <col min="2" max="3" width="3.58203125" style="4" customWidth="1"/>
    <col min="4" max="8" width="10.58203125" style="10" customWidth="1"/>
    <col min="9" max="9" width="2.08203125" style="1" customWidth="1"/>
    <col min="10" max="10" width="3.58203125" style="22" customWidth="1"/>
    <col min="11" max="12" width="3.58203125" style="4" customWidth="1"/>
    <col min="13" max="13" width="3.08203125" style="4" bestFit="1" customWidth="1"/>
    <col min="14" max="18" width="10.58203125" style="10" customWidth="1"/>
    <col min="19" max="19" width="2.08203125" style="1" customWidth="1"/>
    <col min="20" max="20" width="3.58203125" style="22" customWidth="1"/>
    <col min="21" max="23" width="3.58203125" style="4" customWidth="1"/>
    <col min="24" max="24" width="3.08203125" style="4" bestFit="1" customWidth="1"/>
    <col min="25" max="29" width="10.58203125" style="10" customWidth="1"/>
    <col min="30" max="30" width="2.08203125" style="1" customWidth="1"/>
    <col min="31" max="31" width="7.58203125" style="4" customWidth="1"/>
    <col min="32" max="32" width="10.58203125" style="10" customWidth="1"/>
    <col min="33" max="33" width="10.58203125" style="1" customWidth="1"/>
    <col min="34" max="34" width="7.58203125" style="4" customWidth="1"/>
    <col min="35" max="35" width="10.58203125" style="10" customWidth="1"/>
    <col min="36" max="36" width="10.58203125" style="1" customWidth="1"/>
    <col min="37" max="37" width="7.58203125" style="4" customWidth="1"/>
    <col min="38" max="38" width="10.58203125" style="10" customWidth="1"/>
    <col min="39" max="39" width="10.58203125" style="1" customWidth="1"/>
    <col min="40" max="40" width="7.58203125" style="4" customWidth="1"/>
    <col min="41" max="41" width="10.58203125" style="10" customWidth="1"/>
    <col min="42" max="42" width="10.58203125" style="1" customWidth="1"/>
    <col min="43" max="16384" width="9" style="1"/>
  </cols>
  <sheetData>
    <row r="1" spans="1:45" ht="24" customHeight="1">
      <c r="A1" s="57" t="s">
        <v>58</v>
      </c>
      <c r="B1" s="57"/>
      <c r="C1" s="57"/>
      <c r="D1" s="57"/>
      <c r="E1" s="57"/>
      <c r="F1" s="57"/>
      <c r="G1" s="57"/>
      <c r="H1" s="58"/>
      <c r="J1" s="59" t="s">
        <v>60</v>
      </c>
      <c r="K1" s="59"/>
      <c r="L1" s="59"/>
      <c r="M1" s="59"/>
      <c r="N1" s="59"/>
      <c r="O1" s="59"/>
      <c r="P1" s="59"/>
      <c r="Q1" s="59"/>
      <c r="R1" s="59"/>
      <c r="T1" s="60" t="s">
        <v>59</v>
      </c>
      <c r="U1" s="60"/>
      <c r="V1" s="60"/>
      <c r="W1" s="60"/>
      <c r="X1" s="60"/>
      <c r="Y1" s="60"/>
      <c r="Z1" s="60"/>
      <c r="AA1" s="60"/>
      <c r="AB1" s="60"/>
      <c r="AC1" s="60"/>
      <c r="AE1" s="61" t="s">
        <v>179</v>
      </c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</row>
    <row r="2" spans="1:45" s="2" customFormat="1" ht="19.5" customHeight="1">
      <c r="A2" s="63" t="s">
        <v>55</v>
      </c>
      <c r="B2" s="63"/>
      <c r="C2" s="63"/>
      <c r="D2" s="65"/>
      <c r="E2" s="66"/>
      <c r="F2" s="67"/>
      <c r="G2" s="65"/>
      <c r="H2" s="67"/>
      <c r="J2" s="71" t="s">
        <v>56</v>
      </c>
      <c r="K2" s="71"/>
      <c r="L2" s="71"/>
      <c r="M2" s="71"/>
      <c r="N2" s="73"/>
      <c r="O2" s="74"/>
      <c r="P2" s="75"/>
      <c r="Q2" s="73"/>
      <c r="R2" s="75"/>
      <c r="T2" s="90" t="s">
        <v>57</v>
      </c>
      <c r="U2" s="90"/>
      <c r="V2" s="90"/>
      <c r="W2" s="90"/>
      <c r="X2" s="90"/>
      <c r="Y2" s="92"/>
      <c r="Z2" s="93"/>
      <c r="AA2" s="94"/>
      <c r="AB2" s="92"/>
      <c r="AC2" s="94"/>
      <c r="AE2" s="54" t="s">
        <v>155</v>
      </c>
      <c r="AF2" s="55"/>
      <c r="AG2" s="56"/>
      <c r="AH2" s="81" t="s">
        <v>156</v>
      </c>
      <c r="AI2" s="82"/>
      <c r="AJ2" s="83"/>
      <c r="AK2" s="54" t="s">
        <v>157</v>
      </c>
      <c r="AL2" s="55"/>
      <c r="AM2" s="56"/>
      <c r="AN2" s="81" t="s">
        <v>158</v>
      </c>
      <c r="AO2" s="82"/>
      <c r="AP2" s="83"/>
      <c r="AQ2" s="54" t="s">
        <v>159</v>
      </c>
      <c r="AR2" s="55"/>
      <c r="AS2" s="56"/>
    </row>
    <row r="3" spans="1:45" ht="16.5" customHeight="1">
      <c r="A3" s="63"/>
      <c r="B3" s="63"/>
      <c r="C3" s="63"/>
      <c r="D3" s="68"/>
      <c r="E3" s="69"/>
      <c r="F3" s="70"/>
      <c r="G3" s="68"/>
      <c r="H3" s="70"/>
      <c r="J3" s="71"/>
      <c r="K3" s="71"/>
      <c r="L3" s="71"/>
      <c r="M3" s="71"/>
      <c r="N3" s="76"/>
      <c r="O3" s="77"/>
      <c r="P3" s="78"/>
      <c r="Q3" s="76"/>
      <c r="R3" s="78"/>
      <c r="T3" s="90"/>
      <c r="U3" s="90"/>
      <c r="V3" s="90"/>
      <c r="W3" s="90"/>
      <c r="X3" s="90"/>
      <c r="Y3" s="95"/>
      <c r="Z3" s="96"/>
      <c r="AA3" s="97"/>
      <c r="AB3" s="95"/>
      <c r="AC3" s="97"/>
      <c r="AE3" s="48" t="s">
        <v>178</v>
      </c>
      <c r="AF3" s="85" t="s">
        <v>177</v>
      </c>
      <c r="AG3" s="85"/>
      <c r="AH3" s="52" t="s">
        <v>178</v>
      </c>
      <c r="AI3" s="85" t="s">
        <v>177</v>
      </c>
      <c r="AJ3" s="85"/>
      <c r="AK3" s="52" t="s">
        <v>178</v>
      </c>
      <c r="AL3" s="85" t="s">
        <v>177</v>
      </c>
      <c r="AM3" s="85"/>
      <c r="AN3" s="52" t="s">
        <v>178</v>
      </c>
      <c r="AO3" s="85" t="s">
        <v>177</v>
      </c>
      <c r="AP3" s="85"/>
      <c r="AQ3" s="52" t="s">
        <v>178</v>
      </c>
      <c r="AR3" s="85" t="s">
        <v>177</v>
      </c>
      <c r="AS3" s="85"/>
    </row>
    <row r="4" spans="1:45" s="4" customFormat="1" ht="56" customHeight="1">
      <c r="A4" s="63"/>
      <c r="B4" s="64"/>
      <c r="C4" s="64"/>
      <c r="D4" s="19" t="s">
        <v>25</v>
      </c>
      <c r="E4" s="19" t="s">
        <v>26</v>
      </c>
      <c r="F4" s="19" t="s">
        <v>27</v>
      </c>
      <c r="G4" s="19" t="s">
        <v>28</v>
      </c>
      <c r="H4" s="19" t="s">
        <v>29</v>
      </c>
      <c r="J4" s="71"/>
      <c r="K4" s="72"/>
      <c r="L4" s="72"/>
      <c r="M4" s="72"/>
      <c r="N4" s="34" t="s">
        <v>25</v>
      </c>
      <c r="O4" s="34" t="s">
        <v>26</v>
      </c>
      <c r="P4" s="34" t="s">
        <v>27</v>
      </c>
      <c r="Q4" s="34" t="s">
        <v>28</v>
      </c>
      <c r="R4" s="34" t="s">
        <v>29</v>
      </c>
      <c r="T4" s="90"/>
      <c r="U4" s="91"/>
      <c r="V4" s="91"/>
      <c r="W4" s="91"/>
      <c r="X4" s="91"/>
      <c r="Y4" s="35" t="s">
        <v>25</v>
      </c>
      <c r="Z4" s="35" t="s">
        <v>26</v>
      </c>
      <c r="AA4" s="35" t="s">
        <v>27</v>
      </c>
      <c r="AB4" s="35" t="s">
        <v>28</v>
      </c>
      <c r="AC4" s="35" t="s">
        <v>29</v>
      </c>
      <c r="AE4" s="48"/>
      <c r="AF4" s="48" t="s">
        <v>0</v>
      </c>
      <c r="AG4" s="48" t="s">
        <v>1</v>
      </c>
      <c r="AH4" s="48"/>
      <c r="AI4" s="48" t="s">
        <v>0</v>
      </c>
      <c r="AJ4" s="48" t="s">
        <v>1</v>
      </c>
      <c r="AK4" s="48" t="s">
        <v>2</v>
      </c>
      <c r="AL4" s="48" t="s">
        <v>0</v>
      </c>
      <c r="AM4" s="48" t="s">
        <v>1</v>
      </c>
      <c r="AN4" s="49" t="s">
        <v>2</v>
      </c>
      <c r="AO4" s="49" t="s">
        <v>0</v>
      </c>
      <c r="AP4" s="49" t="s">
        <v>1</v>
      </c>
      <c r="AQ4" s="48" t="s">
        <v>2</v>
      </c>
      <c r="AR4" s="48" t="s">
        <v>0</v>
      </c>
      <c r="AS4" s="48" t="s">
        <v>1</v>
      </c>
    </row>
    <row r="5" spans="1:45">
      <c r="A5" s="24">
        <v>1</v>
      </c>
      <c r="B5" s="19" t="s">
        <v>30</v>
      </c>
      <c r="C5" s="19" t="s">
        <v>32</v>
      </c>
      <c r="D5" s="11">
        <v>417</v>
      </c>
      <c r="E5" s="9">
        <v>314.00636936215164</v>
      </c>
      <c r="F5" s="9">
        <v>310</v>
      </c>
      <c r="G5" s="9">
        <v>335</v>
      </c>
      <c r="H5" s="9">
        <v>316</v>
      </c>
      <c r="J5" s="21">
        <v>1</v>
      </c>
      <c r="K5" s="34" t="s">
        <v>30</v>
      </c>
      <c r="L5" s="34" t="s">
        <v>35</v>
      </c>
      <c r="M5" s="34" t="s">
        <v>38</v>
      </c>
      <c r="N5" s="9">
        <v>73.668848123929067</v>
      </c>
      <c r="O5" s="9">
        <v>71.128639098312817</v>
      </c>
      <c r="P5" s="9">
        <v>68.637349871903979</v>
      </c>
      <c r="Q5" s="9">
        <v>66.587885830697317</v>
      </c>
      <c r="R5" s="9">
        <v>68.920616305165751</v>
      </c>
      <c r="T5" s="23">
        <v>1</v>
      </c>
      <c r="U5" s="35" t="s">
        <v>30</v>
      </c>
      <c r="V5" s="35" t="s">
        <v>35</v>
      </c>
      <c r="W5" s="35" t="s">
        <v>32</v>
      </c>
      <c r="X5" s="35" t="s">
        <v>38</v>
      </c>
      <c r="Y5" s="11">
        <v>45453</v>
      </c>
      <c r="Z5" s="9">
        <v>30144</v>
      </c>
      <c r="AA5" s="9">
        <v>32860</v>
      </c>
      <c r="AB5" s="9">
        <v>42210</v>
      </c>
      <c r="AC5" s="9">
        <v>33496</v>
      </c>
      <c r="AE5" s="48" t="s">
        <v>3</v>
      </c>
      <c r="AF5" s="29">
        <v>600</v>
      </c>
      <c r="AG5" s="29">
        <v>392</v>
      </c>
      <c r="AH5" s="48" t="s">
        <v>3</v>
      </c>
      <c r="AI5" s="29">
        <v>600</v>
      </c>
      <c r="AJ5" s="29">
        <v>491</v>
      </c>
      <c r="AK5" s="48" t="s">
        <v>3</v>
      </c>
      <c r="AL5" s="29">
        <v>600</v>
      </c>
      <c r="AM5" s="29">
        <v>500</v>
      </c>
      <c r="AN5" s="48" t="s">
        <v>3</v>
      </c>
      <c r="AO5" s="29">
        <v>600</v>
      </c>
      <c r="AP5" s="29">
        <v>482</v>
      </c>
      <c r="AQ5" s="48" t="s">
        <v>3</v>
      </c>
      <c r="AR5" s="29">
        <v>600</v>
      </c>
      <c r="AS5" s="29">
        <v>489</v>
      </c>
    </row>
    <row r="6" spans="1:45">
      <c r="A6" s="24">
        <v>2</v>
      </c>
      <c r="B6" s="19" t="s">
        <v>30</v>
      </c>
      <c r="C6" s="19" t="s">
        <v>33</v>
      </c>
      <c r="D6" s="11">
        <v>527</v>
      </c>
      <c r="E6" s="9">
        <v>441</v>
      </c>
      <c r="F6" s="9">
        <v>429</v>
      </c>
      <c r="G6" s="9">
        <v>471</v>
      </c>
      <c r="H6" s="9">
        <v>437</v>
      </c>
      <c r="J6" s="21">
        <v>2</v>
      </c>
      <c r="K6" s="34" t="s">
        <v>30</v>
      </c>
      <c r="L6" s="34" t="s">
        <v>41</v>
      </c>
      <c r="M6" s="34" t="s">
        <v>34</v>
      </c>
      <c r="N6" s="9">
        <v>88.352938269359413</v>
      </c>
      <c r="O6" s="9">
        <v>96.610609642095397</v>
      </c>
      <c r="P6" s="9">
        <v>80.50269385436124</v>
      </c>
      <c r="Q6" s="9">
        <v>93.370422509621676</v>
      </c>
      <c r="R6" s="9">
        <v>93.158393684715719</v>
      </c>
      <c r="T6" s="23">
        <v>2</v>
      </c>
      <c r="U6" s="35" t="s">
        <v>30</v>
      </c>
      <c r="V6" s="35" t="s">
        <v>41</v>
      </c>
      <c r="W6" s="35" t="s">
        <v>34</v>
      </c>
      <c r="X6" s="35" t="s">
        <v>42</v>
      </c>
      <c r="Y6" s="11">
        <v>293136</v>
      </c>
      <c r="Z6" s="9">
        <v>201188</v>
      </c>
      <c r="AA6" s="9">
        <v>252280</v>
      </c>
      <c r="AB6" s="9">
        <v>221266</v>
      </c>
      <c r="AC6" s="9">
        <v>207991</v>
      </c>
      <c r="AE6" s="48" t="s">
        <v>4</v>
      </c>
      <c r="AF6" s="29">
        <v>491</v>
      </c>
      <c r="AG6" s="29">
        <v>764</v>
      </c>
      <c r="AH6" s="48" t="s">
        <v>4</v>
      </c>
      <c r="AI6" s="29">
        <v>506</v>
      </c>
      <c r="AJ6" s="29">
        <v>766</v>
      </c>
      <c r="AK6" s="48" t="s">
        <v>4</v>
      </c>
      <c r="AL6" s="29">
        <v>494</v>
      </c>
      <c r="AM6" s="29">
        <v>771</v>
      </c>
      <c r="AN6" s="48" t="s">
        <v>4</v>
      </c>
      <c r="AO6" s="29">
        <v>474</v>
      </c>
      <c r="AP6" s="29">
        <v>773</v>
      </c>
      <c r="AQ6" s="48" t="s">
        <v>4</v>
      </c>
      <c r="AR6" s="29">
        <v>494</v>
      </c>
      <c r="AS6" s="29">
        <v>764</v>
      </c>
    </row>
    <row r="7" spans="1:45">
      <c r="A7" s="24">
        <v>3</v>
      </c>
      <c r="B7" s="19" t="s">
        <v>30</v>
      </c>
      <c r="C7" s="19" t="s">
        <v>34</v>
      </c>
      <c r="D7" s="11">
        <v>788</v>
      </c>
      <c r="E7" s="9">
        <v>689</v>
      </c>
      <c r="F7" s="9">
        <v>680</v>
      </c>
      <c r="G7" s="9">
        <v>698</v>
      </c>
      <c r="H7" s="9">
        <v>691</v>
      </c>
      <c r="J7" s="21">
        <v>3</v>
      </c>
      <c r="K7" s="34" t="s">
        <v>30</v>
      </c>
      <c r="L7" s="34" t="s">
        <v>44</v>
      </c>
      <c r="M7" s="34" t="s">
        <v>32</v>
      </c>
      <c r="N7" s="9">
        <v>49.58504613951488</v>
      </c>
      <c r="O7" s="9">
        <v>48.284494822374974</v>
      </c>
      <c r="P7" s="9">
        <v>39.46029730485062</v>
      </c>
      <c r="Q7" s="9">
        <v>50.138508892429961</v>
      </c>
      <c r="R7" s="9">
        <v>45.128949017118565</v>
      </c>
      <c r="T7" s="23">
        <v>3</v>
      </c>
      <c r="U7" s="35" t="s">
        <v>41</v>
      </c>
      <c r="V7" s="35" t="s">
        <v>39</v>
      </c>
      <c r="W7" s="35" t="s">
        <v>34</v>
      </c>
      <c r="X7" s="35" t="s">
        <v>42</v>
      </c>
      <c r="Y7" s="11">
        <v>96723.5</v>
      </c>
      <c r="Z7" s="9">
        <v>78492</v>
      </c>
      <c r="AA7" s="9">
        <v>78970.5</v>
      </c>
      <c r="AB7" s="9">
        <v>91899</v>
      </c>
      <c r="AC7" s="9">
        <v>70605</v>
      </c>
      <c r="AE7" s="48" t="s">
        <v>5</v>
      </c>
      <c r="AF7" s="29">
        <v>600</v>
      </c>
      <c r="AG7" s="29">
        <v>809</v>
      </c>
      <c r="AH7" s="48" t="s">
        <v>5</v>
      </c>
      <c r="AI7" s="29">
        <v>602</v>
      </c>
      <c r="AJ7" s="29">
        <v>805</v>
      </c>
      <c r="AK7" s="48" t="s">
        <v>5</v>
      </c>
      <c r="AL7" s="29">
        <v>600</v>
      </c>
      <c r="AM7" s="29">
        <v>810</v>
      </c>
      <c r="AN7" s="48" t="s">
        <v>5</v>
      </c>
      <c r="AO7" s="29">
        <v>600</v>
      </c>
      <c r="AP7" s="29">
        <v>817</v>
      </c>
      <c r="AQ7" s="48" t="s">
        <v>5</v>
      </c>
      <c r="AR7" s="29">
        <v>600</v>
      </c>
      <c r="AS7" s="29">
        <v>805</v>
      </c>
    </row>
    <row r="8" spans="1:45" ht="15.75" customHeight="1">
      <c r="A8" s="24">
        <v>4</v>
      </c>
      <c r="B8" s="19" t="s">
        <v>35</v>
      </c>
      <c r="C8" s="19" t="s">
        <v>38</v>
      </c>
      <c r="D8" s="11">
        <v>218</v>
      </c>
      <c r="E8" s="9">
        <v>192</v>
      </c>
      <c r="F8" s="9">
        <v>212</v>
      </c>
      <c r="G8" s="9">
        <v>252</v>
      </c>
      <c r="H8" s="9">
        <v>212</v>
      </c>
      <c r="J8" s="21">
        <v>4</v>
      </c>
      <c r="K8" s="34" t="s">
        <v>35</v>
      </c>
      <c r="L8" s="34" t="s">
        <v>32</v>
      </c>
      <c r="M8" s="34" t="s">
        <v>38</v>
      </c>
      <c r="N8" s="9">
        <v>135.13401815574923</v>
      </c>
      <c r="O8" s="9">
        <v>135.78110331249667</v>
      </c>
      <c r="P8" s="9">
        <v>139.60038675713179</v>
      </c>
      <c r="Q8" s="9">
        <v>141.50094825463657</v>
      </c>
      <c r="R8" s="9">
        <v>137.70781164118463</v>
      </c>
      <c r="T8" s="23">
        <v>4</v>
      </c>
      <c r="U8" s="35" t="s">
        <v>46</v>
      </c>
      <c r="V8" s="35" t="s">
        <v>43</v>
      </c>
      <c r="W8" s="35" t="s">
        <v>33</v>
      </c>
      <c r="X8" s="35" t="s">
        <v>47</v>
      </c>
      <c r="Y8" s="11">
        <v>498486</v>
      </c>
      <c r="Z8" s="9">
        <v>454900</v>
      </c>
      <c r="AA8" s="9">
        <v>470460</v>
      </c>
      <c r="AB8" s="9">
        <v>370327.5</v>
      </c>
      <c r="AC8" s="9">
        <v>426022</v>
      </c>
      <c r="AE8" s="48" t="s">
        <v>6</v>
      </c>
      <c r="AF8" s="29">
        <f>AF7+(AF7-AF6)</f>
        <v>709</v>
      </c>
      <c r="AG8" s="29">
        <f>AG6</f>
        <v>764</v>
      </c>
      <c r="AH8" s="48" t="s">
        <v>6</v>
      </c>
      <c r="AI8" s="29">
        <f>AI7+(AI7-AI6)</f>
        <v>698</v>
      </c>
      <c r="AJ8" s="29">
        <f>AJ6</f>
        <v>766</v>
      </c>
      <c r="AK8" s="48" t="s">
        <v>6</v>
      </c>
      <c r="AL8" s="29">
        <f t="shared" ref="AL8" si="0">AL7+(AL7-AL6)</f>
        <v>706</v>
      </c>
      <c r="AM8" s="29">
        <f t="shared" ref="AM8" si="1">AM6</f>
        <v>771</v>
      </c>
      <c r="AN8" s="48" t="s">
        <v>6</v>
      </c>
      <c r="AO8" s="29">
        <f t="shared" ref="AO8" si="2">AO7+(AO7-AO6)</f>
        <v>726</v>
      </c>
      <c r="AP8" s="29">
        <f t="shared" ref="AP8" si="3">AP6</f>
        <v>773</v>
      </c>
      <c r="AQ8" s="48" t="s">
        <v>6</v>
      </c>
      <c r="AR8" s="29">
        <f t="shared" ref="AR8" si="4">AR7+(AR7-AR6)</f>
        <v>706</v>
      </c>
      <c r="AS8" s="29">
        <f t="shared" ref="AS8" si="5">AS6</f>
        <v>764</v>
      </c>
    </row>
    <row r="9" spans="1:45" ht="15.75" customHeight="1">
      <c r="A9" s="24">
        <v>5</v>
      </c>
      <c r="B9" s="19" t="s">
        <v>32</v>
      </c>
      <c r="C9" s="19" t="s">
        <v>33</v>
      </c>
      <c r="D9" s="11">
        <v>110</v>
      </c>
      <c r="E9" s="9">
        <v>127.01574705523721</v>
      </c>
      <c r="F9" s="9">
        <v>119</v>
      </c>
      <c r="G9" s="9">
        <v>136</v>
      </c>
      <c r="H9" s="9">
        <v>121</v>
      </c>
      <c r="J9" s="21">
        <v>5</v>
      </c>
      <c r="K9" s="34" t="s">
        <v>39</v>
      </c>
      <c r="L9" s="34" t="s">
        <v>34</v>
      </c>
      <c r="M9" s="34" t="s">
        <v>40</v>
      </c>
      <c r="N9" s="9">
        <v>151.32014299731551</v>
      </c>
      <c r="O9" s="9">
        <v>132.93530287819797</v>
      </c>
      <c r="P9" s="9">
        <v>144.36222217095448</v>
      </c>
      <c r="Q9" s="9">
        <v>144.19110498750359</v>
      </c>
      <c r="R9" s="9">
        <v>136.69913437065952</v>
      </c>
      <c r="T9" s="23">
        <v>5</v>
      </c>
      <c r="U9" s="35" t="s">
        <v>48</v>
      </c>
      <c r="V9" s="35" t="s">
        <v>43</v>
      </c>
      <c r="W9" s="35" t="s">
        <v>34</v>
      </c>
      <c r="X9" s="35" t="s">
        <v>44</v>
      </c>
      <c r="Y9" s="11">
        <v>455260</v>
      </c>
      <c r="Z9" s="9">
        <v>347440</v>
      </c>
      <c r="AA9" s="9">
        <v>410896</v>
      </c>
      <c r="AB9" s="9">
        <v>413575</v>
      </c>
      <c r="AC9" s="9">
        <v>365730</v>
      </c>
      <c r="AE9" s="48" t="s">
        <v>77</v>
      </c>
      <c r="AF9" s="29">
        <v>600</v>
      </c>
      <c r="AG9" s="29">
        <v>919</v>
      </c>
      <c r="AH9" s="48" t="s">
        <v>77</v>
      </c>
      <c r="AI9" s="29">
        <v>600</v>
      </c>
      <c r="AJ9" s="29">
        <v>932</v>
      </c>
      <c r="AK9" s="48" t="s">
        <v>77</v>
      </c>
      <c r="AL9" s="29">
        <v>600</v>
      </c>
      <c r="AM9" s="29">
        <v>929</v>
      </c>
      <c r="AN9" s="48" t="s">
        <v>77</v>
      </c>
      <c r="AO9" s="29">
        <v>600</v>
      </c>
      <c r="AP9" s="29">
        <v>953</v>
      </c>
      <c r="AQ9" s="48" t="s">
        <v>77</v>
      </c>
      <c r="AR9" s="29">
        <v>600</v>
      </c>
      <c r="AS9" s="29">
        <v>926</v>
      </c>
    </row>
    <row r="10" spans="1:45">
      <c r="A10" s="24">
        <v>6</v>
      </c>
      <c r="B10" s="19" t="s">
        <v>32</v>
      </c>
      <c r="C10" s="19" t="s">
        <v>34</v>
      </c>
      <c r="D10" s="11">
        <v>371</v>
      </c>
      <c r="E10" s="9">
        <v>375.00533329540792</v>
      </c>
      <c r="F10" s="9">
        <v>370</v>
      </c>
      <c r="G10" s="9">
        <v>363</v>
      </c>
      <c r="H10" s="9">
        <v>375</v>
      </c>
      <c r="J10" s="21">
        <v>6</v>
      </c>
      <c r="K10" s="34" t="s">
        <v>40</v>
      </c>
      <c r="L10" s="34" t="s">
        <v>34</v>
      </c>
      <c r="M10" s="34" t="s">
        <v>62</v>
      </c>
      <c r="N10" s="9">
        <v>14.339928501342291</v>
      </c>
      <c r="O10" s="9">
        <v>23.532348560901006</v>
      </c>
      <c r="P10" s="9">
        <v>17.818888914522766</v>
      </c>
      <c r="Q10" s="9">
        <v>17.904447506248147</v>
      </c>
      <c r="R10" s="9">
        <v>21.650432814670232</v>
      </c>
      <c r="T10" s="23">
        <v>6</v>
      </c>
      <c r="U10" s="35" t="s">
        <v>52</v>
      </c>
      <c r="V10" s="35" t="s">
        <v>51</v>
      </c>
      <c r="W10" s="35" t="s">
        <v>54</v>
      </c>
      <c r="X10" s="35" t="s">
        <v>50</v>
      </c>
      <c r="Y10" s="11">
        <v>3060</v>
      </c>
      <c r="Z10" s="9">
        <v>3905.5</v>
      </c>
      <c r="AA10" s="9">
        <v>4369</v>
      </c>
      <c r="AB10" s="9">
        <v>3445</v>
      </c>
      <c r="AC10" s="9">
        <v>4113</v>
      </c>
      <c r="AE10" s="48" t="s">
        <v>8</v>
      </c>
      <c r="AF10" s="29">
        <v>467</v>
      </c>
      <c r="AG10" s="29">
        <v>1146</v>
      </c>
      <c r="AH10" s="48" t="s">
        <v>8</v>
      </c>
      <c r="AI10" s="29">
        <v>476</v>
      </c>
      <c r="AJ10" s="29">
        <v>1126</v>
      </c>
      <c r="AK10" s="48" t="s">
        <v>8</v>
      </c>
      <c r="AL10" s="29">
        <v>460</v>
      </c>
      <c r="AM10" s="29">
        <v>1135</v>
      </c>
      <c r="AN10" s="48" t="s">
        <v>8</v>
      </c>
      <c r="AO10" s="29">
        <v>470</v>
      </c>
      <c r="AP10" s="29">
        <v>1138</v>
      </c>
      <c r="AQ10" s="48" t="s">
        <v>8</v>
      </c>
      <c r="AR10" s="29">
        <v>469</v>
      </c>
      <c r="AS10" s="29">
        <v>1128</v>
      </c>
    </row>
    <row r="11" spans="1:45">
      <c r="A11" s="24">
        <v>7</v>
      </c>
      <c r="B11" s="19" t="s">
        <v>39</v>
      </c>
      <c r="C11" s="19" t="s">
        <v>40</v>
      </c>
      <c r="D11" s="11">
        <v>266</v>
      </c>
      <c r="E11" s="9">
        <v>248</v>
      </c>
      <c r="F11" s="9">
        <v>280</v>
      </c>
      <c r="G11" s="9">
        <v>260</v>
      </c>
      <c r="H11" s="9">
        <v>262</v>
      </c>
      <c r="J11" s="21">
        <v>7</v>
      </c>
      <c r="K11" s="34" t="s">
        <v>41</v>
      </c>
      <c r="L11" s="34" t="s">
        <v>34</v>
      </c>
      <c r="M11" s="34" t="s">
        <v>62</v>
      </c>
      <c r="N11" s="9">
        <v>147.71856120935871</v>
      </c>
      <c r="O11" s="9">
        <v>140.11731484997264</v>
      </c>
      <c r="P11" s="9">
        <v>151.91148403127022</v>
      </c>
      <c r="Q11" s="9">
        <v>140.85854197250262</v>
      </c>
      <c r="R11" s="9">
        <v>144.58856388494377</v>
      </c>
      <c r="T11" s="23">
        <v>7</v>
      </c>
      <c r="U11" s="35" t="s">
        <v>76</v>
      </c>
      <c r="V11" s="35" t="s">
        <v>73</v>
      </c>
      <c r="W11" s="35" t="s">
        <v>75</v>
      </c>
      <c r="X11" s="35" t="s">
        <v>74</v>
      </c>
      <c r="Y11" s="11">
        <v>4547</v>
      </c>
      <c r="Z11" s="9">
        <v>3225</v>
      </c>
      <c r="AA11" s="9">
        <v>4514.5</v>
      </c>
      <c r="AB11" s="9">
        <v>3744</v>
      </c>
      <c r="AC11" s="9">
        <v>3832</v>
      </c>
      <c r="AE11" s="48" t="s">
        <v>9</v>
      </c>
      <c r="AF11" s="29">
        <v>600</v>
      </c>
      <c r="AG11" s="29">
        <v>1180</v>
      </c>
      <c r="AH11" s="48" t="s">
        <v>9</v>
      </c>
      <c r="AI11" s="29">
        <v>600</v>
      </c>
      <c r="AJ11" s="29">
        <v>1180</v>
      </c>
      <c r="AK11" s="48" t="s">
        <v>9</v>
      </c>
      <c r="AL11" s="29">
        <v>600</v>
      </c>
      <c r="AM11" s="29">
        <v>1180</v>
      </c>
      <c r="AN11" s="48" t="s">
        <v>9</v>
      </c>
      <c r="AO11" s="29">
        <v>600</v>
      </c>
      <c r="AP11" s="29">
        <v>1180</v>
      </c>
      <c r="AQ11" s="48" t="s">
        <v>9</v>
      </c>
      <c r="AR11" s="29">
        <v>600</v>
      </c>
      <c r="AS11" s="29">
        <v>1180</v>
      </c>
    </row>
    <row r="12" spans="1:45">
      <c r="A12" s="24">
        <v>8</v>
      </c>
      <c r="B12" s="19" t="s">
        <v>41</v>
      </c>
      <c r="C12" s="19" t="s">
        <v>42</v>
      </c>
      <c r="D12" s="11">
        <v>744</v>
      </c>
      <c r="E12" s="9">
        <v>584</v>
      </c>
      <c r="F12" s="9">
        <v>742</v>
      </c>
      <c r="G12" s="9">
        <v>634</v>
      </c>
      <c r="H12" s="9">
        <v>602</v>
      </c>
      <c r="J12" s="21">
        <v>8</v>
      </c>
      <c r="K12" s="34" t="s">
        <v>42</v>
      </c>
      <c r="L12" s="34" t="s">
        <v>34</v>
      </c>
      <c r="M12" s="34" t="s">
        <v>62</v>
      </c>
      <c r="N12" s="9">
        <v>32.281438790641303</v>
      </c>
      <c r="O12" s="9">
        <v>39.882685150027363</v>
      </c>
      <c r="P12" s="9">
        <v>28.088515968729808</v>
      </c>
      <c r="Q12" s="9">
        <v>39.1414580274974</v>
      </c>
      <c r="R12" s="9">
        <v>35.411436115056226</v>
      </c>
      <c r="T12" s="23">
        <v>8</v>
      </c>
      <c r="U12" s="35"/>
      <c r="V12" s="35"/>
      <c r="W12" s="35"/>
      <c r="X12" s="35"/>
      <c r="Y12" s="11"/>
      <c r="Z12" s="9"/>
      <c r="AA12" s="9"/>
      <c r="AB12" s="9"/>
      <c r="AC12" s="9"/>
      <c r="AE12" s="48" t="s">
        <v>10</v>
      </c>
      <c r="AF12" s="29">
        <f>AF11+(AF11-AF10)</f>
        <v>733</v>
      </c>
      <c r="AG12" s="29">
        <f>AG10</f>
        <v>1146</v>
      </c>
      <c r="AH12" s="48" t="s">
        <v>10</v>
      </c>
      <c r="AI12" s="29">
        <f>AI11+(AI11-AI10)</f>
        <v>724</v>
      </c>
      <c r="AJ12" s="29">
        <f>AJ10</f>
        <v>1126</v>
      </c>
      <c r="AK12" s="48" t="s">
        <v>10</v>
      </c>
      <c r="AL12" s="29">
        <f t="shared" ref="AL12" si="6">AL11+(AL11-AL10)</f>
        <v>740</v>
      </c>
      <c r="AM12" s="29">
        <f t="shared" ref="AM12" si="7">AM10</f>
        <v>1135</v>
      </c>
      <c r="AN12" s="48" t="s">
        <v>10</v>
      </c>
      <c r="AO12" s="29">
        <f t="shared" ref="AO12" si="8">AO11+(AO11-AO10)</f>
        <v>730</v>
      </c>
      <c r="AP12" s="29">
        <f t="shared" ref="AP12" si="9">AP10</f>
        <v>1138</v>
      </c>
      <c r="AQ12" s="48" t="s">
        <v>10</v>
      </c>
      <c r="AR12" s="29">
        <f t="shared" ref="AR12" si="10">AR11+(AR11-AR10)</f>
        <v>731</v>
      </c>
      <c r="AS12" s="29">
        <f t="shared" ref="AS12" si="11">AS10</f>
        <v>1128</v>
      </c>
    </row>
    <row r="13" spans="1:45">
      <c r="A13" s="24">
        <v>9</v>
      </c>
      <c r="B13" s="19" t="s">
        <v>43</v>
      </c>
      <c r="C13" s="19" t="s">
        <v>44</v>
      </c>
      <c r="D13" s="11">
        <v>824</v>
      </c>
      <c r="E13" s="9">
        <v>688</v>
      </c>
      <c r="F13" s="9">
        <v>842</v>
      </c>
      <c r="G13" s="9">
        <v>710</v>
      </c>
      <c r="H13" s="9">
        <v>730</v>
      </c>
      <c r="J13" s="21">
        <v>9</v>
      </c>
      <c r="K13" s="34" t="s">
        <v>43</v>
      </c>
      <c r="L13" s="34" t="s">
        <v>41</v>
      </c>
      <c r="M13" s="34" t="s">
        <v>34</v>
      </c>
      <c r="N13" s="9">
        <v>133.42844531656323</v>
      </c>
      <c r="O13" s="9">
        <v>142.41149285917891</v>
      </c>
      <c r="P13" s="9">
        <v>129.22482539991154</v>
      </c>
      <c r="Q13" s="9">
        <v>138.28853841237256</v>
      </c>
      <c r="R13" s="9">
        <v>140.46265610764715</v>
      </c>
      <c r="T13" s="23">
        <v>9</v>
      </c>
      <c r="U13" s="35"/>
      <c r="V13" s="35"/>
      <c r="W13" s="35"/>
      <c r="X13" s="35"/>
      <c r="Y13" s="11"/>
      <c r="Z13" s="9"/>
      <c r="AA13" s="9"/>
      <c r="AB13" s="9"/>
      <c r="AC13" s="9"/>
      <c r="AE13" s="48" t="s">
        <v>11</v>
      </c>
      <c r="AF13" s="29">
        <v>228</v>
      </c>
      <c r="AG13" s="29">
        <v>945</v>
      </c>
      <c r="AH13" s="48" t="s">
        <v>11</v>
      </c>
      <c r="AI13" s="29">
        <v>308</v>
      </c>
      <c r="AJ13" s="29">
        <v>936</v>
      </c>
      <c r="AK13" s="48" t="s">
        <v>11</v>
      </c>
      <c r="AL13" s="29">
        <v>229</v>
      </c>
      <c r="AM13" s="29">
        <v>982</v>
      </c>
      <c r="AN13" s="48" t="s">
        <v>11</v>
      </c>
      <c r="AO13" s="29">
        <v>283</v>
      </c>
      <c r="AP13" s="29">
        <v>922</v>
      </c>
      <c r="AQ13" s="48" t="s">
        <v>11</v>
      </c>
      <c r="AR13" s="29">
        <v>299</v>
      </c>
      <c r="AS13" s="29">
        <v>966</v>
      </c>
    </row>
    <row r="14" spans="1:45">
      <c r="A14" s="24">
        <v>10</v>
      </c>
      <c r="B14" s="19" t="s">
        <v>45</v>
      </c>
      <c r="C14" s="19" t="s">
        <v>43</v>
      </c>
      <c r="D14" s="11">
        <v>75.106590922501596</v>
      </c>
      <c r="E14" s="9">
        <v>88.68483523128404</v>
      </c>
      <c r="F14" s="9">
        <v>123</v>
      </c>
      <c r="G14" s="9">
        <v>65.73431371817918</v>
      </c>
      <c r="H14" s="9">
        <v>60</v>
      </c>
      <c r="J14" s="21">
        <v>10</v>
      </c>
      <c r="K14" s="34" t="s">
        <v>44</v>
      </c>
      <c r="L14" s="34" t="s">
        <v>32</v>
      </c>
      <c r="M14" s="34" t="s">
        <v>62</v>
      </c>
      <c r="N14" s="9">
        <v>41.841885322669853</v>
      </c>
      <c r="O14" s="9">
        <v>49.735764580047366</v>
      </c>
      <c r="P14" s="9">
        <v>43.556820272107728</v>
      </c>
      <c r="Q14" s="9">
        <v>52.295659032573951</v>
      </c>
      <c r="R14" s="9">
        <v>44.797147747415835</v>
      </c>
      <c r="T14" s="23">
        <v>10</v>
      </c>
      <c r="U14" s="35"/>
      <c r="V14" s="35"/>
      <c r="W14" s="35"/>
      <c r="X14" s="35"/>
      <c r="Y14" s="11"/>
      <c r="Z14" s="9"/>
      <c r="AA14" s="9"/>
      <c r="AB14" s="9"/>
      <c r="AC14" s="9"/>
      <c r="AE14" s="48" t="s">
        <v>12</v>
      </c>
      <c r="AF14" s="29">
        <f>600+(600-AF13)</f>
        <v>972</v>
      </c>
      <c r="AG14" s="29">
        <f>AG13</f>
        <v>945</v>
      </c>
      <c r="AH14" s="48" t="s">
        <v>12</v>
      </c>
      <c r="AI14" s="29">
        <f>600+(600-AI13)</f>
        <v>892</v>
      </c>
      <c r="AJ14" s="29">
        <f>AJ13</f>
        <v>936</v>
      </c>
      <c r="AK14" s="48" t="s">
        <v>12</v>
      </c>
      <c r="AL14" s="29">
        <f t="shared" ref="AL14" si="12">600+(600-AL13)</f>
        <v>971</v>
      </c>
      <c r="AM14" s="29">
        <f t="shared" ref="AM14" si="13">AM13</f>
        <v>982</v>
      </c>
      <c r="AN14" s="48" t="s">
        <v>12</v>
      </c>
      <c r="AO14" s="29">
        <f t="shared" ref="AO14" si="14">600+(600-AO13)</f>
        <v>917</v>
      </c>
      <c r="AP14" s="29">
        <f t="shared" ref="AP14" si="15">AP13</f>
        <v>922</v>
      </c>
      <c r="AQ14" s="48" t="s">
        <v>12</v>
      </c>
      <c r="AR14" s="29">
        <f t="shared" ref="AR14" si="16">600+(600-AR13)</f>
        <v>901</v>
      </c>
      <c r="AS14" s="29">
        <f t="shared" ref="AS14" si="17">AS13</f>
        <v>966</v>
      </c>
    </row>
    <row r="15" spans="1:45">
      <c r="A15" s="24">
        <v>11</v>
      </c>
      <c r="B15" s="19" t="s">
        <v>46</v>
      </c>
      <c r="C15" s="19" t="s">
        <v>47</v>
      </c>
      <c r="D15" s="11">
        <v>856</v>
      </c>
      <c r="E15" s="9">
        <v>776</v>
      </c>
      <c r="F15" s="9">
        <v>770</v>
      </c>
      <c r="G15" s="9">
        <v>618</v>
      </c>
      <c r="H15" s="9">
        <v>696</v>
      </c>
      <c r="J15" s="21">
        <v>11</v>
      </c>
      <c r="K15" s="34" t="s">
        <v>44</v>
      </c>
      <c r="L15" s="34" t="s">
        <v>33</v>
      </c>
      <c r="M15" s="34" t="s">
        <v>62</v>
      </c>
      <c r="N15" s="9">
        <v>47.476668860686637</v>
      </c>
      <c r="O15" s="9">
        <v>56.917755271313887</v>
      </c>
      <c r="P15" s="9">
        <v>48.922391702834936</v>
      </c>
      <c r="Q15" s="9">
        <v>58.321636352737791</v>
      </c>
      <c r="R15" s="9">
        <v>52.128418386505743</v>
      </c>
      <c r="T15" s="23">
        <v>11</v>
      </c>
      <c r="U15" s="35"/>
      <c r="V15" s="35"/>
      <c r="W15" s="35"/>
      <c r="X15" s="35"/>
      <c r="Y15" s="11"/>
      <c r="Z15" s="9"/>
      <c r="AA15" s="9"/>
      <c r="AB15" s="9"/>
      <c r="AC15" s="9"/>
      <c r="AE15" s="48" t="s">
        <v>13</v>
      </c>
      <c r="AF15" s="29">
        <v>188</v>
      </c>
      <c r="AG15" s="29">
        <v>742</v>
      </c>
      <c r="AH15" s="48" t="s">
        <v>13</v>
      </c>
      <c r="AI15" s="29">
        <v>256</v>
      </c>
      <c r="AJ15" s="29">
        <v>702</v>
      </c>
      <c r="AK15" s="48" t="s">
        <v>13</v>
      </c>
      <c r="AL15" s="29">
        <v>179</v>
      </c>
      <c r="AM15" s="29">
        <v>728</v>
      </c>
      <c r="AN15" s="48" t="s">
        <v>13</v>
      </c>
      <c r="AO15" s="29">
        <v>245</v>
      </c>
      <c r="AP15" s="29">
        <v>686</v>
      </c>
      <c r="AQ15" s="48" t="s">
        <v>13</v>
      </c>
      <c r="AR15" s="29">
        <v>235</v>
      </c>
      <c r="AS15" s="29">
        <v>728</v>
      </c>
    </row>
    <row r="16" spans="1:45" ht="15.75" customHeight="1">
      <c r="A16" s="24">
        <v>12</v>
      </c>
      <c r="B16" s="19" t="s">
        <v>48</v>
      </c>
      <c r="C16" s="19" t="s">
        <v>30</v>
      </c>
      <c r="D16" s="11">
        <v>317</v>
      </c>
      <c r="E16" s="9">
        <v>321</v>
      </c>
      <c r="F16" s="9">
        <v>296</v>
      </c>
      <c r="G16" s="9">
        <v>467</v>
      </c>
      <c r="H16" s="9">
        <v>311</v>
      </c>
      <c r="J16" s="21">
        <v>12</v>
      </c>
      <c r="K16" s="34" t="s">
        <v>47</v>
      </c>
      <c r="L16" s="34" t="s">
        <v>30</v>
      </c>
      <c r="M16" s="34" t="s">
        <v>62</v>
      </c>
      <c r="N16" s="9">
        <v>90.343583625801415</v>
      </c>
      <c r="O16" s="9">
        <v>99.20358354393484</v>
      </c>
      <c r="P16" s="9">
        <v>97.431889311594389</v>
      </c>
      <c r="Q16" s="9">
        <v>100.78674117349897</v>
      </c>
      <c r="R16" s="9">
        <v>101.07287848356485</v>
      </c>
      <c r="T16" s="23">
        <v>12</v>
      </c>
      <c r="U16" s="35"/>
      <c r="V16" s="35"/>
      <c r="W16" s="35"/>
      <c r="X16" s="35"/>
      <c r="Y16" s="11"/>
      <c r="Z16" s="9"/>
      <c r="AA16" s="9"/>
      <c r="AB16" s="9"/>
      <c r="AC16" s="9"/>
      <c r="AE16" s="48" t="s">
        <v>14</v>
      </c>
      <c r="AF16" s="29">
        <f>600+(600-AF15)</f>
        <v>1012</v>
      </c>
      <c r="AG16" s="29">
        <f>AG15</f>
        <v>742</v>
      </c>
      <c r="AH16" s="48" t="s">
        <v>14</v>
      </c>
      <c r="AI16" s="29">
        <f>600+(600-AI15)</f>
        <v>944</v>
      </c>
      <c r="AJ16" s="29">
        <f>AJ15</f>
        <v>702</v>
      </c>
      <c r="AK16" s="48" t="s">
        <v>14</v>
      </c>
      <c r="AL16" s="29">
        <f t="shared" ref="AL16" si="18">600+(600-AL15)</f>
        <v>1021</v>
      </c>
      <c r="AM16" s="29">
        <f t="shared" ref="AM16" si="19">AM15</f>
        <v>728</v>
      </c>
      <c r="AN16" s="48" t="s">
        <v>14</v>
      </c>
      <c r="AO16" s="29">
        <f t="shared" ref="AO16" si="20">600+(600-AO15)</f>
        <v>955</v>
      </c>
      <c r="AP16" s="29">
        <f t="shared" ref="AP16" si="21">AP15</f>
        <v>686</v>
      </c>
      <c r="AQ16" s="48" t="s">
        <v>14</v>
      </c>
      <c r="AR16" s="29">
        <f t="shared" ref="AR16" si="22">600+(600-AR15)</f>
        <v>965</v>
      </c>
      <c r="AS16" s="29">
        <f t="shared" ref="AS16" si="23">AS15</f>
        <v>728</v>
      </c>
    </row>
    <row r="17" spans="1:45" ht="15.75" customHeight="1">
      <c r="A17" s="24">
        <v>13</v>
      </c>
      <c r="B17" s="19" t="s">
        <v>48</v>
      </c>
      <c r="C17" s="19" t="s">
        <v>32</v>
      </c>
      <c r="D17" s="11">
        <v>734</v>
      </c>
      <c r="E17" s="9">
        <v>635.00314959848822</v>
      </c>
      <c r="F17" s="9">
        <v>606</v>
      </c>
      <c r="G17" s="9">
        <v>802</v>
      </c>
      <c r="H17" s="9">
        <v>627</v>
      </c>
      <c r="J17" s="21">
        <v>13</v>
      </c>
      <c r="K17" s="34" t="s">
        <v>47</v>
      </c>
      <c r="L17" s="34" t="s">
        <v>48</v>
      </c>
      <c r="M17" s="34" t="s">
        <v>62</v>
      </c>
      <c r="N17" s="9">
        <v>62.573343745560557</v>
      </c>
      <c r="O17" s="9">
        <v>78.656587974328957</v>
      </c>
      <c r="P17" s="9">
        <v>77.936469141415728</v>
      </c>
      <c r="Q17" s="9">
        <v>46.953304110159607</v>
      </c>
      <c r="R17" s="9">
        <v>78.961531499551938</v>
      </c>
      <c r="T17" s="23">
        <v>13</v>
      </c>
      <c r="U17" s="35"/>
      <c r="V17" s="35"/>
      <c r="W17" s="35"/>
      <c r="X17" s="35"/>
      <c r="Y17" s="11"/>
      <c r="Z17" s="9"/>
      <c r="AA17" s="9"/>
      <c r="AB17" s="9"/>
      <c r="AC17" s="9"/>
      <c r="AE17" s="48" t="s">
        <v>15</v>
      </c>
      <c r="AF17" s="29">
        <v>113</v>
      </c>
      <c r="AG17" s="29">
        <v>746</v>
      </c>
      <c r="AH17" s="48" t="s">
        <v>15</v>
      </c>
      <c r="AI17" s="29">
        <v>168</v>
      </c>
      <c r="AJ17" s="29">
        <v>691</v>
      </c>
      <c r="AK17" s="48" t="s">
        <v>15</v>
      </c>
      <c r="AL17" s="29">
        <v>56</v>
      </c>
      <c r="AM17" s="29">
        <v>728</v>
      </c>
      <c r="AN17" s="48" t="s">
        <v>15</v>
      </c>
      <c r="AO17" s="29">
        <v>181</v>
      </c>
      <c r="AP17" s="29">
        <v>701</v>
      </c>
      <c r="AQ17" s="48" t="s">
        <v>15</v>
      </c>
      <c r="AR17" s="29">
        <v>175</v>
      </c>
      <c r="AS17" s="29">
        <v>728</v>
      </c>
    </row>
    <row r="18" spans="1:45">
      <c r="A18" s="24">
        <v>14</v>
      </c>
      <c r="B18" s="19" t="s">
        <v>48</v>
      </c>
      <c r="C18" s="19" t="s">
        <v>33</v>
      </c>
      <c r="D18" s="11">
        <v>844</v>
      </c>
      <c r="E18" s="9">
        <v>762</v>
      </c>
      <c r="F18" s="9">
        <v>725</v>
      </c>
      <c r="G18" s="9">
        <v>938</v>
      </c>
      <c r="H18" s="9">
        <v>748</v>
      </c>
      <c r="J18" s="21">
        <v>14</v>
      </c>
      <c r="K18" s="44" t="s">
        <v>48</v>
      </c>
      <c r="L18" s="44" t="s">
        <v>78</v>
      </c>
      <c r="M18" s="44" t="s">
        <v>79</v>
      </c>
      <c r="N18" s="11">
        <v>39.358636481846212</v>
      </c>
      <c r="O18" s="9">
        <v>36.468153888052775</v>
      </c>
      <c r="P18" s="9">
        <v>39.125539108283157</v>
      </c>
      <c r="Q18" s="9">
        <v>59.492786406411682</v>
      </c>
      <c r="R18" s="9">
        <v>36.210781712449965</v>
      </c>
      <c r="T18" s="23">
        <v>14</v>
      </c>
      <c r="U18" s="35"/>
      <c r="V18" s="35"/>
      <c r="W18" s="35"/>
      <c r="X18" s="35"/>
      <c r="Y18" s="11"/>
      <c r="Z18" s="9"/>
      <c r="AA18" s="9"/>
      <c r="AB18" s="9"/>
      <c r="AC18" s="9"/>
      <c r="AE18" s="48" t="s">
        <v>16</v>
      </c>
      <c r="AF18" s="29">
        <f>600+(600-AF17)</f>
        <v>1087</v>
      </c>
      <c r="AG18" s="29">
        <f>AG17</f>
        <v>746</v>
      </c>
      <c r="AH18" s="48" t="s">
        <v>16</v>
      </c>
      <c r="AI18" s="29">
        <f>600+(600-AI17)</f>
        <v>1032</v>
      </c>
      <c r="AJ18" s="29">
        <f>AJ17</f>
        <v>691</v>
      </c>
      <c r="AK18" s="48" t="s">
        <v>16</v>
      </c>
      <c r="AL18" s="29">
        <f t="shared" ref="AL18" si="24">600+(600-AL17)</f>
        <v>1144</v>
      </c>
      <c r="AM18" s="29">
        <f t="shared" ref="AM18" si="25">AM17</f>
        <v>728</v>
      </c>
      <c r="AN18" s="48" t="s">
        <v>16</v>
      </c>
      <c r="AO18" s="29">
        <f t="shared" ref="AO18" si="26">600+(600-AO17)</f>
        <v>1019</v>
      </c>
      <c r="AP18" s="29">
        <f t="shared" ref="AP18" si="27">AP17</f>
        <v>701</v>
      </c>
      <c r="AQ18" s="48" t="s">
        <v>16</v>
      </c>
      <c r="AR18" s="29">
        <f t="shared" ref="AR18" si="28">600+(600-AR17)</f>
        <v>1025</v>
      </c>
      <c r="AS18" s="29">
        <f t="shared" ref="AS18" si="29">AS17</f>
        <v>728</v>
      </c>
    </row>
    <row r="19" spans="1:45">
      <c r="A19" s="24">
        <v>15</v>
      </c>
      <c r="B19" s="19" t="s">
        <v>48</v>
      </c>
      <c r="C19" s="19" t="s">
        <v>34</v>
      </c>
      <c r="D19" s="11">
        <v>1105</v>
      </c>
      <c r="E19" s="9">
        <v>1010</v>
      </c>
      <c r="F19" s="9">
        <v>976</v>
      </c>
      <c r="G19" s="9">
        <v>1165</v>
      </c>
      <c r="H19" s="9">
        <v>1002</v>
      </c>
      <c r="J19" s="21">
        <v>15</v>
      </c>
      <c r="K19" s="44" t="s">
        <v>80</v>
      </c>
      <c r="L19" s="44" t="s">
        <v>78</v>
      </c>
      <c r="M19" s="44" t="s">
        <v>79</v>
      </c>
      <c r="N19" s="11">
        <v>20.46699987327845</v>
      </c>
      <c r="O19" s="9">
        <v>14.008443480048326</v>
      </c>
      <c r="P19" s="9">
        <v>20.959582579057606</v>
      </c>
      <c r="Q19" s="9">
        <v>19.493910752375946</v>
      </c>
      <c r="R19" s="9">
        <v>12.702586337963687</v>
      </c>
      <c r="T19" s="23">
        <v>15</v>
      </c>
      <c r="U19" s="35"/>
      <c r="V19" s="35"/>
      <c r="W19" s="35"/>
      <c r="X19" s="35"/>
      <c r="Y19" s="11"/>
      <c r="Z19" s="9"/>
      <c r="AA19" s="9"/>
      <c r="AB19" s="9"/>
      <c r="AC19" s="9"/>
      <c r="AE19" s="48" t="s">
        <v>17</v>
      </c>
      <c r="AF19" s="29">
        <v>172</v>
      </c>
      <c r="AG19" s="29">
        <v>73</v>
      </c>
      <c r="AH19" s="48" t="s">
        <v>17</v>
      </c>
      <c r="AI19" s="29">
        <v>212</v>
      </c>
      <c r="AJ19" s="29">
        <v>40</v>
      </c>
      <c r="AK19" s="48" t="s">
        <v>17</v>
      </c>
      <c r="AL19" s="29">
        <v>215</v>
      </c>
      <c r="AM19" s="29">
        <v>74</v>
      </c>
      <c r="AN19" s="48" t="s">
        <v>17</v>
      </c>
      <c r="AO19" s="29">
        <v>291</v>
      </c>
      <c r="AP19" s="29">
        <v>107</v>
      </c>
      <c r="AQ19" s="48" t="s">
        <v>17</v>
      </c>
      <c r="AR19" s="29">
        <v>252</v>
      </c>
      <c r="AS19" s="29">
        <v>58</v>
      </c>
    </row>
    <row r="20" spans="1:45">
      <c r="A20" s="24">
        <v>16</v>
      </c>
      <c r="B20" s="19" t="s">
        <v>50</v>
      </c>
      <c r="C20" s="19" t="s">
        <v>51</v>
      </c>
      <c r="D20" s="11">
        <v>47.675989764240867</v>
      </c>
      <c r="E20" s="9">
        <v>49.040799340956916</v>
      </c>
      <c r="F20" s="9">
        <v>58.137767414994535</v>
      </c>
      <c r="G20" s="9">
        <v>46.529560496527367</v>
      </c>
      <c r="H20" s="9">
        <v>55.145262715848951</v>
      </c>
      <c r="I20" s="3"/>
      <c r="J20" s="21">
        <v>16</v>
      </c>
      <c r="K20" s="44" t="s">
        <v>48</v>
      </c>
      <c r="L20" s="44" t="s">
        <v>81</v>
      </c>
      <c r="M20" s="44" t="s">
        <v>79</v>
      </c>
      <c r="N20" s="11">
        <v>117.29290758655034</v>
      </c>
      <c r="O20" s="9">
        <v>99.844461066043081</v>
      </c>
      <c r="P20" s="9">
        <v>103.80595620512996</v>
      </c>
      <c r="Q20" s="9">
        <v>103.69091951413301</v>
      </c>
      <c r="R20" s="9">
        <v>95.333421423665641</v>
      </c>
      <c r="T20" s="23">
        <v>16</v>
      </c>
      <c r="U20" s="35"/>
      <c r="V20" s="35"/>
      <c r="W20" s="35"/>
      <c r="X20" s="35"/>
      <c r="Y20" s="11"/>
      <c r="Z20" s="9"/>
      <c r="AA20" s="9"/>
      <c r="AB20" s="9"/>
      <c r="AC20" s="9"/>
      <c r="AE20" s="48" t="s">
        <v>18</v>
      </c>
      <c r="AF20" s="29">
        <v>600</v>
      </c>
      <c r="AG20" s="29">
        <v>75</v>
      </c>
      <c r="AH20" s="48" t="s">
        <v>18</v>
      </c>
      <c r="AI20" s="29">
        <v>600</v>
      </c>
      <c r="AJ20" s="29">
        <v>170</v>
      </c>
      <c r="AK20" s="48" t="s">
        <v>18</v>
      </c>
      <c r="AL20" s="29">
        <v>600</v>
      </c>
      <c r="AM20" s="29">
        <v>204</v>
      </c>
      <c r="AN20" s="48" t="s">
        <v>18</v>
      </c>
      <c r="AO20" s="29">
        <v>600</v>
      </c>
      <c r="AP20" s="29">
        <v>15</v>
      </c>
      <c r="AQ20" s="48" t="s">
        <v>18</v>
      </c>
      <c r="AR20" s="29">
        <v>600</v>
      </c>
      <c r="AS20" s="29">
        <v>178</v>
      </c>
    </row>
    <row r="21" spans="1:45">
      <c r="A21" s="24">
        <v>17</v>
      </c>
      <c r="B21" s="19" t="s">
        <v>65</v>
      </c>
      <c r="C21" s="19" t="s">
        <v>66</v>
      </c>
      <c r="D21" s="11">
        <v>261</v>
      </c>
      <c r="E21" s="9">
        <v>248</v>
      </c>
      <c r="F21" s="9">
        <v>251</v>
      </c>
      <c r="G21" s="9">
        <v>227</v>
      </c>
      <c r="H21" s="9">
        <v>254</v>
      </c>
      <c r="I21" s="3"/>
      <c r="J21" s="21">
        <v>17</v>
      </c>
      <c r="K21" s="44" t="s">
        <v>80</v>
      </c>
      <c r="L21" s="44" t="s">
        <v>81</v>
      </c>
      <c r="M21" s="44" t="s">
        <v>79</v>
      </c>
      <c r="N21" s="11">
        <v>32.753120178698715</v>
      </c>
      <c r="O21" s="9">
        <v>16.519770439111092</v>
      </c>
      <c r="P21" s="9">
        <v>22.659352040005867</v>
      </c>
      <c r="Q21" s="9">
        <v>28.235072223173241</v>
      </c>
      <c r="R21" s="9">
        <v>17.586923463224579</v>
      </c>
      <c r="T21" s="23">
        <v>17</v>
      </c>
      <c r="U21" s="35"/>
      <c r="V21" s="35"/>
      <c r="W21" s="35"/>
      <c r="X21" s="35"/>
      <c r="Y21" s="11"/>
      <c r="Z21" s="9"/>
      <c r="AA21" s="9"/>
      <c r="AB21" s="9"/>
      <c r="AC21" s="9"/>
      <c r="AE21" s="48" t="s">
        <v>19</v>
      </c>
      <c r="AF21" s="29">
        <f>600+(600-AF19)</f>
        <v>1028</v>
      </c>
      <c r="AG21" s="29">
        <f>AG19</f>
        <v>73</v>
      </c>
      <c r="AH21" s="48" t="s">
        <v>19</v>
      </c>
      <c r="AI21" s="29">
        <f>600+(600-AI19)</f>
        <v>988</v>
      </c>
      <c r="AJ21" s="29">
        <f>AJ19</f>
        <v>40</v>
      </c>
      <c r="AK21" s="48" t="s">
        <v>19</v>
      </c>
      <c r="AL21" s="29">
        <f t="shared" ref="AL21" si="30">600+(600-AL19)</f>
        <v>985</v>
      </c>
      <c r="AM21" s="29">
        <f t="shared" ref="AM21" si="31">AM19</f>
        <v>74</v>
      </c>
      <c r="AN21" s="48" t="s">
        <v>19</v>
      </c>
      <c r="AO21" s="29">
        <f t="shared" ref="AO21" si="32">600+(600-AO19)</f>
        <v>909</v>
      </c>
      <c r="AP21" s="29">
        <f t="shared" ref="AP21" si="33">AP19</f>
        <v>107</v>
      </c>
      <c r="AQ21" s="48" t="s">
        <v>19</v>
      </c>
      <c r="AR21" s="29">
        <f t="shared" ref="AR21" si="34">600+(600-AR19)</f>
        <v>948</v>
      </c>
      <c r="AS21" s="29">
        <f t="shared" ref="AS21" si="35">AS19</f>
        <v>58</v>
      </c>
    </row>
    <row r="22" spans="1:45">
      <c r="A22" s="24">
        <v>18</v>
      </c>
      <c r="B22" s="19" t="s">
        <v>76</v>
      </c>
      <c r="C22" s="19" t="s">
        <v>75</v>
      </c>
      <c r="D22" s="11">
        <v>47.042533945356304</v>
      </c>
      <c r="E22" s="9">
        <v>31.144823004794873</v>
      </c>
      <c r="F22" s="9">
        <v>43.289721643826724</v>
      </c>
      <c r="G22" s="9">
        <v>41.109609582188931</v>
      </c>
      <c r="H22" s="9">
        <v>33.376638536557273</v>
      </c>
      <c r="I22" s="3"/>
      <c r="J22" s="21">
        <v>18</v>
      </c>
      <c r="K22" s="34"/>
      <c r="L22" s="34"/>
      <c r="M22" s="34"/>
      <c r="N22" s="11"/>
      <c r="O22" s="9"/>
      <c r="P22" s="9"/>
      <c r="Q22" s="9"/>
      <c r="R22" s="9"/>
      <c r="T22" s="23">
        <v>18</v>
      </c>
      <c r="U22" s="35"/>
      <c r="V22" s="35"/>
      <c r="W22" s="35"/>
      <c r="X22" s="35"/>
      <c r="Y22" s="11"/>
      <c r="Z22" s="9"/>
      <c r="AA22" s="9"/>
      <c r="AB22" s="9"/>
      <c r="AC22" s="9"/>
      <c r="AE22" s="48" t="s">
        <v>20</v>
      </c>
      <c r="AF22" s="29">
        <v>339</v>
      </c>
      <c r="AG22" s="29">
        <v>560</v>
      </c>
      <c r="AH22" s="48" t="s">
        <v>20</v>
      </c>
      <c r="AI22" s="30">
        <v>353</v>
      </c>
      <c r="AJ22" s="30">
        <v>583</v>
      </c>
      <c r="AK22" s="48" t="s">
        <v>20</v>
      </c>
      <c r="AL22" s="29">
        <v>347</v>
      </c>
      <c r="AM22" s="29">
        <v>590</v>
      </c>
      <c r="AN22" s="49" t="s">
        <v>20</v>
      </c>
      <c r="AO22" s="30">
        <v>319</v>
      </c>
      <c r="AP22" s="30">
        <v>551</v>
      </c>
      <c r="AQ22" s="48" t="s">
        <v>20</v>
      </c>
      <c r="AR22" s="29">
        <v>360</v>
      </c>
      <c r="AS22" s="29">
        <v>566</v>
      </c>
    </row>
    <row r="23" spans="1:45">
      <c r="A23" s="24">
        <v>19</v>
      </c>
      <c r="B23" s="19" t="s">
        <v>73</v>
      </c>
      <c r="C23" s="19" t="s">
        <v>74</v>
      </c>
      <c r="D23" s="11">
        <v>195.16403357176239</v>
      </c>
      <c r="E23" s="9">
        <v>210.95023109728987</v>
      </c>
      <c r="F23" s="9">
        <v>208.69355524308841</v>
      </c>
      <c r="G23" s="9">
        <v>188.38258942906586</v>
      </c>
      <c r="H23" s="9">
        <v>233.05364189387817</v>
      </c>
      <c r="I23" s="3"/>
      <c r="J23" s="21">
        <v>19</v>
      </c>
      <c r="K23" s="34"/>
      <c r="L23" s="34"/>
      <c r="M23" s="34"/>
      <c r="N23" s="11"/>
      <c r="O23" s="9"/>
      <c r="P23" s="9"/>
      <c r="Q23" s="9"/>
      <c r="R23" s="9"/>
      <c r="T23" s="23">
        <v>19</v>
      </c>
      <c r="U23" s="35"/>
      <c r="V23" s="35"/>
      <c r="W23" s="35"/>
      <c r="X23" s="35"/>
      <c r="Y23" s="11"/>
      <c r="Z23" s="9"/>
      <c r="AA23" s="9"/>
      <c r="AB23" s="9"/>
      <c r="AC23" s="9"/>
      <c r="AE23" s="48" t="s">
        <v>21</v>
      </c>
      <c r="AF23" s="29">
        <v>411</v>
      </c>
      <c r="AG23" s="29">
        <v>568</v>
      </c>
      <c r="AH23" s="49" t="s">
        <v>21</v>
      </c>
      <c r="AI23" s="30">
        <v>442</v>
      </c>
      <c r="AJ23" s="30">
        <v>586</v>
      </c>
      <c r="AK23" s="48" t="s">
        <v>21</v>
      </c>
      <c r="AL23" s="29">
        <v>421</v>
      </c>
      <c r="AM23" s="29">
        <v>608</v>
      </c>
      <c r="AN23" s="49" t="s">
        <v>21</v>
      </c>
      <c r="AO23" s="30">
        <v>403</v>
      </c>
      <c r="AP23" s="30">
        <v>571</v>
      </c>
      <c r="AQ23" s="48" t="s">
        <v>21</v>
      </c>
      <c r="AR23" s="29">
        <v>440</v>
      </c>
      <c r="AS23" s="29">
        <v>582</v>
      </c>
    </row>
    <row r="24" spans="1:45">
      <c r="A24" s="24">
        <v>20</v>
      </c>
      <c r="B24" s="19"/>
      <c r="C24" s="19"/>
      <c r="D24" s="9"/>
      <c r="E24" s="9"/>
      <c r="F24" s="9"/>
      <c r="G24" s="9"/>
      <c r="H24" s="9"/>
      <c r="I24" s="3"/>
      <c r="J24" s="21">
        <v>20</v>
      </c>
      <c r="K24" s="34"/>
      <c r="L24" s="34"/>
      <c r="M24" s="34"/>
      <c r="N24" s="11"/>
      <c r="O24" s="9"/>
      <c r="P24" s="9"/>
      <c r="Q24" s="9"/>
      <c r="R24" s="9"/>
      <c r="T24" s="23">
        <v>20</v>
      </c>
      <c r="U24" s="35"/>
      <c r="V24" s="35"/>
      <c r="W24" s="35"/>
      <c r="X24" s="35"/>
      <c r="Y24" s="11"/>
      <c r="Z24" s="9"/>
      <c r="AA24" s="9"/>
      <c r="AB24" s="9"/>
      <c r="AC24" s="9"/>
      <c r="AE24" s="48" t="s">
        <v>22</v>
      </c>
      <c r="AF24" s="29">
        <v>467</v>
      </c>
      <c r="AG24" s="29">
        <v>547</v>
      </c>
      <c r="AH24" s="49" t="s">
        <v>22</v>
      </c>
      <c r="AI24" s="30">
        <v>512</v>
      </c>
      <c r="AJ24" s="30">
        <v>573</v>
      </c>
      <c r="AK24" s="48" t="s">
        <v>22</v>
      </c>
      <c r="AL24" s="29">
        <v>498</v>
      </c>
      <c r="AM24" s="29">
        <v>585</v>
      </c>
      <c r="AN24" s="49" t="s">
        <v>22</v>
      </c>
      <c r="AO24" s="30">
        <v>470</v>
      </c>
      <c r="AP24" s="30">
        <v>559</v>
      </c>
      <c r="AQ24" s="48" t="s">
        <v>22</v>
      </c>
      <c r="AR24" s="29">
        <v>510</v>
      </c>
      <c r="AS24" s="29">
        <v>572</v>
      </c>
    </row>
    <row r="25" spans="1:45" ht="15.75" customHeight="1">
      <c r="A25" s="24">
        <v>21</v>
      </c>
      <c r="B25" s="19"/>
      <c r="C25" s="19"/>
      <c r="D25" s="9"/>
      <c r="E25" s="9"/>
      <c r="F25" s="9"/>
      <c r="G25" s="9"/>
      <c r="H25" s="9"/>
      <c r="I25" s="3"/>
      <c r="J25" s="21">
        <v>21</v>
      </c>
      <c r="K25" s="34"/>
      <c r="L25" s="34"/>
      <c r="M25" s="34"/>
      <c r="N25" s="11"/>
      <c r="O25" s="9"/>
      <c r="P25" s="9"/>
      <c r="Q25" s="9"/>
      <c r="R25" s="9"/>
      <c r="T25" s="23">
        <v>21</v>
      </c>
      <c r="U25" s="35"/>
      <c r="V25" s="35"/>
      <c r="W25" s="35"/>
      <c r="X25" s="35"/>
      <c r="Y25" s="11"/>
      <c r="Z25" s="9"/>
      <c r="AA25" s="9"/>
      <c r="AB25" s="9"/>
      <c r="AC25" s="9"/>
      <c r="AE25" s="48" t="s">
        <v>23</v>
      </c>
      <c r="AF25" s="29">
        <v>403</v>
      </c>
      <c r="AG25" s="29">
        <v>521</v>
      </c>
      <c r="AH25" s="49" t="s">
        <v>23</v>
      </c>
      <c r="AI25" s="30">
        <v>440</v>
      </c>
      <c r="AJ25" s="30">
        <v>537</v>
      </c>
      <c r="AK25" s="48" t="s">
        <v>23</v>
      </c>
      <c r="AL25" s="29">
        <v>425</v>
      </c>
      <c r="AM25" s="29">
        <v>550</v>
      </c>
      <c r="AN25" s="49" t="s">
        <v>23</v>
      </c>
      <c r="AO25" s="30">
        <v>396</v>
      </c>
      <c r="AP25" s="30">
        <v>525</v>
      </c>
      <c r="AQ25" s="48" t="s">
        <v>23</v>
      </c>
      <c r="AR25" s="29">
        <v>436</v>
      </c>
      <c r="AS25" s="29">
        <v>527</v>
      </c>
    </row>
    <row r="26" spans="1:45" ht="16.5" customHeight="1">
      <c r="A26" s="24">
        <v>22</v>
      </c>
      <c r="B26" s="19"/>
      <c r="C26" s="19"/>
      <c r="D26" s="9"/>
      <c r="E26" s="9"/>
      <c r="F26" s="9"/>
      <c r="G26" s="9"/>
      <c r="H26" s="9"/>
      <c r="I26" s="3"/>
      <c r="J26" s="21">
        <v>22</v>
      </c>
      <c r="K26" s="34"/>
      <c r="L26" s="34"/>
      <c r="M26" s="34"/>
      <c r="N26" s="11"/>
      <c r="O26" s="9"/>
      <c r="P26" s="9"/>
      <c r="Q26" s="9"/>
      <c r="R26" s="9"/>
      <c r="T26" s="23">
        <v>22</v>
      </c>
      <c r="U26" s="35"/>
      <c r="V26" s="35"/>
      <c r="W26" s="35"/>
      <c r="X26" s="35"/>
      <c r="Y26" s="11"/>
      <c r="Z26" s="9"/>
      <c r="AA26" s="9"/>
      <c r="AB26" s="9"/>
      <c r="AC26" s="9"/>
      <c r="AE26" s="48" t="s">
        <v>24</v>
      </c>
      <c r="AF26" s="31">
        <v>1180</v>
      </c>
      <c r="AG26" s="31">
        <v>1180</v>
      </c>
      <c r="AH26" s="49" t="s">
        <v>24</v>
      </c>
      <c r="AI26" s="30">
        <v>1180</v>
      </c>
      <c r="AJ26" s="30">
        <v>1180</v>
      </c>
      <c r="AK26" s="48" t="s">
        <v>24</v>
      </c>
      <c r="AL26" s="31">
        <v>1180</v>
      </c>
      <c r="AM26" s="31">
        <v>1180</v>
      </c>
      <c r="AN26" s="49" t="s">
        <v>24</v>
      </c>
      <c r="AO26" s="30">
        <v>1180</v>
      </c>
      <c r="AP26" s="30">
        <v>1180</v>
      </c>
      <c r="AQ26" s="32" t="s">
        <v>24</v>
      </c>
      <c r="AR26" s="31">
        <v>1180</v>
      </c>
      <c r="AS26" s="31">
        <v>1180</v>
      </c>
    </row>
    <row r="27" spans="1:45">
      <c r="A27" s="24">
        <v>23</v>
      </c>
      <c r="B27" s="19"/>
      <c r="C27" s="19"/>
      <c r="D27" s="9"/>
      <c r="E27" s="9"/>
      <c r="F27" s="9"/>
      <c r="G27" s="9"/>
      <c r="H27" s="9"/>
      <c r="J27" s="21">
        <v>23</v>
      </c>
      <c r="K27" s="34"/>
      <c r="L27" s="34"/>
      <c r="M27" s="34"/>
      <c r="N27" s="11"/>
      <c r="O27" s="9"/>
      <c r="P27" s="9"/>
      <c r="Q27" s="9"/>
      <c r="R27" s="9"/>
      <c r="T27" s="23">
        <v>23</v>
      </c>
      <c r="U27" s="35"/>
      <c r="V27" s="35"/>
      <c r="W27" s="35"/>
      <c r="X27" s="35"/>
      <c r="Y27" s="11"/>
      <c r="Z27" s="9"/>
      <c r="AA27" s="9"/>
      <c r="AB27" s="9"/>
      <c r="AC27" s="9"/>
      <c r="AE27" s="46" t="s">
        <v>67</v>
      </c>
      <c r="AF27" s="8">
        <v>600</v>
      </c>
      <c r="AG27" s="37">
        <v>0</v>
      </c>
      <c r="AH27" s="46" t="s">
        <v>67</v>
      </c>
      <c r="AI27" s="9">
        <v>600</v>
      </c>
      <c r="AJ27" s="38">
        <v>0</v>
      </c>
      <c r="AK27" s="46" t="s">
        <v>67</v>
      </c>
      <c r="AL27" s="8">
        <v>600</v>
      </c>
      <c r="AM27" s="37">
        <v>0</v>
      </c>
      <c r="AN27" s="46" t="s">
        <v>67</v>
      </c>
      <c r="AO27" s="9">
        <v>600</v>
      </c>
      <c r="AP27" s="38">
        <v>0</v>
      </c>
      <c r="AQ27" s="46" t="s">
        <v>67</v>
      </c>
      <c r="AR27" s="8">
        <v>600</v>
      </c>
      <c r="AS27" s="37">
        <v>0</v>
      </c>
    </row>
    <row r="28" spans="1:45" s="7" customFormat="1">
      <c r="A28" s="24">
        <v>24</v>
      </c>
      <c r="B28" s="19"/>
      <c r="C28" s="19"/>
      <c r="D28" s="17"/>
      <c r="E28" s="12"/>
      <c r="F28" s="12"/>
      <c r="G28" s="12"/>
      <c r="H28" s="12"/>
      <c r="J28" s="21">
        <v>24</v>
      </c>
      <c r="K28" s="34"/>
      <c r="L28" s="34"/>
      <c r="M28" s="34"/>
      <c r="N28" s="17"/>
      <c r="O28" s="12"/>
      <c r="P28" s="12"/>
      <c r="Q28" s="12"/>
      <c r="R28" s="12"/>
      <c r="T28" s="23">
        <v>24</v>
      </c>
      <c r="U28" s="35"/>
      <c r="V28" s="35"/>
      <c r="W28" s="35"/>
      <c r="X28" s="35"/>
      <c r="Y28" s="17"/>
      <c r="Z28" s="12"/>
      <c r="AA28" s="12"/>
      <c r="AB28" s="12"/>
      <c r="AC28" s="12"/>
      <c r="AE28" s="46" t="s">
        <v>68</v>
      </c>
      <c r="AF28" s="8">
        <v>409</v>
      </c>
      <c r="AG28" s="37">
        <v>376</v>
      </c>
      <c r="AH28" s="46" t="s">
        <v>68</v>
      </c>
      <c r="AI28" s="9">
        <v>421</v>
      </c>
      <c r="AJ28" s="38">
        <v>460</v>
      </c>
      <c r="AK28" s="46" t="s">
        <v>68</v>
      </c>
      <c r="AL28" s="8">
        <v>425</v>
      </c>
      <c r="AM28" s="37">
        <v>454</v>
      </c>
      <c r="AN28" s="46" t="s">
        <v>68</v>
      </c>
      <c r="AO28" s="9">
        <v>400</v>
      </c>
      <c r="AP28" s="38">
        <v>428</v>
      </c>
      <c r="AQ28" s="46" t="s">
        <v>68</v>
      </c>
      <c r="AR28" s="8">
        <v>423</v>
      </c>
      <c r="AS28" s="37">
        <v>440</v>
      </c>
    </row>
    <row r="29" spans="1:45">
      <c r="A29" s="24">
        <v>25</v>
      </c>
      <c r="B29" s="19"/>
      <c r="C29" s="19"/>
      <c r="D29" s="18"/>
      <c r="E29" s="13"/>
      <c r="F29" s="9"/>
      <c r="G29" s="9"/>
      <c r="H29" s="9"/>
      <c r="J29" s="21">
        <v>25</v>
      </c>
      <c r="K29" s="34"/>
      <c r="L29" s="34"/>
      <c r="M29" s="34"/>
      <c r="N29" s="11"/>
      <c r="O29" s="9"/>
      <c r="P29" s="9"/>
      <c r="Q29" s="9"/>
      <c r="R29" s="9"/>
      <c r="T29" s="23">
        <v>25</v>
      </c>
      <c r="U29" s="35"/>
      <c r="V29" s="35"/>
      <c r="W29" s="35"/>
      <c r="X29" s="35"/>
      <c r="Y29" s="11"/>
      <c r="Z29" s="9"/>
      <c r="AA29" s="9"/>
      <c r="AB29" s="9"/>
      <c r="AC29" s="9"/>
      <c r="AE29" s="46" t="s">
        <v>69</v>
      </c>
      <c r="AF29" s="8">
        <v>296</v>
      </c>
      <c r="AG29" s="37">
        <v>446</v>
      </c>
      <c r="AH29" s="46" t="s">
        <v>69</v>
      </c>
      <c r="AI29" s="9">
        <v>314</v>
      </c>
      <c r="AJ29" s="38">
        <v>517</v>
      </c>
      <c r="AK29" s="46" t="s">
        <v>69</v>
      </c>
      <c r="AL29" s="8">
        <v>320</v>
      </c>
      <c r="AM29" s="37">
        <v>514</v>
      </c>
      <c r="AN29" s="46" t="s">
        <v>69</v>
      </c>
      <c r="AO29" s="9">
        <v>284</v>
      </c>
      <c r="AP29" s="38">
        <v>458</v>
      </c>
      <c r="AQ29" s="46" t="s">
        <v>69</v>
      </c>
      <c r="AR29" s="8">
        <v>289</v>
      </c>
      <c r="AS29" s="37">
        <v>494</v>
      </c>
    </row>
    <row r="30" spans="1:45">
      <c r="A30" s="24">
        <v>26</v>
      </c>
      <c r="B30" s="19"/>
      <c r="C30" s="19"/>
      <c r="D30" s="11"/>
      <c r="E30" s="9"/>
      <c r="F30" s="9"/>
      <c r="G30" s="9"/>
      <c r="H30" s="9"/>
      <c r="J30" s="21">
        <v>26</v>
      </c>
      <c r="K30" s="34"/>
      <c r="L30" s="34"/>
      <c r="M30" s="34"/>
      <c r="N30" s="11"/>
      <c r="O30" s="9"/>
      <c r="P30" s="9"/>
      <c r="Q30" s="9"/>
      <c r="R30" s="9"/>
      <c r="T30" s="23">
        <v>26</v>
      </c>
      <c r="U30" s="35"/>
      <c r="V30" s="35"/>
      <c r="W30" s="35"/>
      <c r="X30" s="35"/>
      <c r="Y30" s="11"/>
      <c r="Z30" s="9"/>
      <c r="AA30" s="9"/>
      <c r="AB30" s="9"/>
      <c r="AC30" s="9"/>
      <c r="AE30" s="46" t="s">
        <v>70</v>
      </c>
      <c r="AF30" s="8">
        <v>488</v>
      </c>
      <c r="AG30" s="37">
        <v>411</v>
      </c>
      <c r="AH30" s="46" t="s">
        <v>70</v>
      </c>
      <c r="AI30" s="9">
        <v>524</v>
      </c>
      <c r="AJ30" s="38">
        <v>497</v>
      </c>
      <c r="AK30" s="46" t="s">
        <v>70</v>
      </c>
      <c r="AL30" s="8">
        <v>528</v>
      </c>
      <c r="AM30" s="37">
        <v>497</v>
      </c>
      <c r="AN30" s="46" t="s">
        <v>70</v>
      </c>
      <c r="AO30" s="9">
        <v>472</v>
      </c>
      <c r="AP30" s="38">
        <v>470</v>
      </c>
      <c r="AQ30" s="46" t="s">
        <v>70</v>
      </c>
      <c r="AR30" s="8">
        <v>522</v>
      </c>
      <c r="AS30" s="37">
        <v>489</v>
      </c>
    </row>
    <row r="31" spans="1:45">
      <c r="A31" s="24">
        <v>27</v>
      </c>
      <c r="B31" s="19"/>
      <c r="C31" s="19"/>
      <c r="D31" s="11"/>
      <c r="E31" s="9"/>
      <c r="F31" s="9"/>
      <c r="G31" s="9"/>
      <c r="H31" s="9"/>
      <c r="J31" s="21">
        <v>27</v>
      </c>
      <c r="K31" s="34"/>
      <c r="L31" s="34"/>
      <c r="M31" s="34"/>
      <c r="N31" s="11"/>
      <c r="O31" s="9"/>
      <c r="P31" s="9"/>
      <c r="Q31" s="9"/>
      <c r="R31" s="9"/>
      <c r="T31" s="23">
        <v>27</v>
      </c>
      <c r="U31" s="35"/>
      <c r="V31" s="35"/>
      <c r="W31" s="35"/>
      <c r="X31" s="35"/>
      <c r="Y31" s="11"/>
      <c r="Z31" s="9"/>
      <c r="AA31" s="9"/>
      <c r="AB31" s="9"/>
      <c r="AC31" s="9"/>
      <c r="AE31" s="46" t="s">
        <v>71</v>
      </c>
      <c r="AF31" s="8">
        <v>411</v>
      </c>
      <c r="AG31" s="37">
        <v>423</v>
      </c>
      <c r="AH31" s="46" t="s">
        <v>71</v>
      </c>
      <c r="AI31" s="9">
        <v>418</v>
      </c>
      <c r="AJ31" s="38">
        <v>491</v>
      </c>
      <c r="AK31" s="46" t="s">
        <v>71</v>
      </c>
      <c r="AL31" s="8">
        <v>430</v>
      </c>
      <c r="AM31" s="37">
        <v>497</v>
      </c>
      <c r="AN31" s="46" t="s">
        <v>71</v>
      </c>
      <c r="AO31" s="9">
        <v>387</v>
      </c>
      <c r="AP31" s="38">
        <v>467</v>
      </c>
      <c r="AQ31" s="46" t="s">
        <v>71</v>
      </c>
      <c r="AR31" s="8">
        <v>418</v>
      </c>
      <c r="AS31" s="37">
        <v>473</v>
      </c>
    </row>
    <row r="32" spans="1:45">
      <c r="A32" s="24">
        <v>28</v>
      </c>
      <c r="B32" s="19"/>
      <c r="C32" s="19"/>
      <c r="D32" s="11"/>
      <c r="E32" s="9"/>
      <c r="F32" s="9"/>
      <c r="G32" s="9"/>
      <c r="H32" s="9"/>
      <c r="J32" s="21">
        <v>28</v>
      </c>
      <c r="K32" s="34"/>
      <c r="L32" s="34"/>
      <c r="M32" s="34"/>
      <c r="N32" s="11"/>
      <c r="O32" s="9"/>
      <c r="P32" s="9"/>
      <c r="Q32" s="9"/>
      <c r="R32" s="9"/>
      <c r="T32" s="23">
        <v>28</v>
      </c>
      <c r="U32" s="35"/>
      <c r="V32" s="35"/>
      <c r="W32" s="35"/>
      <c r="X32" s="35"/>
      <c r="Y32" s="11"/>
      <c r="Z32" s="9"/>
      <c r="AA32" s="9"/>
      <c r="AB32" s="9"/>
      <c r="AC32" s="9"/>
      <c r="AE32" s="46"/>
      <c r="AF32" s="8"/>
      <c r="AG32" s="37"/>
      <c r="AH32" s="46"/>
      <c r="AI32" s="9"/>
      <c r="AJ32" s="38"/>
      <c r="AK32" s="46"/>
      <c r="AL32" s="8"/>
      <c r="AM32" s="37"/>
      <c r="AN32" s="46"/>
      <c r="AO32" s="9"/>
      <c r="AP32" s="38"/>
      <c r="AQ32" s="46"/>
      <c r="AR32" s="8"/>
      <c r="AS32" s="37"/>
    </row>
    <row r="33" spans="1:45">
      <c r="A33" s="24">
        <v>29</v>
      </c>
      <c r="B33" s="19"/>
      <c r="C33" s="19"/>
      <c r="D33" s="11"/>
      <c r="E33" s="9"/>
      <c r="F33" s="9"/>
      <c r="G33" s="9"/>
      <c r="H33" s="9"/>
      <c r="J33" s="21">
        <v>29</v>
      </c>
      <c r="K33" s="34"/>
      <c r="L33" s="34"/>
      <c r="M33" s="34"/>
      <c r="N33" s="11"/>
      <c r="O33" s="9"/>
      <c r="P33" s="9"/>
      <c r="Q33" s="9"/>
      <c r="R33" s="9"/>
      <c r="T33" s="23">
        <v>29</v>
      </c>
      <c r="U33" s="35"/>
      <c r="V33" s="35"/>
      <c r="W33" s="35"/>
      <c r="X33" s="35"/>
      <c r="Y33" s="11"/>
      <c r="Z33" s="9"/>
      <c r="AA33" s="9"/>
      <c r="AB33" s="9"/>
      <c r="AC33" s="9"/>
      <c r="AE33" s="46"/>
      <c r="AF33" s="8"/>
      <c r="AG33" s="37"/>
      <c r="AH33" s="47"/>
      <c r="AI33" s="9"/>
      <c r="AJ33" s="38"/>
      <c r="AK33" s="46"/>
      <c r="AL33" s="8"/>
      <c r="AM33" s="37"/>
      <c r="AN33" s="47"/>
      <c r="AO33" s="9"/>
      <c r="AP33" s="38"/>
      <c r="AQ33" s="46"/>
      <c r="AR33" s="8"/>
      <c r="AS33" s="37"/>
    </row>
    <row r="34" spans="1:45">
      <c r="A34" s="24">
        <v>30</v>
      </c>
      <c r="B34" s="19"/>
      <c r="C34" s="19"/>
      <c r="D34" s="11"/>
      <c r="E34" s="9"/>
      <c r="F34" s="9"/>
      <c r="G34" s="9"/>
      <c r="H34" s="9"/>
      <c r="J34" s="21">
        <v>30</v>
      </c>
      <c r="K34" s="34"/>
      <c r="L34" s="34"/>
      <c r="M34" s="34"/>
      <c r="N34" s="11"/>
      <c r="O34" s="9"/>
      <c r="P34" s="9"/>
      <c r="Q34" s="9"/>
      <c r="R34" s="9"/>
      <c r="T34" s="23">
        <v>30</v>
      </c>
      <c r="U34" s="35"/>
      <c r="V34" s="35"/>
      <c r="W34" s="35"/>
      <c r="X34" s="35"/>
      <c r="Y34" s="11"/>
      <c r="Z34" s="9"/>
      <c r="AA34" s="9"/>
      <c r="AB34" s="9"/>
      <c r="AC34" s="9"/>
      <c r="AE34" s="46"/>
      <c r="AF34" s="8"/>
      <c r="AG34" s="37"/>
      <c r="AH34" s="47"/>
      <c r="AI34" s="9"/>
      <c r="AJ34" s="38"/>
      <c r="AK34" s="46"/>
      <c r="AL34" s="8"/>
      <c r="AM34" s="37"/>
      <c r="AN34" s="47"/>
      <c r="AO34" s="9"/>
      <c r="AP34" s="38"/>
      <c r="AQ34" s="46"/>
      <c r="AR34" s="8"/>
      <c r="AS34" s="37"/>
    </row>
    <row r="35" spans="1:45">
      <c r="A35" s="25"/>
      <c r="B35" s="15"/>
      <c r="C35" s="15"/>
      <c r="D35" s="14"/>
      <c r="E35" s="14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</row>
    <row r="36" spans="1:45" ht="15.75" customHeight="1">
      <c r="A36" s="79" t="s">
        <v>64</v>
      </c>
      <c r="B36" s="79"/>
      <c r="C36" s="79"/>
      <c r="D36" s="79"/>
      <c r="E36" s="79"/>
      <c r="F36" s="79"/>
      <c r="G36" s="79"/>
      <c r="H36" s="79"/>
      <c r="I36" s="20"/>
      <c r="J36" s="79" t="s">
        <v>64</v>
      </c>
      <c r="K36" s="80"/>
      <c r="L36" s="80"/>
      <c r="M36" s="80"/>
      <c r="N36" s="80"/>
      <c r="O36" s="80"/>
      <c r="P36" s="80"/>
      <c r="Q36" s="80"/>
      <c r="R36" s="80"/>
      <c r="T36" s="79" t="s">
        <v>64</v>
      </c>
      <c r="U36" s="80"/>
      <c r="V36" s="80"/>
      <c r="W36" s="80"/>
      <c r="X36" s="80"/>
      <c r="Y36" s="80"/>
      <c r="Z36" s="80"/>
      <c r="AA36" s="80"/>
      <c r="AB36" s="80"/>
      <c r="AC36" s="80"/>
      <c r="AE36" s="80" t="s">
        <v>63</v>
      </c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</row>
    <row r="37" spans="1:45" ht="15.75" customHeight="1">
      <c r="A37" s="79"/>
      <c r="B37" s="79"/>
      <c r="C37" s="79"/>
      <c r="D37" s="79"/>
      <c r="E37" s="79"/>
      <c r="F37" s="79"/>
      <c r="G37" s="79"/>
      <c r="H37" s="79"/>
      <c r="I37" s="20"/>
      <c r="J37" s="80"/>
      <c r="K37" s="80"/>
      <c r="L37" s="80"/>
      <c r="M37" s="80"/>
      <c r="N37" s="80"/>
      <c r="O37" s="80"/>
      <c r="P37" s="80"/>
      <c r="Q37" s="80"/>
      <c r="R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</row>
    <row r="38" spans="1:45">
      <c r="A38" s="79"/>
      <c r="B38" s="79"/>
      <c r="C38" s="79"/>
      <c r="D38" s="79"/>
      <c r="E38" s="79"/>
      <c r="F38" s="79"/>
      <c r="G38" s="79"/>
      <c r="H38" s="79"/>
      <c r="J38" s="80"/>
      <c r="K38" s="80"/>
      <c r="L38" s="80"/>
      <c r="M38" s="80"/>
      <c r="N38" s="80"/>
      <c r="O38" s="80"/>
      <c r="P38" s="80"/>
      <c r="Q38" s="80"/>
      <c r="R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</row>
    <row r="39" spans="1:45">
      <c r="A39" s="25"/>
      <c r="B39" s="15"/>
      <c r="C39" s="15"/>
      <c r="D39" s="14"/>
      <c r="E39" s="14"/>
    </row>
    <row r="40" spans="1:45">
      <c r="A40" s="25"/>
      <c r="B40" s="15"/>
      <c r="C40" s="15"/>
      <c r="D40" s="14"/>
      <c r="E40" s="14"/>
    </row>
    <row r="41" spans="1:45">
      <c r="A41" s="25"/>
      <c r="B41" s="15"/>
      <c r="C41" s="15"/>
      <c r="D41" s="14"/>
      <c r="E41" s="14"/>
    </row>
    <row r="42" spans="1:45">
      <c r="A42" s="25"/>
      <c r="B42" s="15"/>
      <c r="C42" s="15"/>
      <c r="D42" s="14"/>
      <c r="E42" s="14"/>
    </row>
    <row r="43" spans="1:45">
      <c r="A43" s="25"/>
      <c r="B43" s="15"/>
      <c r="C43" s="15"/>
      <c r="D43" s="14"/>
      <c r="E43" s="14"/>
    </row>
    <row r="44" spans="1:45">
      <c r="A44" s="25"/>
      <c r="B44" s="15"/>
      <c r="C44" s="15"/>
      <c r="D44" s="14"/>
      <c r="E44" s="14"/>
    </row>
    <row r="45" spans="1:45">
      <c r="A45" s="25"/>
      <c r="B45" s="15"/>
      <c r="C45" s="15"/>
      <c r="D45" s="14"/>
      <c r="E45" s="14"/>
    </row>
    <row r="46" spans="1:45">
      <c r="A46" s="25"/>
      <c r="B46" s="15"/>
      <c r="C46" s="15"/>
      <c r="D46" s="14"/>
      <c r="E46" s="14"/>
    </row>
    <row r="47" spans="1:45">
      <c r="A47" s="25"/>
      <c r="B47" s="15"/>
      <c r="C47" s="15"/>
      <c r="D47" s="14"/>
      <c r="E47" s="14"/>
    </row>
    <row r="48" spans="1:45">
      <c r="A48" s="25"/>
      <c r="B48" s="15"/>
      <c r="C48" s="15"/>
      <c r="D48" s="14"/>
      <c r="E48" s="14"/>
    </row>
    <row r="49" spans="1:5">
      <c r="A49" s="25"/>
      <c r="B49" s="15"/>
      <c r="C49" s="15"/>
      <c r="D49" s="14"/>
      <c r="E49" s="14"/>
    </row>
    <row r="50" spans="1:5">
      <c r="A50" s="25"/>
      <c r="B50" s="15"/>
      <c r="C50" s="15"/>
      <c r="D50" s="14"/>
      <c r="E50" s="14"/>
    </row>
    <row r="51" spans="1:5">
      <c r="A51" s="25"/>
      <c r="B51" s="15"/>
      <c r="C51" s="15"/>
      <c r="D51" s="14"/>
      <c r="E51" s="14"/>
    </row>
    <row r="52" spans="1:5">
      <c r="A52" s="25"/>
      <c r="B52" s="15"/>
      <c r="C52" s="15"/>
      <c r="D52" s="14"/>
      <c r="E52" s="14"/>
    </row>
  </sheetData>
  <mergeCells count="27">
    <mergeCell ref="A36:H38"/>
    <mergeCell ref="J36:R38"/>
    <mergeCell ref="T36:AC38"/>
    <mergeCell ref="AE36:AS38"/>
    <mergeCell ref="AN2:AP2"/>
    <mergeCell ref="AQ2:AS2"/>
    <mergeCell ref="AF3:AG3"/>
    <mergeCell ref="AI3:AJ3"/>
    <mergeCell ref="AL3:AM3"/>
    <mergeCell ref="AO3:AP3"/>
    <mergeCell ref="AR3:AS3"/>
    <mergeCell ref="T2:X4"/>
    <mergeCell ref="Y2:AA3"/>
    <mergeCell ref="AB2:AC3"/>
    <mergeCell ref="AE2:AG2"/>
    <mergeCell ref="AH2:AJ2"/>
    <mergeCell ref="AK2:AM2"/>
    <mergeCell ref="A1:H1"/>
    <mergeCell ref="J1:R1"/>
    <mergeCell ref="T1:AC1"/>
    <mergeCell ref="AE1:AS1"/>
    <mergeCell ref="A2:C4"/>
    <mergeCell ref="D2:F3"/>
    <mergeCell ref="G2:H3"/>
    <mergeCell ref="J2:M4"/>
    <mergeCell ref="N2:P3"/>
    <mergeCell ref="Q2:R3"/>
  </mergeCells>
  <phoneticPr fontId="1" type="noConversion"/>
  <conditionalFormatting sqref="Y1:AC1 Y4:AC35 Y2 Y39:AC1048576">
    <cfRule type="cellIs" dxfId="15" priority="1" operator="lessThan">
      <formula>0</formula>
    </cfRule>
  </conditionalFormatting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工作表11"/>
  <dimension ref="A1:AS52"/>
  <sheetViews>
    <sheetView topLeftCell="I1" zoomScale="55" zoomScaleNormal="55" workbookViewId="0">
      <selection activeCell="AI3" sqref="AI3:AJ3"/>
    </sheetView>
  </sheetViews>
  <sheetFormatPr defaultColWidth="9" defaultRowHeight="15.5"/>
  <cols>
    <col min="1" max="1" width="3.58203125" style="22" customWidth="1"/>
    <col min="2" max="3" width="3.58203125" style="4" customWidth="1"/>
    <col min="4" max="8" width="10.58203125" style="10" customWidth="1"/>
    <col min="9" max="9" width="2.08203125" style="1" customWidth="1"/>
    <col min="10" max="10" width="3.58203125" style="22" customWidth="1"/>
    <col min="11" max="12" width="3.58203125" style="4" customWidth="1"/>
    <col min="13" max="13" width="3.08203125" style="4" bestFit="1" customWidth="1"/>
    <col min="14" max="18" width="10.58203125" style="10" customWidth="1"/>
    <col min="19" max="19" width="2.08203125" style="1" customWidth="1"/>
    <col min="20" max="20" width="3.58203125" style="22" customWidth="1"/>
    <col min="21" max="23" width="3.58203125" style="4" customWidth="1"/>
    <col min="24" max="24" width="3.08203125" style="4" bestFit="1" customWidth="1"/>
    <col min="25" max="29" width="10.58203125" style="10" customWidth="1"/>
    <col min="30" max="30" width="2.08203125" style="1" customWidth="1"/>
    <col min="31" max="31" width="7.58203125" style="4" customWidth="1"/>
    <col min="32" max="32" width="10.58203125" style="10" customWidth="1"/>
    <col min="33" max="33" width="10.58203125" style="1" customWidth="1"/>
    <col min="34" max="34" width="7.58203125" style="4" customWidth="1"/>
    <col min="35" max="35" width="10.58203125" style="10" customWidth="1"/>
    <col min="36" max="36" width="10.58203125" style="1" customWidth="1"/>
    <col min="37" max="37" width="7.58203125" style="4" customWidth="1"/>
    <col min="38" max="38" width="10.58203125" style="10" customWidth="1"/>
    <col min="39" max="39" width="10.58203125" style="1" customWidth="1"/>
    <col min="40" max="40" width="7.58203125" style="4" customWidth="1"/>
    <col min="41" max="41" width="10.58203125" style="10" customWidth="1"/>
    <col min="42" max="42" width="10.58203125" style="1" customWidth="1"/>
    <col min="43" max="16384" width="9" style="1"/>
  </cols>
  <sheetData>
    <row r="1" spans="1:45" ht="24" customHeight="1">
      <c r="A1" s="57" t="s">
        <v>58</v>
      </c>
      <c r="B1" s="57"/>
      <c r="C1" s="57"/>
      <c r="D1" s="57"/>
      <c r="E1" s="57"/>
      <c r="F1" s="57"/>
      <c r="G1" s="57"/>
      <c r="H1" s="58"/>
      <c r="J1" s="59" t="s">
        <v>60</v>
      </c>
      <c r="K1" s="59"/>
      <c r="L1" s="59"/>
      <c r="M1" s="59"/>
      <c r="N1" s="59"/>
      <c r="O1" s="59"/>
      <c r="P1" s="59"/>
      <c r="Q1" s="59"/>
      <c r="R1" s="59"/>
      <c r="T1" s="60" t="s">
        <v>59</v>
      </c>
      <c r="U1" s="60"/>
      <c r="V1" s="60"/>
      <c r="W1" s="60"/>
      <c r="X1" s="60"/>
      <c r="Y1" s="60"/>
      <c r="Z1" s="60"/>
      <c r="AA1" s="60"/>
      <c r="AB1" s="60"/>
      <c r="AC1" s="60"/>
      <c r="AE1" s="61" t="s">
        <v>180</v>
      </c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</row>
    <row r="2" spans="1:45" s="2" customFormat="1" ht="19.5" customHeight="1">
      <c r="A2" s="63" t="s">
        <v>55</v>
      </c>
      <c r="B2" s="63"/>
      <c r="C2" s="63"/>
      <c r="D2" s="65"/>
      <c r="E2" s="66"/>
      <c r="F2" s="67"/>
      <c r="G2" s="65"/>
      <c r="H2" s="67"/>
      <c r="J2" s="71" t="s">
        <v>56</v>
      </c>
      <c r="K2" s="71"/>
      <c r="L2" s="71"/>
      <c r="M2" s="71"/>
      <c r="N2" s="73"/>
      <c r="O2" s="74"/>
      <c r="P2" s="75"/>
      <c r="Q2" s="73"/>
      <c r="R2" s="75"/>
      <c r="T2" s="90" t="s">
        <v>57</v>
      </c>
      <c r="U2" s="90"/>
      <c r="V2" s="90"/>
      <c r="W2" s="90"/>
      <c r="X2" s="90"/>
      <c r="Y2" s="92"/>
      <c r="Z2" s="93"/>
      <c r="AA2" s="94"/>
      <c r="AB2" s="92"/>
      <c r="AC2" s="94"/>
      <c r="AE2" s="54" t="s">
        <v>82</v>
      </c>
      <c r="AF2" s="55"/>
      <c r="AG2" s="56"/>
      <c r="AH2" s="81" t="s">
        <v>83</v>
      </c>
      <c r="AI2" s="82"/>
      <c r="AJ2" s="83"/>
      <c r="AK2" s="54" t="s">
        <v>84</v>
      </c>
      <c r="AL2" s="55"/>
      <c r="AM2" s="56"/>
      <c r="AN2" s="81" t="s">
        <v>85</v>
      </c>
      <c r="AO2" s="82"/>
      <c r="AP2" s="83"/>
      <c r="AQ2" s="54" t="s">
        <v>86</v>
      </c>
      <c r="AR2" s="55"/>
      <c r="AS2" s="56"/>
    </row>
    <row r="3" spans="1:45" ht="16.5" customHeight="1">
      <c r="A3" s="63"/>
      <c r="B3" s="63"/>
      <c r="C3" s="63"/>
      <c r="D3" s="68"/>
      <c r="E3" s="69"/>
      <c r="F3" s="70"/>
      <c r="G3" s="68"/>
      <c r="H3" s="70"/>
      <c r="J3" s="71"/>
      <c r="K3" s="71"/>
      <c r="L3" s="71"/>
      <c r="M3" s="71"/>
      <c r="N3" s="76"/>
      <c r="O3" s="77"/>
      <c r="P3" s="78"/>
      <c r="Q3" s="76"/>
      <c r="R3" s="78"/>
      <c r="T3" s="90"/>
      <c r="U3" s="90"/>
      <c r="V3" s="90"/>
      <c r="W3" s="90"/>
      <c r="X3" s="90"/>
      <c r="Y3" s="95"/>
      <c r="Z3" s="96"/>
      <c r="AA3" s="97"/>
      <c r="AB3" s="95"/>
      <c r="AC3" s="97"/>
      <c r="AE3" s="52" t="s">
        <v>178</v>
      </c>
      <c r="AF3" s="85" t="s">
        <v>177</v>
      </c>
      <c r="AG3" s="85"/>
      <c r="AH3" s="52" t="s">
        <v>178</v>
      </c>
      <c r="AI3" s="85" t="s">
        <v>177</v>
      </c>
      <c r="AJ3" s="85"/>
      <c r="AK3" s="52" t="s">
        <v>178</v>
      </c>
      <c r="AL3" s="85" t="s">
        <v>177</v>
      </c>
      <c r="AM3" s="85"/>
      <c r="AN3" s="52" t="s">
        <v>178</v>
      </c>
      <c r="AO3" s="85" t="s">
        <v>177</v>
      </c>
      <c r="AP3" s="85"/>
      <c r="AQ3" s="52" t="s">
        <v>178</v>
      </c>
      <c r="AR3" s="85" t="s">
        <v>177</v>
      </c>
      <c r="AS3" s="85"/>
    </row>
    <row r="4" spans="1:45" s="4" customFormat="1" ht="29" customHeight="1">
      <c r="A4" s="63"/>
      <c r="B4" s="64"/>
      <c r="C4" s="64"/>
      <c r="D4" s="19" t="s">
        <v>25</v>
      </c>
      <c r="E4" s="19" t="s">
        <v>26</v>
      </c>
      <c r="F4" s="19" t="s">
        <v>27</v>
      </c>
      <c r="G4" s="19" t="s">
        <v>28</v>
      </c>
      <c r="H4" s="19" t="s">
        <v>29</v>
      </c>
      <c r="J4" s="71"/>
      <c r="K4" s="72"/>
      <c r="L4" s="72"/>
      <c r="M4" s="72"/>
      <c r="N4" s="27" t="s">
        <v>25</v>
      </c>
      <c r="O4" s="27" t="s">
        <v>26</v>
      </c>
      <c r="P4" s="27" t="s">
        <v>27</v>
      </c>
      <c r="Q4" s="27" t="s">
        <v>28</v>
      </c>
      <c r="R4" s="27" t="s">
        <v>29</v>
      </c>
      <c r="T4" s="90"/>
      <c r="U4" s="91"/>
      <c r="V4" s="91"/>
      <c r="W4" s="91"/>
      <c r="X4" s="91"/>
      <c r="Y4" s="28" t="s">
        <v>25</v>
      </c>
      <c r="Z4" s="28" t="s">
        <v>26</v>
      </c>
      <c r="AA4" s="28" t="s">
        <v>27</v>
      </c>
      <c r="AB4" s="28" t="s">
        <v>28</v>
      </c>
      <c r="AC4" s="28" t="s">
        <v>29</v>
      </c>
      <c r="AE4" s="48"/>
      <c r="AF4" s="48" t="s">
        <v>0</v>
      </c>
      <c r="AG4" s="48" t="s">
        <v>1</v>
      </c>
      <c r="AH4" s="49" t="s">
        <v>2</v>
      </c>
      <c r="AI4" s="49" t="s">
        <v>0</v>
      </c>
      <c r="AJ4" s="49" t="s">
        <v>1</v>
      </c>
      <c r="AK4" s="48" t="s">
        <v>2</v>
      </c>
      <c r="AL4" s="48" t="s">
        <v>0</v>
      </c>
      <c r="AM4" s="48" t="s">
        <v>1</v>
      </c>
      <c r="AN4" s="49" t="s">
        <v>2</v>
      </c>
      <c r="AO4" s="49" t="s">
        <v>0</v>
      </c>
      <c r="AP4" s="49" t="s">
        <v>1</v>
      </c>
      <c r="AQ4" s="48" t="s">
        <v>2</v>
      </c>
      <c r="AR4" s="48" t="s">
        <v>0</v>
      </c>
      <c r="AS4" s="48" t="s">
        <v>1</v>
      </c>
    </row>
    <row r="5" spans="1:45">
      <c r="A5" s="24">
        <v>1</v>
      </c>
      <c r="B5" s="19" t="s">
        <v>30</v>
      </c>
      <c r="C5" s="19" t="s">
        <v>32</v>
      </c>
      <c r="D5" s="11">
        <v>309</v>
      </c>
      <c r="E5" s="9">
        <v>296</v>
      </c>
      <c r="F5" s="9">
        <v>277</v>
      </c>
      <c r="G5" s="9">
        <v>326</v>
      </c>
      <c r="H5" s="9">
        <v>302</v>
      </c>
      <c r="J5" s="21">
        <v>1</v>
      </c>
      <c r="K5" s="27" t="s">
        <v>30</v>
      </c>
      <c r="L5" s="27" t="s">
        <v>35</v>
      </c>
      <c r="M5" s="27" t="s">
        <v>38</v>
      </c>
      <c r="N5" s="9">
        <v>68.886499921634751</v>
      </c>
      <c r="O5" s="9">
        <v>73.575741969034823</v>
      </c>
      <c r="P5" s="9">
        <v>69.563420369411062</v>
      </c>
      <c r="Q5" s="9">
        <v>65.028417528280926</v>
      </c>
      <c r="R5" s="9">
        <v>65.150449369738269</v>
      </c>
      <c r="T5" s="23">
        <v>1</v>
      </c>
      <c r="U5" s="28" t="s">
        <v>30</v>
      </c>
      <c r="V5" s="28" t="s">
        <v>35</v>
      </c>
      <c r="W5" s="28" t="s">
        <v>37</v>
      </c>
      <c r="X5" s="28" t="s">
        <v>38</v>
      </c>
      <c r="Y5" s="11">
        <v>34144.5</v>
      </c>
      <c r="Z5" s="9">
        <v>25308</v>
      </c>
      <c r="AA5" s="9">
        <v>27146</v>
      </c>
      <c r="AB5" s="9">
        <v>42054</v>
      </c>
      <c r="AC5" s="9">
        <v>34126</v>
      </c>
      <c r="AE5" s="48" t="s">
        <v>3</v>
      </c>
      <c r="AF5" s="29">
        <v>600</v>
      </c>
      <c r="AG5" s="29">
        <v>466</v>
      </c>
      <c r="AH5" s="49" t="s">
        <v>3</v>
      </c>
      <c r="AI5" s="29">
        <v>600</v>
      </c>
      <c r="AJ5" s="30">
        <v>479</v>
      </c>
      <c r="AK5" s="48" t="s">
        <v>3</v>
      </c>
      <c r="AL5" s="29">
        <v>600</v>
      </c>
      <c r="AM5" s="29">
        <v>512</v>
      </c>
      <c r="AN5" s="48" t="s">
        <v>3</v>
      </c>
      <c r="AO5" s="29">
        <v>600</v>
      </c>
      <c r="AP5" s="29">
        <v>471</v>
      </c>
      <c r="AQ5" s="48" t="s">
        <v>3</v>
      </c>
      <c r="AR5" s="29">
        <v>600</v>
      </c>
      <c r="AS5" s="29">
        <v>534</v>
      </c>
    </row>
    <row r="6" spans="1:45">
      <c r="A6" s="24">
        <v>2</v>
      </c>
      <c r="B6" s="19" t="s">
        <v>30</v>
      </c>
      <c r="C6" s="19" t="s">
        <v>33</v>
      </c>
      <c r="D6" s="11">
        <v>450</v>
      </c>
      <c r="E6" s="9">
        <v>443</v>
      </c>
      <c r="F6" s="9">
        <v>414</v>
      </c>
      <c r="G6" s="9">
        <v>437</v>
      </c>
      <c r="H6" s="9">
        <v>410</v>
      </c>
      <c r="J6" s="21">
        <v>2</v>
      </c>
      <c r="K6" s="27" t="s">
        <v>31</v>
      </c>
      <c r="L6" s="27" t="s">
        <v>41</v>
      </c>
      <c r="M6" s="27" t="s">
        <v>34</v>
      </c>
      <c r="N6" s="9">
        <v>90.453996995344724</v>
      </c>
      <c r="O6" s="9">
        <v>93.497620020711167</v>
      </c>
      <c r="P6" s="9">
        <v>96.481254402809682</v>
      </c>
      <c r="Q6" s="9">
        <v>86.139501789424472</v>
      </c>
      <c r="R6" s="9">
        <v>82.129031664768775</v>
      </c>
      <c r="T6" s="23">
        <v>2</v>
      </c>
      <c r="U6" s="28" t="s">
        <v>31</v>
      </c>
      <c r="V6" s="28" t="s">
        <v>41</v>
      </c>
      <c r="W6" s="28" t="s">
        <v>34</v>
      </c>
      <c r="X6" s="28" t="s">
        <v>42</v>
      </c>
      <c r="Y6" s="11">
        <v>208032</v>
      </c>
      <c r="Z6" s="9">
        <v>208638</v>
      </c>
      <c r="AA6" s="9">
        <v>175953</v>
      </c>
      <c r="AB6" s="9">
        <v>253762</v>
      </c>
      <c r="AC6" s="9">
        <v>213476</v>
      </c>
      <c r="AE6" s="48" t="s">
        <v>4</v>
      </c>
      <c r="AF6" s="29">
        <v>483</v>
      </c>
      <c r="AG6" s="29">
        <v>769</v>
      </c>
      <c r="AH6" s="49" t="s">
        <v>4</v>
      </c>
      <c r="AI6" s="30">
        <v>521</v>
      </c>
      <c r="AJ6" s="30">
        <v>747</v>
      </c>
      <c r="AK6" s="48" t="s">
        <v>4</v>
      </c>
      <c r="AL6" s="29">
        <v>502</v>
      </c>
      <c r="AM6" s="29">
        <v>775</v>
      </c>
      <c r="AN6" s="48" t="s">
        <v>4</v>
      </c>
      <c r="AO6" s="29">
        <v>471</v>
      </c>
      <c r="AP6" s="29">
        <v>748</v>
      </c>
      <c r="AQ6" s="48" t="s">
        <v>4</v>
      </c>
      <c r="AR6" s="29">
        <v>487</v>
      </c>
      <c r="AS6" s="29">
        <v>778</v>
      </c>
    </row>
    <row r="7" spans="1:45">
      <c r="A7" s="24">
        <v>3</v>
      </c>
      <c r="B7" s="19" t="s">
        <v>31</v>
      </c>
      <c r="C7" s="19" t="s">
        <v>34</v>
      </c>
      <c r="D7" s="11">
        <v>704</v>
      </c>
      <c r="E7" s="9">
        <v>692</v>
      </c>
      <c r="F7" s="9">
        <v>659</v>
      </c>
      <c r="G7" s="9">
        <v>701</v>
      </c>
      <c r="H7" s="9">
        <v>643</v>
      </c>
      <c r="J7" s="21">
        <v>3</v>
      </c>
      <c r="K7" s="27" t="s">
        <v>31</v>
      </c>
      <c r="L7" s="27" t="s">
        <v>44</v>
      </c>
      <c r="M7" s="27" t="s">
        <v>37</v>
      </c>
      <c r="N7" s="9">
        <v>46.621812029267602</v>
      </c>
      <c r="O7" s="9">
        <v>40.904194475118487</v>
      </c>
      <c r="P7" s="9">
        <v>43.608675554116857</v>
      </c>
      <c r="Q7" s="9">
        <v>44.776180843347433</v>
      </c>
      <c r="R7" s="9">
        <v>39.48493955507184</v>
      </c>
      <c r="T7" s="23">
        <v>3</v>
      </c>
      <c r="U7" s="28" t="s">
        <v>41</v>
      </c>
      <c r="V7" s="28" t="s">
        <v>39</v>
      </c>
      <c r="W7" s="28" t="s">
        <v>34</v>
      </c>
      <c r="X7" s="28" t="s">
        <v>42</v>
      </c>
      <c r="Y7" s="11">
        <v>62187</v>
      </c>
      <c r="Z7" s="9">
        <v>70046</v>
      </c>
      <c r="AA7" s="9">
        <v>57478.5</v>
      </c>
      <c r="AB7" s="9">
        <v>100550</v>
      </c>
      <c r="AC7" s="9">
        <v>64542</v>
      </c>
      <c r="AE7" s="48" t="s">
        <v>5</v>
      </c>
      <c r="AF7" s="29">
        <v>600</v>
      </c>
      <c r="AG7" s="29">
        <v>775</v>
      </c>
      <c r="AH7" s="49" t="s">
        <v>5</v>
      </c>
      <c r="AI7" s="29">
        <v>600</v>
      </c>
      <c r="AJ7" s="30">
        <v>775</v>
      </c>
      <c r="AK7" s="48" t="s">
        <v>5</v>
      </c>
      <c r="AL7" s="29">
        <v>600</v>
      </c>
      <c r="AM7" s="29">
        <v>789</v>
      </c>
      <c r="AN7" s="48" t="s">
        <v>5</v>
      </c>
      <c r="AO7" s="29">
        <v>600</v>
      </c>
      <c r="AP7" s="29">
        <v>797</v>
      </c>
      <c r="AQ7" s="48" t="s">
        <v>5</v>
      </c>
      <c r="AR7" s="29">
        <v>600</v>
      </c>
      <c r="AS7" s="29">
        <v>836</v>
      </c>
    </row>
    <row r="8" spans="1:45" ht="15.75" customHeight="1">
      <c r="A8" s="24">
        <v>4</v>
      </c>
      <c r="B8" s="19" t="s">
        <v>35</v>
      </c>
      <c r="C8" s="19" t="s">
        <v>38</v>
      </c>
      <c r="D8" s="11">
        <v>221</v>
      </c>
      <c r="E8" s="9">
        <v>171</v>
      </c>
      <c r="F8" s="9">
        <v>196</v>
      </c>
      <c r="G8" s="9">
        <v>258</v>
      </c>
      <c r="H8" s="9">
        <v>226</v>
      </c>
      <c r="J8" s="21">
        <v>4</v>
      </c>
      <c r="K8" s="27" t="s">
        <v>35</v>
      </c>
      <c r="L8" s="27" t="s">
        <v>37</v>
      </c>
      <c r="M8" s="27" t="s">
        <v>38</v>
      </c>
      <c r="N8" s="9">
        <v>173.76246087914376</v>
      </c>
      <c r="O8" s="9">
        <v>143.55661392627027</v>
      </c>
      <c r="P8" s="9">
        <v>163.73979529168804</v>
      </c>
      <c r="Q8" s="9">
        <v>138.40194318231701</v>
      </c>
      <c r="R8" s="9">
        <v>125.6594684513544</v>
      </c>
      <c r="T8" s="23">
        <v>4</v>
      </c>
      <c r="U8" s="28" t="s">
        <v>46</v>
      </c>
      <c r="V8" s="28" t="s">
        <v>43</v>
      </c>
      <c r="W8" s="28" t="s">
        <v>33</v>
      </c>
      <c r="X8" s="28" t="s">
        <v>47</v>
      </c>
      <c r="Y8" s="11">
        <v>380344</v>
      </c>
      <c r="Z8" s="9">
        <v>97931.5</v>
      </c>
      <c r="AA8" s="9">
        <v>333522.5</v>
      </c>
      <c r="AB8" s="9">
        <v>428860</v>
      </c>
      <c r="AC8" s="9">
        <v>475099</v>
      </c>
      <c r="AE8" s="48" t="s">
        <v>6</v>
      </c>
      <c r="AF8" s="29">
        <v>704</v>
      </c>
      <c r="AG8" s="29">
        <v>769</v>
      </c>
      <c r="AH8" s="49" t="s">
        <v>6</v>
      </c>
      <c r="AI8" s="30">
        <v>692</v>
      </c>
      <c r="AJ8" s="30">
        <v>747</v>
      </c>
      <c r="AK8" s="48" t="s">
        <v>6</v>
      </c>
      <c r="AL8" s="29">
        <f t="shared" ref="AL8" si="0">AL7+(AL7-AL6)</f>
        <v>698</v>
      </c>
      <c r="AM8" s="29">
        <f t="shared" ref="AM8" si="1">AM6</f>
        <v>775</v>
      </c>
      <c r="AN8" s="48" t="s">
        <v>6</v>
      </c>
      <c r="AO8" s="29">
        <f t="shared" ref="AO8" si="2">AO7+(AO7-AO6)</f>
        <v>729</v>
      </c>
      <c r="AP8" s="29">
        <f>AP6</f>
        <v>748</v>
      </c>
      <c r="AQ8" s="48" t="s">
        <v>6</v>
      </c>
      <c r="AR8" s="29">
        <f t="shared" ref="AR8" si="3">AR7+(AR7-AR6)</f>
        <v>713</v>
      </c>
      <c r="AS8" s="29">
        <f t="shared" ref="AS8" si="4">AS6</f>
        <v>778</v>
      </c>
    </row>
    <row r="9" spans="1:45" ht="15.75" customHeight="1">
      <c r="A9" s="24">
        <v>5</v>
      </c>
      <c r="B9" s="19" t="s">
        <v>36</v>
      </c>
      <c r="C9" s="19" t="s">
        <v>33</v>
      </c>
      <c r="D9" s="11">
        <v>141</v>
      </c>
      <c r="E9" s="9">
        <v>147</v>
      </c>
      <c r="F9" s="9">
        <v>137</v>
      </c>
      <c r="G9" s="9">
        <v>111</v>
      </c>
      <c r="H9" s="9">
        <v>108</v>
      </c>
      <c r="J9" s="21">
        <v>5</v>
      </c>
      <c r="K9" s="27" t="s">
        <v>39</v>
      </c>
      <c r="L9" s="27" t="s">
        <v>34</v>
      </c>
      <c r="M9" s="27" t="s">
        <v>61</v>
      </c>
      <c r="N9" s="9">
        <v>162.45621697982719</v>
      </c>
      <c r="O9" s="9">
        <v>152.16395376124825</v>
      </c>
      <c r="P9" s="9">
        <v>143.96046143644568</v>
      </c>
      <c r="Q9" s="9">
        <v>156.62126164912161</v>
      </c>
      <c r="R9" s="9">
        <v>165.74996730219632</v>
      </c>
      <c r="T9" s="23">
        <v>5</v>
      </c>
      <c r="U9" s="28" t="s">
        <v>48</v>
      </c>
      <c r="V9" s="28" t="s">
        <v>43</v>
      </c>
      <c r="W9" s="28" t="s">
        <v>34</v>
      </c>
      <c r="X9" s="28" t="s">
        <v>44</v>
      </c>
      <c r="Y9" s="11">
        <v>306240</v>
      </c>
      <c r="Z9" s="9">
        <v>3732</v>
      </c>
      <c r="AA9" s="9">
        <v>290430</v>
      </c>
      <c r="AB9" s="9">
        <v>435290</v>
      </c>
      <c r="AC9" s="9">
        <v>420753</v>
      </c>
      <c r="AE9" s="48" t="s">
        <v>77</v>
      </c>
      <c r="AF9" s="29">
        <v>600</v>
      </c>
      <c r="AG9" s="29">
        <v>916</v>
      </c>
      <c r="AH9" s="49" t="s">
        <v>7</v>
      </c>
      <c r="AI9" s="29">
        <v>600</v>
      </c>
      <c r="AJ9" s="30">
        <v>922</v>
      </c>
      <c r="AK9" s="48" t="s">
        <v>77</v>
      </c>
      <c r="AL9" s="29">
        <v>600</v>
      </c>
      <c r="AM9" s="29">
        <v>926</v>
      </c>
      <c r="AN9" s="48" t="s">
        <v>77</v>
      </c>
      <c r="AO9" s="29">
        <v>600</v>
      </c>
      <c r="AP9" s="29">
        <v>908</v>
      </c>
      <c r="AQ9" s="48" t="s">
        <v>77</v>
      </c>
      <c r="AR9" s="29">
        <v>600</v>
      </c>
      <c r="AS9" s="29">
        <v>944</v>
      </c>
    </row>
    <row r="10" spans="1:45">
      <c r="A10" s="24">
        <v>6</v>
      </c>
      <c r="B10" s="19" t="s">
        <v>37</v>
      </c>
      <c r="C10" s="19" t="s">
        <v>34</v>
      </c>
      <c r="D10" s="11">
        <v>395</v>
      </c>
      <c r="E10" s="9">
        <v>396</v>
      </c>
      <c r="F10" s="9">
        <v>382</v>
      </c>
      <c r="G10" s="9">
        <v>375</v>
      </c>
      <c r="H10" s="9">
        <v>341</v>
      </c>
      <c r="J10" s="21">
        <v>6</v>
      </c>
      <c r="K10" s="27" t="s">
        <v>40</v>
      </c>
      <c r="L10" s="27" t="s">
        <v>34</v>
      </c>
      <c r="M10" s="27" t="s">
        <v>62</v>
      </c>
      <c r="N10" s="9">
        <v>11.479237411971559</v>
      </c>
      <c r="O10" s="9">
        <v>11.277858908126579</v>
      </c>
      <c r="P10" s="9">
        <v>18.908770374434098</v>
      </c>
      <c r="Q10" s="9">
        <v>12.479605677868403</v>
      </c>
      <c r="R10" s="9">
        <v>7.4213711862817773</v>
      </c>
      <c r="T10" s="23">
        <v>6</v>
      </c>
      <c r="U10" s="28" t="s">
        <v>52</v>
      </c>
      <c r="V10" s="28" t="s">
        <v>53</v>
      </c>
      <c r="W10" s="28" t="s">
        <v>54</v>
      </c>
      <c r="X10" s="28" t="s">
        <v>50</v>
      </c>
      <c r="Y10" s="11">
        <v>2819</v>
      </c>
      <c r="Z10" s="9">
        <v>2867</v>
      </c>
      <c r="AA10" s="9">
        <v>2951</v>
      </c>
      <c r="AB10" s="9">
        <v>3354</v>
      </c>
      <c r="AC10" s="9">
        <v>6316</v>
      </c>
      <c r="AE10" s="48" t="s">
        <v>8</v>
      </c>
      <c r="AF10" s="29">
        <v>503</v>
      </c>
      <c r="AG10" s="29">
        <v>1158</v>
      </c>
      <c r="AH10" s="49" t="s">
        <v>8</v>
      </c>
      <c r="AI10" s="30">
        <v>530</v>
      </c>
      <c r="AJ10" s="30">
        <v>1149</v>
      </c>
      <c r="AK10" s="48" t="s">
        <v>8</v>
      </c>
      <c r="AL10" s="29">
        <v>517</v>
      </c>
      <c r="AM10" s="29">
        <v>1144</v>
      </c>
      <c r="AN10" s="48" t="s">
        <v>8</v>
      </c>
      <c r="AO10" s="29">
        <v>513</v>
      </c>
      <c r="AP10" s="29">
        <v>1154</v>
      </c>
      <c r="AQ10" s="48" t="s">
        <v>8</v>
      </c>
      <c r="AR10" s="29">
        <v>480</v>
      </c>
      <c r="AS10" s="29">
        <v>1162</v>
      </c>
    </row>
    <row r="11" spans="1:45">
      <c r="A11" s="24">
        <v>7</v>
      </c>
      <c r="B11" s="19" t="s">
        <v>39</v>
      </c>
      <c r="C11" s="19" t="s">
        <v>40</v>
      </c>
      <c r="D11" s="11">
        <v>205.15603817582362</v>
      </c>
      <c r="E11" s="9">
        <v>190</v>
      </c>
      <c r="F11" s="9">
        <v>166</v>
      </c>
      <c r="G11" s="9">
        <v>174</v>
      </c>
      <c r="H11" s="9">
        <v>240</v>
      </c>
      <c r="J11" s="21">
        <v>7</v>
      </c>
      <c r="K11" s="27" t="s">
        <v>41</v>
      </c>
      <c r="L11" s="27" t="s">
        <v>34</v>
      </c>
      <c r="M11" s="27" t="s">
        <v>62</v>
      </c>
      <c r="N11" s="9">
        <v>150.10668170269625</v>
      </c>
      <c r="O11" s="9">
        <v>144.97497232629175</v>
      </c>
      <c r="P11" s="9">
        <v>144.32936636816362</v>
      </c>
      <c r="Q11" s="9">
        <v>145.52296153540442</v>
      </c>
      <c r="R11" s="9">
        <v>153.04515946246661</v>
      </c>
      <c r="T11" s="23">
        <v>7</v>
      </c>
      <c r="U11" s="40" t="s">
        <v>76</v>
      </c>
      <c r="V11" s="40" t="s">
        <v>73</v>
      </c>
      <c r="W11" s="40" t="s">
        <v>75</v>
      </c>
      <c r="X11" s="40" t="s">
        <v>74</v>
      </c>
      <c r="Y11" s="11">
        <v>3520</v>
      </c>
      <c r="Z11" s="9">
        <v>5422.5</v>
      </c>
      <c r="AA11" s="9">
        <v>3189.5</v>
      </c>
      <c r="AB11" s="9">
        <v>7430</v>
      </c>
      <c r="AC11" s="9">
        <v>4611</v>
      </c>
      <c r="AE11" s="48" t="s">
        <v>9</v>
      </c>
      <c r="AF11" s="29">
        <v>600</v>
      </c>
      <c r="AG11" s="29">
        <v>1170</v>
      </c>
      <c r="AH11" s="49" t="s">
        <v>9</v>
      </c>
      <c r="AI11" s="29">
        <v>600</v>
      </c>
      <c r="AJ11" s="30">
        <v>1171</v>
      </c>
      <c r="AK11" s="48" t="s">
        <v>9</v>
      </c>
      <c r="AL11" s="29">
        <v>600</v>
      </c>
      <c r="AM11" s="29">
        <v>1171</v>
      </c>
      <c r="AN11" s="48" t="s">
        <v>9</v>
      </c>
      <c r="AO11" s="29">
        <v>600</v>
      </c>
      <c r="AP11" s="29">
        <v>1172</v>
      </c>
      <c r="AQ11" s="48" t="s">
        <v>9</v>
      </c>
      <c r="AR11" s="29">
        <v>600</v>
      </c>
      <c r="AS11" s="29">
        <v>1177</v>
      </c>
    </row>
    <row r="12" spans="1:45">
      <c r="A12" s="24">
        <v>8</v>
      </c>
      <c r="B12" s="19" t="s">
        <v>41</v>
      </c>
      <c r="C12" s="19" t="s">
        <v>42</v>
      </c>
      <c r="D12" s="11">
        <v>591.04145370692913</v>
      </c>
      <c r="E12" s="9">
        <v>603</v>
      </c>
      <c r="F12" s="9">
        <v>534</v>
      </c>
      <c r="G12" s="9">
        <v>724</v>
      </c>
      <c r="H12" s="9">
        <v>664</v>
      </c>
      <c r="J12" s="21">
        <v>8</v>
      </c>
      <c r="K12" s="27" t="s">
        <v>42</v>
      </c>
      <c r="L12" s="27" t="s">
        <v>34</v>
      </c>
      <c r="M12" s="27" t="s">
        <v>62</v>
      </c>
      <c r="N12" s="9">
        <v>34.677827925619617</v>
      </c>
      <c r="O12" s="9">
        <v>36.712797752280828</v>
      </c>
      <c r="P12" s="9">
        <v>37.448635817150347</v>
      </c>
      <c r="Q12" s="9">
        <v>36.057511469453971</v>
      </c>
      <c r="R12" s="9">
        <v>27.547550212293118</v>
      </c>
      <c r="T12" s="23">
        <v>8</v>
      </c>
      <c r="U12" s="28"/>
      <c r="V12" s="28"/>
      <c r="W12" s="28"/>
      <c r="X12" s="28"/>
      <c r="Y12" s="11"/>
      <c r="Z12" s="9"/>
      <c r="AA12" s="9"/>
      <c r="AB12" s="9"/>
      <c r="AC12" s="9"/>
      <c r="AE12" s="48" t="s">
        <v>10</v>
      </c>
      <c r="AF12" s="29">
        <v>708</v>
      </c>
      <c r="AG12" s="29">
        <v>1150</v>
      </c>
      <c r="AH12" s="49" t="s">
        <v>10</v>
      </c>
      <c r="AI12" s="30">
        <v>720</v>
      </c>
      <c r="AJ12" s="30">
        <v>1149</v>
      </c>
      <c r="AK12" s="48" t="s">
        <v>10</v>
      </c>
      <c r="AL12" s="29">
        <f t="shared" ref="AL12" si="5">AL11+(AL11-AL10)</f>
        <v>683</v>
      </c>
      <c r="AM12" s="29">
        <f t="shared" ref="AM12" si="6">AM10</f>
        <v>1144</v>
      </c>
      <c r="AN12" s="48" t="s">
        <v>10</v>
      </c>
      <c r="AO12" s="29">
        <f t="shared" ref="AO12" si="7">AO11+(AO11-AO10)</f>
        <v>687</v>
      </c>
      <c r="AP12" s="29">
        <f t="shared" ref="AP12" si="8">AP10</f>
        <v>1154</v>
      </c>
      <c r="AQ12" s="48" t="s">
        <v>10</v>
      </c>
      <c r="AR12" s="29">
        <f t="shared" ref="AR12" si="9">AR11+(AR11-AR10)</f>
        <v>720</v>
      </c>
      <c r="AS12" s="29">
        <f t="shared" ref="AS12" si="10">AS10</f>
        <v>1162</v>
      </c>
    </row>
    <row r="13" spans="1:45">
      <c r="A13" s="24">
        <v>9</v>
      </c>
      <c r="B13" s="19" t="s">
        <v>43</v>
      </c>
      <c r="C13" s="19" t="s">
        <v>44</v>
      </c>
      <c r="D13" s="11">
        <v>660</v>
      </c>
      <c r="E13" s="9">
        <v>8</v>
      </c>
      <c r="F13" s="9">
        <v>630</v>
      </c>
      <c r="G13" s="9">
        <v>790</v>
      </c>
      <c r="H13" s="9">
        <v>834</v>
      </c>
      <c r="J13" s="21">
        <v>9</v>
      </c>
      <c r="K13" s="27" t="s">
        <v>43</v>
      </c>
      <c r="L13" s="27" t="s">
        <v>41</v>
      </c>
      <c r="M13" s="27" t="s">
        <v>34</v>
      </c>
      <c r="N13" s="9">
        <v>130.77775066461268</v>
      </c>
      <c r="O13" s="9">
        <v>53.746988353373624</v>
      </c>
      <c r="P13" s="9">
        <v>139.14486366554354</v>
      </c>
      <c r="Q13" s="9">
        <v>132.39229131592663</v>
      </c>
      <c r="R13" s="9">
        <v>134.19505064612227</v>
      </c>
      <c r="T13" s="23">
        <v>9</v>
      </c>
      <c r="U13" s="28"/>
      <c r="V13" s="28"/>
      <c r="W13" s="28"/>
      <c r="X13" s="28"/>
      <c r="Y13" s="11"/>
      <c r="Z13" s="9"/>
      <c r="AA13" s="9"/>
      <c r="AB13" s="9"/>
      <c r="AC13" s="9"/>
      <c r="AE13" s="48" t="s">
        <v>11</v>
      </c>
      <c r="AF13" s="29">
        <v>294</v>
      </c>
      <c r="AG13" s="29">
        <v>987</v>
      </c>
      <c r="AH13" s="49" t="s">
        <v>11</v>
      </c>
      <c r="AI13" s="30">
        <v>299</v>
      </c>
      <c r="AJ13" s="30">
        <v>953</v>
      </c>
      <c r="AK13" s="48" t="s">
        <v>11</v>
      </c>
      <c r="AL13" s="29">
        <v>333</v>
      </c>
      <c r="AM13" s="29">
        <v>973</v>
      </c>
      <c r="AN13" s="48" t="s">
        <v>11</v>
      </c>
      <c r="AO13" s="29">
        <v>238</v>
      </c>
      <c r="AP13" s="29">
        <v>916</v>
      </c>
      <c r="AQ13" s="48" t="s">
        <v>11</v>
      </c>
      <c r="AR13" s="29">
        <v>268</v>
      </c>
      <c r="AS13" s="29">
        <v>1006</v>
      </c>
    </row>
    <row r="14" spans="1:45">
      <c r="A14" s="24">
        <v>10</v>
      </c>
      <c r="B14" s="19" t="s">
        <v>45</v>
      </c>
      <c r="C14" s="19" t="s">
        <v>43</v>
      </c>
      <c r="D14" s="11">
        <v>105.94810050208545</v>
      </c>
      <c r="E14" s="9">
        <v>773.16557088375316</v>
      </c>
      <c r="F14" s="9">
        <v>47.010637094172637</v>
      </c>
      <c r="G14" s="9">
        <v>85.702975444263316</v>
      </c>
      <c r="H14" s="9">
        <v>173.1415605797753</v>
      </c>
      <c r="J14" s="21">
        <v>10</v>
      </c>
      <c r="K14" s="27" t="s">
        <v>44</v>
      </c>
      <c r="L14" s="27" t="s">
        <v>32</v>
      </c>
      <c r="M14" s="27" t="s">
        <v>62</v>
      </c>
      <c r="N14" s="9">
        <v>39.128346773616599</v>
      </c>
      <c r="O14" s="9">
        <v>40.232994119228401</v>
      </c>
      <c r="P14" s="9">
        <v>39.605937808518803</v>
      </c>
      <c r="Q14" s="9">
        <v>53.596182200689412</v>
      </c>
      <c r="R14" s="9">
        <v>45.321162569875533</v>
      </c>
      <c r="T14" s="23">
        <v>10</v>
      </c>
      <c r="U14" s="28"/>
      <c r="V14" s="28"/>
      <c r="W14" s="28"/>
      <c r="X14" s="28"/>
      <c r="Y14" s="11"/>
      <c r="Z14" s="9"/>
      <c r="AA14" s="9"/>
      <c r="AB14" s="9"/>
      <c r="AC14" s="9"/>
      <c r="AE14" s="48" t="s">
        <v>12</v>
      </c>
      <c r="AF14" s="29">
        <v>885</v>
      </c>
      <c r="AG14" s="29">
        <v>980</v>
      </c>
      <c r="AH14" s="49" t="s">
        <v>12</v>
      </c>
      <c r="AI14" s="30">
        <v>902</v>
      </c>
      <c r="AJ14" s="30">
        <v>953</v>
      </c>
      <c r="AK14" s="48" t="s">
        <v>12</v>
      </c>
      <c r="AL14" s="29">
        <f t="shared" ref="AL14" si="11">600+(600-AL13)</f>
        <v>867</v>
      </c>
      <c r="AM14" s="29">
        <f t="shared" ref="AM14" si="12">AM13</f>
        <v>973</v>
      </c>
      <c r="AN14" s="48" t="s">
        <v>12</v>
      </c>
      <c r="AO14" s="29">
        <f t="shared" ref="AO14" si="13">600+(600-AO13)</f>
        <v>962</v>
      </c>
      <c r="AP14" s="29">
        <f t="shared" ref="AP14" si="14">AP13</f>
        <v>916</v>
      </c>
      <c r="AQ14" s="48" t="s">
        <v>12</v>
      </c>
      <c r="AR14" s="29">
        <f t="shared" ref="AR14" si="15">600+(600-AR13)</f>
        <v>932</v>
      </c>
      <c r="AS14" s="29">
        <f t="shared" ref="AS14" si="16">AS13</f>
        <v>1006</v>
      </c>
    </row>
    <row r="15" spans="1:45">
      <c r="A15" s="24">
        <v>11</v>
      </c>
      <c r="B15" s="19" t="s">
        <v>46</v>
      </c>
      <c r="C15" s="19" t="s">
        <v>47</v>
      </c>
      <c r="D15" s="11">
        <v>850</v>
      </c>
      <c r="E15" s="9">
        <v>738</v>
      </c>
      <c r="F15" s="9">
        <v>730</v>
      </c>
      <c r="G15" s="9">
        <v>792</v>
      </c>
      <c r="H15" s="9">
        <v>784</v>
      </c>
      <c r="J15" s="21">
        <v>11</v>
      </c>
      <c r="K15" s="27" t="s">
        <v>44</v>
      </c>
      <c r="L15" s="27" t="s">
        <v>33</v>
      </c>
      <c r="M15" s="27" t="s">
        <v>62</v>
      </c>
      <c r="N15" s="9">
        <v>52.126533836506731</v>
      </c>
      <c r="O15" s="9">
        <v>50.294848506225904</v>
      </c>
      <c r="P15" s="9">
        <v>51.722590214353531</v>
      </c>
      <c r="Q15" s="9">
        <v>58.072281357772177</v>
      </c>
      <c r="R15" s="9">
        <v>49.632971808247959</v>
      </c>
      <c r="T15" s="23">
        <v>11</v>
      </c>
      <c r="U15" s="28"/>
      <c r="V15" s="28"/>
      <c r="W15" s="28"/>
      <c r="X15" s="28"/>
      <c r="Y15" s="11"/>
      <c r="Z15" s="9"/>
      <c r="AA15" s="9"/>
      <c r="AB15" s="9"/>
      <c r="AC15" s="9"/>
      <c r="AE15" s="48" t="s">
        <v>13</v>
      </c>
      <c r="AF15" s="29">
        <v>253</v>
      </c>
      <c r="AG15" s="29">
        <v>752</v>
      </c>
      <c r="AH15" s="49" t="s">
        <v>13</v>
      </c>
      <c r="AI15" s="30">
        <v>958</v>
      </c>
      <c r="AJ15" s="30">
        <v>741</v>
      </c>
      <c r="AK15" s="48" t="s">
        <v>13</v>
      </c>
      <c r="AL15" s="29">
        <v>285</v>
      </c>
      <c r="AM15" s="29">
        <v>758</v>
      </c>
      <c r="AN15" s="48" t="s">
        <v>13</v>
      </c>
      <c r="AO15" s="29">
        <v>205</v>
      </c>
      <c r="AP15" s="29">
        <v>652</v>
      </c>
      <c r="AQ15" s="48" t="s">
        <v>13</v>
      </c>
      <c r="AR15" s="29">
        <v>183</v>
      </c>
      <c r="AS15" s="29">
        <v>727</v>
      </c>
    </row>
    <row r="16" spans="1:45" ht="15.75" customHeight="1">
      <c r="A16" s="24">
        <v>12</v>
      </c>
      <c r="B16" s="19" t="s">
        <v>48</v>
      </c>
      <c r="C16" s="19" t="s">
        <v>31</v>
      </c>
      <c r="D16" s="11">
        <v>224</v>
      </c>
      <c r="E16" s="9">
        <v>241</v>
      </c>
      <c r="F16" s="9">
        <v>263</v>
      </c>
      <c r="G16" s="9">
        <v>401</v>
      </c>
      <c r="H16" s="9">
        <v>369.81752257025357</v>
      </c>
      <c r="J16" s="21">
        <v>12</v>
      </c>
      <c r="K16" s="27" t="s">
        <v>47</v>
      </c>
      <c r="L16" s="27" t="s">
        <v>30</v>
      </c>
      <c r="M16" s="27" t="s">
        <v>62</v>
      </c>
      <c r="N16" s="9">
        <v>86.881111901099175</v>
      </c>
      <c r="O16" s="9">
        <v>85.313392029664044</v>
      </c>
      <c r="P16" s="9">
        <v>86.821352208964683</v>
      </c>
      <c r="Q16" s="9">
        <v>93.848126340463821</v>
      </c>
      <c r="R16" s="9">
        <v>97.147782694146372</v>
      </c>
      <c r="T16" s="23">
        <v>12</v>
      </c>
      <c r="U16" s="28"/>
      <c r="V16" s="28"/>
      <c r="W16" s="28"/>
      <c r="X16" s="28"/>
      <c r="Y16" s="11"/>
      <c r="Z16" s="9"/>
      <c r="AA16" s="9"/>
      <c r="AB16" s="9"/>
      <c r="AC16" s="9"/>
      <c r="AE16" s="48" t="s">
        <v>14</v>
      </c>
      <c r="AF16" s="29">
        <v>913</v>
      </c>
      <c r="AG16" s="29">
        <v>752</v>
      </c>
      <c r="AH16" s="49" t="s">
        <v>14</v>
      </c>
      <c r="AI16" s="30">
        <v>966</v>
      </c>
      <c r="AJ16" s="30">
        <v>741</v>
      </c>
      <c r="AK16" s="48" t="s">
        <v>14</v>
      </c>
      <c r="AL16" s="29">
        <f t="shared" ref="AL16" si="17">600+(600-AL15)</f>
        <v>915</v>
      </c>
      <c r="AM16" s="29">
        <f t="shared" ref="AM16" si="18">AM15</f>
        <v>758</v>
      </c>
      <c r="AN16" s="48" t="s">
        <v>14</v>
      </c>
      <c r="AO16" s="29">
        <f t="shared" ref="AO16" si="19">600+(600-AO15)</f>
        <v>995</v>
      </c>
      <c r="AP16" s="29">
        <f t="shared" ref="AP16" si="20">AP15</f>
        <v>652</v>
      </c>
      <c r="AQ16" s="48" t="s">
        <v>14</v>
      </c>
      <c r="AR16" s="29">
        <f t="shared" ref="AR16" si="21">600+(600-AR15)</f>
        <v>1017</v>
      </c>
      <c r="AS16" s="29">
        <f t="shared" ref="AS16" si="22">AS15</f>
        <v>727</v>
      </c>
    </row>
    <row r="17" spans="1:45" ht="15.75" customHeight="1">
      <c r="A17" s="24">
        <v>13</v>
      </c>
      <c r="B17" s="19" t="s">
        <v>49</v>
      </c>
      <c r="C17" s="19" t="s">
        <v>37</v>
      </c>
      <c r="D17" s="11">
        <v>533</v>
      </c>
      <c r="E17" s="9">
        <v>537</v>
      </c>
      <c r="F17" s="9">
        <v>540</v>
      </c>
      <c r="G17" s="9">
        <v>727</v>
      </c>
      <c r="H17" s="9">
        <v>670.09924638071334</v>
      </c>
      <c r="J17" s="21">
        <v>13</v>
      </c>
      <c r="K17" s="27" t="s">
        <v>47</v>
      </c>
      <c r="L17" s="27" t="s">
        <v>48</v>
      </c>
      <c r="M17" s="27" t="s">
        <v>62</v>
      </c>
      <c r="N17" s="9">
        <v>63.169061698681467</v>
      </c>
      <c r="O17" s="9">
        <v>60.124240129148383</v>
      </c>
      <c r="P17" s="9">
        <v>61.214028512659645</v>
      </c>
      <c r="Q17" s="9">
        <v>58.079604651065672</v>
      </c>
      <c r="R17" s="9">
        <v>68.912313030892861</v>
      </c>
      <c r="T17" s="23">
        <v>13</v>
      </c>
      <c r="U17" s="28"/>
      <c r="V17" s="28"/>
      <c r="W17" s="28"/>
      <c r="X17" s="28"/>
      <c r="Y17" s="11"/>
      <c r="Z17" s="9"/>
      <c r="AA17" s="9"/>
      <c r="AB17" s="9"/>
      <c r="AC17" s="9"/>
      <c r="AE17" s="48" t="s">
        <v>15</v>
      </c>
      <c r="AF17" s="29">
        <v>153</v>
      </c>
      <c r="AG17" s="29">
        <v>717</v>
      </c>
      <c r="AH17" s="49" t="s">
        <v>15</v>
      </c>
      <c r="AI17" s="30">
        <v>185</v>
      </c>
      <c r="AJ17" s="30">
        <v>757</v>
      </c>
      <c r="AK17" s="48" t="s">
        <v>15</v>
      </c>
      <c r="AL17" s="29">
        <v>238</v>
      </c>
      <c r="AM17" s="29">
        <v>757</v>
      </c>
      <c r="AN17" s="48" t="s">
        <v>15</v>
      </c>
      <c r="AO17" s="29">
        <v>121</v>
      </c>
      <c r="AP17" s="29">
        <v>635</v>
      </c>
      <c r="AQ17" s="48" t="s">
        <v>15</v>
      </c>
      <c r="AR17" s="29">
        <v>10</v>
      </c>
      <c r="AS17" s="29">
        <v>734</v>
      </c>
    </row>
    <row r="18" spans="1:45">
      <c r="A18" s="24">
        <v>14</v>
      </c>
      <c r="B18" s="19" t="s">
        <v>49</v>
      </c>
      <c r="C18" s="19" t="s">
        <v>33</v>
      </c>
      <c r="D18" s="11">
        <v>674</v>
      </c>
      <c r="E18" s="9">
        <v>684</v>
      </c>
      <c r="F18" s="9">
        <v>677</v>
      </c>
      <c r="G18" s="9">
        <v>838</v>
      </c>
      <c r="H18" s="9">
        <v>777.80781688023683</v>
      </c>
      <c r="J18" s="21">
        <v>14</v>
      </c>
      <c r="K18" s="44" t="s">
        <v>48</v>
      </c>
      <c r="L18" s="44" t="s">
        <v>78</v>
      </c>
      <c r="M18" s="44" t="s">
        <v>79</v>
      </c>
      <c r="N18" s="11">
        <v>51.987585148751037</v>
      </c>
      <c r="O18" s="9">
        <v>39.348547838336238</v>
      </c>
      <c r="P18" s="9">
        <v>35.289930659836131</v>
      </c>
      <c r="Q18" s="9">
        <v>53.338013134740052</v>
      </c>
      <c r="R18" s="9">
        <v>51.726591918845905</v>
      </c>
      <c r="T18" s="23">
        <v>14</v>
      </c>
      <c r="U18" s="28"/>
      <c r="V18" s="28"/>
      <c r="W18" s="28"/>
      <c r="X18" s="28"/>
      <c r="Y18" s="11"/>
      <c r="Z18" s="9"/>
      <c r="AA18" s="9"/>
      <c r="AB18" s="9"/>
      <c r="AC18" s="9"/>
      <c r="AE18" s="48" t="s">
        <v>16</v>
      </c>
      <c r="AF18" s="29">
        <v>987</v>
      </c>
      <c r="AG18" s="29">
        <v>717</v>
      </c>
      <c r="AH18" s="49" t="s">
        <v>16</v>
      </c>
      <c r="AI18" s="30">
        <v>1025</v>
      </c>
      <c r="AJ18" s="30">
        <v>757</v>
      </c>
      <c r="AK18" s="48" t="s">
        <v>16</v>
      </c>
      <c r="AL18" s="29">
        <f t="shared" ref="AL18" si="23">600+(600-AL17)</f>
        <v>962</v>
      </c>
      <c r="AM18" s="29">
        <f t="shared" ref="AM18" si="24">AM17</f>
        <v>757</v>
      </c>
      <c r="AN18" s="48" t="s">
        <v>16</v>
      </c>
      <c r="AO18" s="29">
        <f t="shared" ref="AO18" si="25">600+(600-AO17)</f>
        <v>1079</v>
      </c>
      <c r="AP18" s="29">
        <f t="shared" ref="AP18" si="26">AP17</f>
        <v>635</v>
      </c>
      <c r="AQ18" s="48" t="s">
        <v>16</v>
      </c>
      <c r="AR18" s="29">
        <f t="shared" ref="AR18" si="27">600+(600-AR17)</f>
        <v>1190</v>
      </c>
      <c r="AS18" s="29">
        <f t="shared" ref="AS18" si="28">AS17</f>
        <v>734</v>
      </c>
    </row>
    <row r="19" spans="1:45">
      <c r="A19" s="24">
        <v>15</v>
      </c>
      <c r="B19" s="19" t="s">
        <v>48</v>
      </c>
      <c r="C19" s="19" t="s">
        <v>34</v>
      </c>
      <c r="D19" s="11">
        <v>928</v>
      </c>
      <c r="E19" s="9">
        <v>933</v>
      </c>
      <c r="F19" s="9">
        <v>922</v>
      </c>
      <c r="G19" s="9">
        <v>1102</v>
      </c>
      <c r="H19" s="9">
        <v>1010.3910134200521</v>
      </c>
      <c r="J19" s="21">
        <v>15</v>
      </c>
      <c r="K19" s="44" t="s">
        <v>80</v>
      </c>
      <c r="L19" s="44" t="s">
        <v>78</v>
      </c>
      <c r="M19" s="44" t="s">
        <v>79</v>
      </c>
      <c r="N19" s="11">
        <v>22.080696084035132</v>
      </c>
      <c r="O19" s="9">
        <v>24.512892526769051</v>
      </c>
      <c r="P19" s="9">
        <v>14.910920239047794</v>
      </c>
      <c r="Q19" s="9">
        <v>20.39831844757154</v>
      </c>
      <c r="R19" s="9">
        <v>16.763738121366238</v>
      </c>
      <c r="T19" s="23">
        <v>15</v>
      </c>
      <c r="U19" s="28"/>
      <c r="V19" s="28"/>
      <c r="W19" s="28"/>
      <c r="X19" s="28"/>
      <c r="Y19" s="11"/>
      <c r="Z19" s="9"/>
      <c r="AA19" s="9"/>
      <c r="AB19" s="9"/>
      <c r="AC19" s="9"/>
      <c r="AE19" s="48" t="s">
        <v>17</v>
      </c>
      <c r="AF19" s="29">
        <v>100</v>
      </c>
      <c r="AG19" s="29">
        <v>212</v>
      </c>
      <c r="AH19" s="49" t="s">
        <v>17</v>
      </c>
      <c r="AI19" s="30">
        <v>223</v>
      </c>
      <c r="AJ19" s="30">
        <v>227</v>
      </c>
      <c r="AK19" s="48" t="s">
        <v>17</v>
      </c>
      <c r="AL19" s="29">
        <v>235</v>
      </c>
      <c r="AM19" s="29">
        <v>229</v>
      </c>
      <c r="AN19" s="48" t="s">
        <v>17</v>
      </c>
      <c r="AO19" s="29">
        <v>204</v>
      </c>
      <c r="AP19" s="29">
        <v>100</v>
      </c>
      <c r="AQ19" s="48" t="s">
        <v>17</v>
      </c>
      <c r="AR19" s="29">
        <v>208</v>
      </c>
      <c r="AS19" s="29">
        <v>82</v>
      </c>
    </row>
    <row r="20" spans="1:45">
      <c r="A20" s="24">
        <v>16</v>
      </c>
      <c r="B20" s="19" t="s">
        <v>50</v>
      </c>
      <c r="C20" s="19" t="s">
        <v>51</v>
      </c>
      <c r="D20" s="11">
        <v>35.057096285916209</v>
      </c>
      <c r="E20" s="9">
        <v>38.013155617496423</v>
      </c>
      <c r="F20" s="9">
        <v>41.109609582188931</v>
      </c>
      <c r="G20" s="9">
        <v>41.43669871020132</v>
      </c>
      <c r="H20" s="9">
        <v>86.145226217127089</v>
      </c>
      <c r="I20" s="3"/>
      <c r="J20" s="21">
        <v>16</v>
      </c>
      <c r="K20" s="44" t="s">
        <v>48</v>
      </c>
      <c r="L20" s="44" t="s">
        <v>81</v>
      </c>
      <c r="M20" s="44" t="s">
        <v>79</v>
      </c>
      <c r="N20" s="11">
        <v>104.17424580023791</v>
      </c>
      <c r="O20" s="9">
        <v>110.3764352138364</v>
      </c>
      <c r="P20" s="9">
        <v>119.04834509917083</v>
      </c>
      <c r="Q20" s="9">
        <v>91.091763342701086</v>
      </c>
      <c r="R20" s="9">
        <v>90.749154919947514</v>
      </c>
      <c r="T20" s="23">
        <v>16</v>
      </c>
      <c r="U20" s="28"/>
      <c r="V20" s="28"/>
      <c r="W20" s="28"/>
      <c r="X20" s="28"/>
      <c r="Y20" s="11"/>
      <c r="Z20" s="9"/>
      <c r="AA20" s="9"/>
      <c r="AB20" s="9"/>
      <c r="AC20" s="9"/>
      <c r="AE20" s="48" t="s">
        <v>18</v>
      </c>
      <c r="AF20" s="29">
        <v>600</v>
      </c>
      <c r="AG20" s="29">
        <v>242</v>
      </c>
      <c r="AH20" s="49" t="s">
        <v>18</v>
      </c>
      <c r="AI20" s="29">
        <v>600</v>
      </c>
      <c r="AJ20" s="30">
        <v>238</v>
      </c>
      <c r="AK20" s="48" t="s">
        <v>18</v>
      </c>
      <c r="AL20" s="29">
        <v>600</v>
      </c>
      <c r="AM20" s="29">
        <v>249</v>
      </c>
      <c r="AN20" s="48" t="s">
        <v>18</v>
      </c>
      <c r="AO20" s="29">
        <v>600</v>
      </c>
      <c r="AP20" s="29">
        <v>70</v>
      </c>
      <c r="AQ20" s="48" t="s">
        <v>18</v>
      </c>
      <c r="AR20" s="29">
        <v>547</v>
      </c>
      <c r="AS20" s="29">
        <v>168</v>
      </c>
    </row>
    <row r="21" spans="1:45">
      <c r="A21" s="24">
        <v>17</v>
      </c>
      <c r="B21" s="19" t="s">
        <v>65</v>
      </c>
      <c r="C21" s="19" t="s">
        <v>66</v>
      </c>
      <c r="D21" s="11">
        <v>254</v>
      </c>
      <c r="E21" s="9">
        <v>249</v>
      </c>
      <c r="F21" s="9">
        <v>245</v>
      </c>
      <c r="G21" s="9">
        <v>264</v>
      </c>
      <c r="H21" s="9">
        <v>233</v>
      </c>
      <c r="I21" s="3"/>
      <c r="J21" s="21">
        <v>17</v>
      </c>
      <c r="K21" s="44" t="s">
        <v>80</v>
      </c>
      <c r="L21" s="44" t="s">
        <v>81</v>
      </c>
      <c r="M21" s="44" t="s">
        <v>79</v>
      </c>
      <c r="N21" s="11">
        <v>28.290128138208072</v>
      </c>
      <c r="O21" s="9">
        <v>24.737082932772989</v>
      </c>
      <c r="P21" s="9">
        <v>17.202304745999939</v>
      </c>
      <c r="Q21" s="9">
        <v>24.131754799540534</v>
      </c>
      <c r="R21" s="9">
        <v>19.063396520790402</v>
      </c>
      <c r="T21" s="23">
        <v>17</v>
      </c>
      <c r="U21" s="28"/>
      <c r="V21" s="28"/>
      <c r="W21" s="28"/>
      <c r="X21" s="28"/>
      <c r="Y21" s="11"/>
      <c r="Z21" s="9"/>
      <c r="AA21" s="9"/>
      <c r="AB21" s="9"/>
      <c r="AC21" s="9"/>
      <c r="AE21" s="48" t="s">
        <v>19</v>
      </c>
      <c r="AF21" s="29">
        <v>950</v>
      </c>
      <c r="AG21" s="29">
        <v>212</v>
      </c>
      <c r="AH21" s="49" t="s">
        <v>19</v>
      </c>
      <c r="AI21" s="30">
        <v>961</v>
      </c>
      <c r="AJ21" s="30">
        <v>227</v>
      </c>
      <c r="AK21" s="48" t="s">
        <v>19</v>
      </c>
      <c r="AL21" s="29">
        <f t="shared" ref="AL21" si="29">600+(600-AL19)</f>
        <v>965</v>
      </c>
      <c r="AM21" s="29">
        <f t="shared" ref="AM21" si="30">AM19</f>
        <v>229</v>
      </c>
      <c r="AN21" s="48" t="s">
        <v>19</v>
      </c>
      <c r="AO21" s="29">
        <f t="shared" ref="AO21" si="31">600+(600-AO19)</f>
        <v>996</v>
      </c>
      <c r="AP21" s="29">
        <f t="shared" ref="AP21" si="32">AP19</f>
        <v>100</v>
      </c>
      <c r="AQ21" s="48" t="s">
        <v>19</v>
      </c>
      <c r="AR21" s="29">
        <f t="shared" ref="AR21" si="33">600+(600-AR19)</f>
        <v>992</v>
      </c>
      <c r="AS21" s="29">
        <f t="shared" ref="AS21" si="34">AS19</f>
        <v>82</v>
      </c>
    </row>
    <row r="22" spans="1:45">
      <c r="A22" s="24">
        <v>18</v>
      </c>
      <c r="B22" s="19" t="s">
        <v>76</v>
      </c>
      <c r="C22" s="19" t="s">
        <v>75</v>
      </c>
      <c r="D22" s="11">
        <v>40.792156108742276</v>
      </c>
      <c r="E22" s="9">
        <v>49.819674828324601</v>
      </c>
      <c r="F22" s="9">
        <v>30.870698080866262</v>
      </c>
      <c r="G22" s="9">
        <v>55.326304774492215</v>
      </c>
      <c r="H22" s="9">
        <v>39.11521443121589</v>
      </c>
      <c r="I22" s="3"/>
      <c r="J22" s="21">
        <v>18</v>
      </c>
      <c r="K22" s="27"/>
      <c r="L22" s="27"/>
      <c r="M22" s="27"/>
      <c r="N22" s="11"/>
      <c r="O22" s="9"/>
      <c r="P22" s="9"/>
      <c r="Q22" s="9"/>
      <c r="R22" s="9"/>
      <c r="T22" s="23">
        <v>18</v>
      </c>
      <c r="U22" s="28"/>
      <c r="V22" s="28"/>
      <c r="W22" s="28"/>
      <c r="X22" s="28"/>
      <c r="Y22" s="11"/>
      <c r="Z22" s="9"/>
      <c r="AA22" s="9"/>
      <c r="AB22" s="9"/>
      <c r="AC22" s="9"/>
      <c r="AE22" s="48" t="s">
        <v>20</v>
      </c>
      <c r="AF22" s="30">
        <v>358</v>
      </c>
      <c r="AG22" s="30">
        <v>610</v>
      </c>
      <c r="AH22" s="49" t="s">
        <v>20</v>
      </c>
      <c r="AI22" s="29">
        <v>375</v>
      </c>
      <c r="AJ22" s="29">
        <v>560</v>
      </c>
      <c r="AK22" s="48" t="s">
        <v>20</v>
      </c>
      <c r="AL22" s="33">
        <v>384</v>
      </c>
      <c r="AM22" s="33">
        <v>582</v>
      </c>
      <c r="AN22" s="49" t="s">
        <v>20</v>
      </c>
      <c r="AO22" s="30">
        <v>326</v>
      </c>
      <c r="AP22" s="30">
        <v>544</v>
      </c>
      <c r="AQ22" s="48" t="s">
        <v>20</v>
      </c>
      <c r="AR22" s="29">
        <v>334</v>
      </c>
      <c r="AS22" s="29">
        <v>585</v>
      </c>
    </row>
    <row r="23" spans="1:45">
      <c r="A23" s="24">
        <v>19</v>
      </c>
      <c r="B23" s="19" t="s">
        <v>73</v>
      </c>
      <c r="C23" s="19" t="s">
        <v>74</v>
      </c>
      <c r="D23" s="11">
        <v>175.07141400011596</v>
      </c>
      <c r="E23" s="9">
        <v>217.93806459634351</v>
      </c>
      <c r="F23" s="9">
        <v>211.29363454680788</v>
      </c>
      <c r="G23" s="9">
        <v>268.74523251585322</v>
      </c>
      <c r="H23" s="9">
        <v>237.10335299189677</v>
      </c>
      <c r="I23" s="3"/>
      <c r="J23" s="21">
        <v>19</v>
      </c>
      <c r="K23" s="27"/>
      <c r="L23" s="27"/>
      <c r="M23" s="27"/>
      <c r="N23" s="11"/>
      <c r="O23" s="9"/>
      <c r="P23" s="9"/>
      <c r="Q23" s="9"/>
      <c r="R23" s="9"/>
      <c r="T23" s="23">
        <v>19</v>
      </c>
      <c r="U23" s="28"/>
      <c r="V23" s="28"/>
      <c r="W23" s="28"/>
      <c r="X23" s="28"/>
      <c r="Y23" s="11"/>
      <c r="Z23" s="9"/>
      <c r="AA23" s="9"/>
      <c r="AB23" s="9"/>
      <c r="AC23" s="9"/>
      <c r="AE23" s="48" t="s">
        <v>21</v>
      </c>
      <c r="AF23" s="30">
        <v>444</v>
      </c>
      <c r="AG23" s="30">
        <v>609</v>
      </c>
      <c r="AH23" s="49" t="s">
        <v>21</v>
      </c>
      <c r="AI23" s="29">
        <v>449</v>
      </c>
      <c r="AJ23" s="29">
        <v>567</v>
      </c>
      <c r="AK23" s="48" t="s">
        <v>21</v>
      </c>
      <c r="AL23" s="33">
        <v>459</v>
      </c>
      <c r="AM23" s="33">
        <v>586</v>
      </c>
      <c r="AN23" s="49" t="s">
        <v>21</v>
      </c>
      <c r="AO23" s="30">
        <v>405</v>
      </c>
      <c r="AP23" s="30">
        <v>561</v>
      </c>
      <c r="AQ23" s="48" t="s">
        <v>21</v>
      </c>
      <c r="AR23" s="29">
        <v>409</v>
      </c>
      <c r="AS23" s="29">
        <v>619</v>
      </c>
    </row>
    <row r="24" spans="1:45">
      <c r="A24" s="24">
        <v>20</v>
      </c>
      <c r="B24" s="19"/>
      <c r="C24" s="19"/>
      <c r="D24" s="9"/>
      <c r="E24" s="9"/>
      <c r="F24" s="9"/>
      <c r="G24" s="9"/>
      <c r="H24" s="9"/>
      <c r="I24" s="3"/>
      <c r="J24" s="21">
        <v>20</v>
      </c>
      <c r="K24" s="27"/>
      <c r="L24" s="27"/>
      <c r="M24" s="27"/>
      <c r="N24" s="11"/>
      <c r="O24" s="9"/>
      <c r="P24" s="9"/>
      <c r="Q24" s="9"/>
      <c r="R24" s="9"/>
      <c r="T24" s="23">
        <v>20</v>
      </c>
      <c r="U24" s="28"/>
      <c r="V24" s="28"/>
      <c r="W24" s="28"/>
      <c r="X24" s="28"/>
      <c r="Y24" s="11"/>
      <c r="Z24" s="9"/>
      <c r="AA24" s="9"/>
      <c r="AB24" s="9"/>
      <c r="AC24" s="9"/>
      <c r="AE24" s="48" t="s">
        <v>22</v>
      </c>
      <c r="AF24" s="30">
        <v>518</v>
      </c>
      <c r="AG24" s="30">
        <v>591</v>
      </c>
      <c r="AH24" s="49" t="s">
        <v>22</v>
      </c>
      <c r="AI24" s="30">
        <v>526</v>
      </c>
      <c r="AJ24" s="30">
        <v>556</v>
      </c>
      <c r="AK24" s="48" t="s">
        <v>22</v>
      </c>
      <c r="AL24" s="29">
        <v>534</v>
      </c>
      <c r="AM24" s="29">
        <v>578</v>
      </c>
      <c r="AN24" s="49" t="s">
        <v>22</v>
      </c>
      <c r="AO24" s="30">
        <v>488</v>
      </c>
      <c r="AP24" s="30">
        <v>555</v>
      </c>
      <c r="AQ24" s="48" t="s">
        <v>22</v>
      </c>
      <c r="AR24" s="29">
        <v>481</v>
      </c>
      <c r="AS24" s="29">
        <v>587</v>
      </c>
    </row>
    <row r="25" spans="1:45" ht="15.75" customHeight="1">
      <c r="A25" s="24">
        <v>21</v>
      </c>
      <c r="B25" s="19"/>
      <c r="C25" s="19"/>
      <c r="D25" s="9"/>
      <c r="E25" s="9"/>
      <c r="F25" s="9"/>
      <c r="G25" s="9"/>
      <c r="H25" s="9"/>
      <c r="I25" s="3"/>
      <c r="J25" s="21">
        <v>21</v>
      </c>
      <c r="K25" s="27"/>
      <c r="L25" s="27"/>
      <c r="M25" s="27"/>
      <c r="N25" s="11"/>
      <c r="O25" s="9"/>
      <c r="P25" s="9"/>
      <c r="Q25" s="9"/>
      <c r="R25" s="9"/>
      <c r="T25" s="23">
        <v>21</v>
      </c>
      <c r="U25" s="28"/>
      <c r="V25" s="28"/>
      <c r="W25" s="28"/>
      <c r="X25" s="28"/>
      <c r="Y25" s="11"/>
      <c r="Z25" s="9"/>
      <c r="AA25" s="9"/>
      <c r="AB25" s="9"/>
      <c r="AC25" s="9"/>
      <c r="AE25" s="48" t="s">
        <v>23</v>
      </c>
      <c r="AF25" s="30">
        <v>442</v>
      </c>
      <c r="AG25" s="30">
        <v>574</v>
      </c>
      <c r="AH25" s="49" t="s">
        <v>23</v>
      </c>
      <c r="AI25" s="30">
        <v>450</v>
      </c>
      <c r="AJ25" s="30">
        <v>529</v>
      </c>
      <c r="AK25" s="48" t="s">
        <v>23</v>
      </c>
      <c r="AL25" s="29">
        <v>446</v>
      </c>
      <c r="AM25" s="29">
        <v>547</v>
      </c>
      <c r="AN25" s="49" t="s">
        <v>23</v>
      </c>
      <c r="AO25" s="30">
        <v>411</v>
      </c>
      <c r="AP25" s="30">
        <v>520</v>
      </c>
      <c r="AQ25" s="48" t="s">
        <v>23</v>
      </c>
      <c r="AR25" s="29">
        <v>404</v>
      </c>
      <c r="AS25" s="29">
        <v>533</v>
      </c>
    </row>
    <row r="26" spans="1:45" ht="16.5" customHeight="1">
      <c r="A26" s="24">
        <v>22</v>
      </c>
      <c r="B26" s="19"/>
      <c r="C26" s="19"/>
      <c r="D26" s="9"/>
      <c r="E26" s="9"/>
      <c r="F26" s="9"/>
      <c r="G26" s="9"/>
      <c r="H26" s="9"/>
      <c r="I26" s="3"/>
      <c r="J26" s="21">
        <v>22</v>
      </c>
      <c r="K26" s="27"/>
      <c r="L26" s="27"/>
      <c r="M26" s="27"/>
      <c r="N26" s="11"/>
      <c r="O26" s="9"/>
      <c r="P26" s="9"/>
      <c r="Q26" s="9"/>
      <c r="R26" s="9"/>
      <c r="T26" s="23">
        <v>22</v>
      </c>
      <c r="U26" s="28"/>
      <c r="V26" s="28"/>
      <c r="W26" s="28"/>
      <c r="X26" s="28"/>
      <c r="Y26" s="11"/>
      <c r="Z26" s="9"/>
      <c r="AA26" s="9"/>
      <c r="AB26" s="9"/>
      <c r="AC26" s="9"/>
      <c r="AE26" s="48" t="s">
        <v>24</v>
      </c>
      <c r="AF26" s="31">
        <v>1180</v>
      </c>
      <c r="AG26" s="31">
        <v>1180</v>
      </c>
      <c r="AH26" s="49" t="s">
        <v>24</v>
      </c>
      <c r="AI26" s="30">
        <v>1180</v>
      </c>
      <c r="AJ26" s="30">
        <v>1180</v>
      </c>
      <c r="AK26" s="48" t="s">
        <v>24</v>
      </c>
      <c r="AL26" s="31">
        <v>1180</v>
      </c>
      <c r="AM26" s="31">
        <v>1180</v>
      </c>
      <c r="AN26" s="49" t="s">
        <v>24</v>
      </c>
      <c r="AO26" s="30">
        <v>1180</v>
      </c>
      <c r="AP26" s="30">
        <v>1180</v>
      </c>
      <c r="AQ26" s="32" t="s">
        <v>24</v>
      </c>
      <c r="AR26" s="31">
        <v>1180</v>
      </c>
      <c r="AS26" s="31">
        <v>1180</v>
      </c>
    </row>
    <row r="27" spans="1:45">
      <c r="A27" s="24">
        <v>23</v>
      </c>
      <c r="B27" s="19"/>
      <c r="C27" s="19"/>
      <c r="D27" s="9"/>
      <c r="E27" s="9"/>
      <c r="F27" s="9"/>
      <c r="G27" s="9"/>
      <c r="H27" s="9"/>
      <c r="J27" s="21">
        <v>23</v>
      </c>
      <c r="K27" s="27"/>
      <c r="L27" s="27"/>
      <c r="M27" s="27"/>
      <c r="N27" s="11"/>
      <c r="O27" s="9"/>
      <c r="P27" s="9"/>
      <c r="Q27" s="9"/>
      <c r="R27" s="9"/>
      <c r="T27" s="23">
        <v>23</v>
      </c>
      <c r="U27" s="28"/>
      <c r="V27" s="28"/>
      <c r="W27" s="28"/>
      <c r="X27" s="28"/>
      <c r="Y27" s="11"/>
      <c r="Z27" s="9"/>
      <c r="AA27" s="9"/>
      <c r="AB27" s="9"/>
      <c r="AC27" s="9"/>
      <c r="AE27" s="46" t="s">
        <v>67</v>
      </c>
      <c r="AF27" s="8">
        <v>600</v>
      </c>
      <c r="AG27" s="37">
        <v>0</v>
      </c>
      <c r="AH27" s="46" t="s">
        <v>67</v>
      </c>
      <c r="AI27" s="9">
        <v>600</v>
      </c>
      <c r="AJ27" s="38">
        <v>0</v>
      </c>
      <c r="AK27" s="46" t="s">
        <v>67</v>
      </c>
      <c r="AL27" s="8">
        <v>600</v>
      </c>
      <c r="AM27" s="37">
        <v>0</v>
      </c>
      <c r="AN27" s="46" t="s">
        <v>67</v>
      </c>
      <c r="AO27" s="9">
        <v>600</v>
      </c>
      <c r="AP27" s="38">
        <v>0</v>
      </c>
      <c r="AQ27" s="46" t="s">
        <v>67</v>
      </c>
      <c r="AR27" s="8">
        <v>600</v>
      </c>
      <c r="AS27" s="37">
        <v>0</v>
      </c>
    </row>
    <row r="28" spans="1:45" s="7" customFormat="1">
      <c r="A28" s="24">
        <v>24</v>
      </c>
      <c r="B28" s="19"/>
      <c r="C28" s="19"/>
      <c r="D28" s="17"/>
      <c r="E28" s="12"/>
      <c r="F28" s="12"/>
      <c r="G28" s="12"/>
      <c r="H28" s="12"/>
      <c r="J28" s="21">
        <v>24</v>
      </c>
      <c r="K28" s="27"/>
      <c r="L28" s="27"/>
      <c r="M28" s="27"/>
      <c r="N28" s="17"/>
      <c r="O28" s="12"/>
      <c r="P28" s="12"/>
      <c r="Q28" s="12"/>
      <c r="R28" s="12"/>
      <c r="T28" s="23">
        <v>24</v>
      </c>
      <c r="U28" s="28"/>
      <c r="V28" s="28"/>
      <c r="W28" s="28"/>
      <c r="X28" s="28"/>
      <c r="Y28" s="17"/>
      <c r="Z28" s="12"/>
      <c r="AA28" s="12"/>
      <c r="AB28" s="12"/>
      <c r="AC28" s="12"/>
      <c r="AE28" s="46" t="s">
        <v>68</v>
      </c>
      <c r="AF28" s="8">
        <v>445</v>
      </c>
      <c r="AG28" s="37">
        <v>506</v>
      </c>
      <c r="AH28" s="46" t="s">
        <v>68</v>
      </c>
      <c r="AI28" s="9">
        <v>430</v>
      </c>
      <c r="AJ28" s="38">
        <v>462</v>
      </c>
      <c r="AK28" s="46" t="s">
        <v>68</v>
      </c>
      <c r="AL28" s="8">
        <v>424</v>
      </c>
      <c r="AM28" s="37">
        <v>504</v>
      </c>
      <c r="AN28" s="46" t="s">
        <v>68</v>
      </c>
      <c r="AO28" s="9">
        <v>432</v>
      </c>
      <c r="AP28" s="38">
        <v>410</v>
      </c>
      <c r="AQ28" s="46" t="s">
        <v>68</v>
      </c>
      <c r="AR28" s="8">
        <v>403</v>
      </c>
      <c r="AS28" s="37">
        <v>484</v>
      </c>
    </row>
    <row r="29" spans="1:45">
      <c r="A29" s="24">
        <v>25</v>
      </c>
      <c r="B29" s="19"/>
      <c r="C29" s="19"/>
      <c r="D29" s="18"/>
      <c r="E29" s="13"/>
      <c r="F29" s="9"/>
      <c r="G29" s="9"/>
      <c r="H29" s="9"/>
      <c r="J29" s="21">
        <v>25</v>
      </c>
      <c r="K29" s="27"/>
      <c r="L29" s="27"/>
      <c r="M29" s="27"/>
      <c r="N29" s="11"/>
      <c r="O29" s="9"/>
      <c r="P29" s="9"/>
      <c r="Q29" s="9"/>
      <c r="R29" s="9"/>
      <c r="T29" s="23">
        <v>25</v>
      </c>
      <c r="U29" s="28"/>
      <c r="V29" s="28"/>
      <c r="W29" s="28"/>
      <c r="X29" s="28"/>
      <c r="Y29" s="11"/>
      <c r="Z29" s="9"/>
      <c r="AA29" s="9"/>
      <c r="AB29" s="9"/>
      <c r="AC29" s="9"/>
      <c r="AE29" s="46" t="s">
        <v>69</v>
      </c>
      <c r="AF29" s="8">
        <v>344</v>
      </c>
      <c r="AG29" s="37">
        <v>542</v>
      </c>
      <c r="AH29" s="46" t="s">
        <v>69</v>
      </c>
      <c r="AI29" s="9">
        <v>328</v>
      </c>
      <c r="AJ29" s="38">
        <v>525</v>
      </c>
      <c r="AK29" s="46" t="s">
        <v>69</v>
      </c>
      <c r="AL29" s="8">
        <v>320</v>
      </c>
      <c r="AM29" s="37">
        <v>558</v>
      </c>
      <c r="AN29" s="46" t="s">
        <v>69</v>
      </c>
      <c r="AO29" s="9">
        <v>281</v>
      </c>
      <c r="AP29" s="38">
        <v>458</v>
      </c>
      <c r="AQ29" s="46" t="s">
        <v>69</v>
      </c>
      <c r="AR29" s="8">
        <v>274</v>
      </c>
      <c r="AS29" s="37">
        <v>525</v>
      </c>
    </row>
    <row r="30" spans="1:45">
      <c r="A30" s="24">
        <v>26</v>
      </c>
      <c r="B30" s="19"/>
      <c r="C30" s="19"/>
      <c r="D30" s="11"/>
      <c r="E30" s="9"/>
      <c r="F30" s="9"/>
      <c r="G30" s="9"/>
      <c r="H30" s="9"/>
      <c r="J30" s="21">
        <v>26</v>
      </c>
      <c r="K30" s="27"/>
      <c r="L30" s="27"/>
      <c r="M30" s="27"/>
      <c r="N30" s="11"/>
      <c r="O30" s="9"/>
      <c r="P30" s="9"/>
      <c r="Q30" s="9"/>
      <c r="R30" s="9"/>
      <c r="T30" s="23">
        <v>26</v>
      </c>
      <c r="U30" s="28"/>
      <c r="V30" s="28"/>
      <c r="W30" s="28"/>
      <c r="X30" s="28"/>
      <c r="Y30" s="11"/>
      <c r="Z30" s="9"/>
      <c r="AA30" s="9"/>
      <c r="AB30" s="9"/>
      <c r="AC30" s="9"/>
      <c r="AE30" s="46" t="s">
        <v>70</v>
      </c>
      <c r="AF30" s="8">
        <v>519</v>
      </c>
      <c r="AG30" s="37">
        <v>547</v>
      </c>
      <c r="AH30" s="46" t="s">
        <v>70</v>
      </c>
      <c r="AI30" s="9">
        <v>544</v>
      </c>
      <c r="AJ30" s="38">
        <v>496</v>
      </c>
      <c r="AK30" s="46" t="s">
        <v>70</v>
      </c>
      <c r="AL30" s="8">
        <v>526</v>
      </c>
      <c r="AM30" s="37">
        <v>511</v>
      </c>
      <c r="AN30" s="46" t="s">
        <v>70</v>
      </c>
      <c r="AO30" s="9">
        <v>549</v>
      </c>
      <c r="AP30" s="38">
        <v>478</v>
      </c>
      <c r="AQ30" s="46" t="s">
        <v>70</v>
      </c>
      <c r="AR30" s="8">
        <v>511</v>
      </c>
      <c r="AS30" s="37">
        <v>532</v>
      </c>
    </row>
    <row r="31" spans="1:45">
      <c r="A31" s="24">
        <v>27</v>
      </c>
      <c r="B31" s="19"/>
      <c r="C31" s="19"/>
      <c r="D31" s="11"/>
      <c r="E31" s="9"/>
      <c r="F31" s="9"/>
      <c r="G31" s="9"/>
      <c r="H31" s="9"/>
      <c r="J31" s="21">
        <v>27</v>
      </c>
      <c r="K31" s="27"/>
      <c r="L31" s="27"/>
      <c r="M31" s="27"/>
      <c r="N31" s="11"/>
      <c r="O31" s="9"/>
      <c r="P31" s="9"/>
      <c r="Q31" s="9"/>
      <c r="R31" s="9"/>
      <c r="T31" s="23">
        <v>27</v>
      </c>
      <c r="U31" s="28"/>
      <c r="V31" s="28"/>
      <c r="W31" s="28"/>
      <c r="X31" s="28"/>
      <c r="Y31" s="11"/>
      <c r="Z31" s="9"/>
      <c r="AA31" s="9"/>
      <c r="AB31" s="9"/>
      <c r="AC31" s="9"/>
      <c r="AE31" s="46" t="s">
        <v>71</v>
      </c>
      <c r="AF31" s="8">
        <v>437</v>
      </c>
      <c r="AG31" s="37">
        <v>546</v>
      </c>
      <c r="AH31" s="46" t="s">
        <v>71</v>
      </c>
      <c r="AI31" s="9">
        <v>439</v>
      </c>
      <c r="AJ31" s="38">
        <v>511</v>
      </c>
      <c r="AK31" s="46" t="s">
        <v>71</v>
      </c>
      <c r="AL31" s="8">
        <v>437</v>
      </c>
      <c r="AM31" s="37">
        <v>532</v>
      </c>
      <c r="AN31" s="46" t="s">
        <v>71</v>
      </c>
      <c r="AO31" s="9">
        <v>426</v>
      </c>
      <c r="AP31" s="38">
        <v>465</v>
      </c>
      <c r="AQ31" s="46" t="s">
        <v>71</v>
      </c>
      <c r="AR31" s="8">
        <v>406</v>
      </c>
      <c r="AS31" s="37">
        <v>523</v>
      </c>
    </row>
    <row r="32" spans="1:45">
      <c r="A32" s="24">
        <v>28</v>
      </c>
      <c r="B32" s="19"/>
      <c r="C32" s="19"/>
      <c r="D32" s="11"/>
      <c r="E32" s="9"/>
      <c r="F32" s="9"/>
      <c r="G32" s="9"/>
      <c r="H32" s="9"/>
      <c r="J32" s="21">
        <v>28</v>
      </c>
      <c r="K32" s="27"/>
      <c r="L32" s="27"/>
      <c r="M32" s="27"/>
      <c r="N32" s="11"/>
      <c r="O32" s="9"/>
      <c r="P32" s="9"/>
      <c r="Q32" s="9"/>
      <c r="R32" s="9"/>
      <c r="T32" s="23">
        <v>28</v>
      </c>
      <c r="U32" s="28"/>
      <c r="V32" s="28"/>
      <c r="W32" s="28"/>
      <c r="X32" s="28"/>
      <c r="Y32" s="11"/>
      <c r="Z32" s="9"/>
      <c r="AA32" s="9"/>
      <c r="AB32" s="9"/>
      <c r="AC32" s="9"/>
      <c r="AE32" s="46"/>
      <c r="AF32" s="8"/>
      <c r="AG32" s="37"/>
      <c r="AH32" s="46"/>
      <c r="AI32" s="9"/>
      <c r="AJ32" s="38"/>
      <c r="AK32" s="46"/>
      <c r="AL32" s="8"/>
      <c r="AM32" s="37"/>
      <c r="AN32" s="46"/>
      <c r="AO32" s="9"/>
      <c r="AP32" s="38"/>
      <c r="AQ32" s="46"/>
      <c r="AR32" s="8"/>
      <c r="AS32" s="37"/>
    </row>
    <row r="33" spans="1:45">
      <c r="A33" s="24">
        <v>29</v>
      </c>
      <c r="B33" s="19"/>
      <c r="C33" s="19"/>
      <c r="D33" s="11"/>
      <c r="E33" s="9"/>
      <c r="F33" s="9"/>
      <c r="G33" s="9"/>
      <c r="H33" s="9"/>
      <c r="J33" s="21">
        <v>29</v>
      </c>
      <c r="K33" s="27"/>
      <c r="L33" s="27"/>
      <c r="M33" s="27"/>
      <c r="N33" s="11"/>
      <c r="O33" s="9"/>
      <c r="P33" s="9"/>
      <c r="Q33" s="9"/>
      <c r="R33" s="9"/>
      <c r="T33" s="23">
        <v>29</v>
      </c>
      <c r="U33" s="28"/>
      <c r="V33" s="28"/>
      <c r="W33" s="28"/>
      <c r="X33" s="28"/>
      <c r="Y33" s="11"/>
      <c r="Z33" s="9"/>
      <c r="AA33" s="9"/>
      <c r="AB33" s="9"/>
      <c r="AC33" s="9"/>
      <c r="AE33" s="26"/>
      <c r="AF33" s="8"/>
      <c r="AG33" s="6"/>
      <c r="AH33" s="5"/>
      <c r="AI33" s="9"/>
      <c r="AJ33" s="16"/>
      <c r="AK33" s="26"/>
      <c r="AL33" s="8"/>
      <c r="AM33" s="6"/>
      <c r="AN33" s="5"/>
      <c r="AO33" s="9"/>
      <c r="AP33" s="16"/>
      <c r="AQ33" s="26"/>
      <c r="AR33" s="8"/>
      <c r="AS33" s="6"/>
    </row>
    <row r="34" spans="1:45">
      <c r="A34" s="24">
        <v>30</v>
      </c>
      <c r="B34" s="19"/>
      <c r="C34" s="19"/>
      <c r="D34" s="11"/>
      <c r="E34" s="9"/>
      <c r="F34" s="9"/>
      <c r="G34" s="9"/>
      <c r="H34" s="9"/>
      <c r="J34" s="21">
        <v>30</v>
      </c>
      <c r="K34" s="27"/>
      <c r="L34" s="27"/>
      <c r="M34" s="27"/>
      <c r="N34" s="11"/>
      <c r="O34" s="9"/>
      <c r="P34" s="9"/>
      <c r="Q34" s="9"/>
      <c r="R34" s="9"/>
      <c r="T34" s="23">
        <v>30</v>
      </c>
      <c r="U34" s="28"/>
      <c r="V34" s="28"/>
      <c r="W34" s="28"/>
      <c r="X34" s="28"/>
      <c r="Y34" s="11"/>
      <c r="Z34" s="9"/>
      <c r="AA34" s="9"/>
      <c r="AB34" s="9"/>
      <c r="AC34" s="9"/>
      <c r="AE34" s="26"/>
      <c r="AF34" s="8"/>
      <c r="AG34" s="6"/>
      <c r="AH34" s="5"/>
      <c r="AI34" s="9"/>
      <c r="AJ34" s="16"/>
      <c r="AK34" s="26"/>
      <c r="AL34" s="8"/>
      <c r="AM34" s="6"/>
      <c r="AN34" s="5"/>
      <c r="AO34" s="9"/>
      <c r="AP34" s="16"/>
      <c r="AQ34" s="26"/>
      <c r="AR34" s="8"/>
      <c r="AS34" s="6"/>
    </row>
    <row r="35" spans="1:45">
      <c r="A35" s="25"/>
      <c r="B35" s="15"/>
      <c r="C35" s="15"/>
      <c r="D35" s="14"/>
      <c r="E35" s="14"/>
    </row>
    <row r="36" spans="1:45" ht="15.75" customHeight="1">
      <c r="A36" s="79" t="s">
        <v>64</v>
      </c>
      <c r="B36" s="79"/>
      <c r="C36" s="79"/>
      <c r="D36" s="79"/>
      <c r="E36" s="79"/>
      <c r="F36" s="79"/>
      <c r="G36" s="79"/>
      <c r="H36" s="79"/>
      <c r="I36" s="20"/>
      <c r="J36" s="79" t="s">
        <v>64</v>
      </c>
      <c r="K36" s="80"/>
      <c r="L36" s="80"/>
      <c r="M36" s="80"/>
      <c r="N36" s="80"/>
      <c r="O36" s="80"/>
      <c r="P36" s="80"/>
      <c r="Q36" s="80"/>
      <c r="R36" s="80"/>
      <c r="T36" s="79" t="s">
        <v>64</v>
      </c>
      <c r="U36" s="80"/>
      <c r="V36" s="80"/>
      <c r="W36" s="80"/>
      <c r="X36" s="80"/>
      <c r="Y36" s="80"/>
      <c r="Z36" s="80"/>
      <c r="AA36" s="80"/>
      <c r="AB36" s="80"/>
      <c r="AC36" s="80"/>
      <c r="AE36" s="80" t="s">
        <v>63</v>
      </c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</row>
    <row r="37" spans="1:45" ht="15.75" customHeight="1">
      <c r="A37" s="79"/>
      <c r="B37" s="79"/>
      <c r="C37" s="79"/>
      <c r="D37" s="79"/>
      <c r="E37" s="79"/>
      <c r="F37" s="79"/>
      <c r="G37" s="79"/>
      <c r="H37" s="79"/>
      <c r="I37" s="20"/>
      <c r="J37" s="80"/>
      <c r="K37" s="80"/>
      <c r="L37" s="80"/>
      <c r="M37" s="80"/>
      <c r="N37" s="80"/>
      <c r="O37" s="80"/>
      <c r="P37" s="80"/>
      <c r="Q37" s="80"/>
      <c r="R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</row>
    <row r="38" spans="1:45">
      <c r="A38" s="79"/>
      <c r="B38" s="79"/>
      <c r="C38" s="79"/>
      <c r="D38" s="79"/>
      <c r="E38" s="79"/>
      <c r="F38" s="79"/>
      <c r="G38" s="79"/>
      <c r="H38" s="79"/>
      <c r="J38" s="80"/>
      <c r="K38" s="80"/>
      <c r="L38" s="80"/>
      <c r="M38" s="80"/>
      <c r="N38" s="80"/>
      <c r="O38" s="80"/>
      <c r="P38" s="80"/>
      <c r="Q38" s="80"/>
      <c r="R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</row>
    <row r="39" spans="1:45">
      <c r="A39" s="25"/>
      <c r="B39" s="15"/>
      <c r="C39" s="15"/>
      <c r="D39" s="14"/>
      <c r="E39" s="14"/>
    </row>
    <row r="40" spans="1:45">
      <c r="A40" s="25"/>
      <c r="B40" s="15"/>
      <c r="C40" s="15"/>
      <c r="D40" s="14"/>
      <c r="E40" s="14"/>
    </row>
    <row r="41" spans="1:45">
      <c r="A41" s="25"/>
      <c r="B41" s="15"/>
      <c r="C41" s="15"/>
      <c r="D41" s="14"/>
      <c r="E41" s="14"/>
    </row>
    <row r="42" spans="1:45">
      <c r="A42" s="25"/>
      <c r="B42" s="15"/>
      <c r="C42" s="15"/>
      <c r="D42" s="14"/>
      <c r="E42" s="14"/>
    </row>
    <row r="43" spans="1:45">
      <c r="A43" s="25"/>
      <c r="B43" s="15"/>
      <c r="C43" s="15"/>
      <c r="D43" s="14"/>
      <c r="E43" s="14"/>
    </row>
    <row r="44" spans="1:45">
      <c r="A44" s="25"/>
      <c r="B44" s="15"/>
      <c r="C44" s="15"/>
      <c r="D44" s="14"/>
      <c r="E44" s="14"/>
    </row>
    <row r="45" spans="1:45">
      <c r="A45" s="25"/>
      <c r="B45" s="15"/>
      <c r="C45" s="15"/>
      <c r="D45" s="14"/>
      <c r="E45" s="14"/>
    </row>
    <row r="46" spans="1:45">
      <c r="A46" s="25"/>
      <c r="B46" s="15"/>
      <c r="C46" s="15"/>
      <c r="D46" s="14"/>
      <c r="E46" s="14"/>
    </row>
    <row r="47" spans="1:45">
      <c r="A47" s="25"/>
      <c r="B47" s="15"/>
      <c r="C47" s="15"/>
      <c r="D47" s="14"/>
      <c r="E47" s="14"/>
    </row>
    <row r="48" spans="1:45">
      <c r="A48" s="25"/>
      <c r="B48" s="15"/>
      <c r="C48" s="15"/>
      <c r="D48" s="14"/>
      <c r="E48" s="14"/>
    </row>
    <row r="49" spans="1:5">
      <c r="A49" s="25"/>
      <c r="B49" s="15"/>
      <c r="C49" s="15"/>
      <c r="D49" s="14"/>
      <c r="E49" s="14"/>
    </row>
    <row r="50" spans="1:5">
      <c r="A50" s="25"/>
      <c r="B50" s="15"/>
      <c r="C50" s="15"/>
      <c r="D50" s="14"/>
      <c r="E50" s="14"/>
    </row>
    <row r="51" spans="1:5">
      <c r="A51" s="25"/>
      <c r="B51" s="15"/>
      <c r="C51" s="15"/>
      <c r="D51" s="14"/>
      <c r="E51" s="14"/>
    </row>
    <row r="52" spans="1:5">
      <c r="A52" s="25"/>
      <c r="B52" s="15"/>
      <c r="C52" s="15"/>
      <c r="D52" s="14"/>
      <c r="E52" s="14"/>
    </row>
  </sheetData>
  <mergeCells count="27">
    <mergeCell ref="AK2:AM2"/>
    <mergeCell ref="A1:H1"/>
    <mergeCell ref="J1:R1"/>
    <mergeCell ref="T1:AC1"/>
    <mergeCell ref="AE1:AS1"/>
    <mergeCell ref="A2:C4"/>
    <mergeCell ref="D2:F3"/>
    <mergeCell ref="G2:H3"/>
    <mergeCell ref="J2:M4"/>
    <mergeCell ref="N2:P3"/>
    <mergeCell ref="Q2:R3"/>
    <mergeCell ref="A36:H38"/>
    <mergeCell ref="J36:R38"/>
    <mergeCell ref="T36:AC38"/>
    <mergeCell ref="AE36:AS38"/>
    <mergeCell ref="AN2:AP2"/>
    <mergeCell ref="AQ2:AS2"/>
    <mergeCell ref="AF3:AG3"/>
    <mergeCell ref="AI3:AJ3"/>
    <mergeCell ref="AL3:AM3"/>
    <mergeCell ref="AO3:AP3"/>
    <mergeCell ref="AR3:AS3"/>
    <mergeCell ref="T2:X4"/>
    <mergeCell ref="Y2:AA3"/>
    <mergeCell ref="AB2:AC3"/>
    <mergeCell ref="AE2:AG2"/>
    <mergeCell ref="AH2:AJ2"/>
  </mergeCells>
  <phoneticPr fontId="7" type="noConversion"/>
  <conditionalFormatting sqref="Y1:AC1 Y4:AC35 Y2 Y39:AC1048576">
    <cfRule type="cellIs" dxfId="14" priority="1" operator="lessThan">
      <formula>0</formula>
    </cfRule>
  </conditionalFormatting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工作表12"/>
  <dimension ref="A1:AS34"/>
  <sheetViews>
    <sheetView topLeftCell="R1" zoomScaleNormal="100" workbookViewId="0">
      <selection activeCell="AI3" sqref="AI3:AJ3"/>
    </sheetView>
  </sheetViews>
  <sheetFormatPr defaultRowHeight="15"/>
  <cols>
    <col min="2" max="2" width="7.1640625" customWidth="1"/>
    <col min="3" max="3" width="6.5" customWidth="1"/>
    <col min="4" max="4" width="9.08203125" customWidth="1"/>
  </cols>
  <sheetData>
    <row r="1" spans="1:45" ht="23">
      <c r="A1" s="57" t="s">
        <v>58</v>
      </c>
      <c r="B1" s="57"/>
      <c r="C1" s="57"/>
      <c r="D1" s="57"/>
      <c r="E1" s="57"/>
      <c r="F1" s="57"/>
      <c r="G1" s="57"/>
      <c r="H1" s="58"/>
      <c r="I1" s="1"/>
      <c r="J1" s="59" t="s">
        <v>60</v>
      </c>
      <c r="K1" s="59"/>
      <c r="L1" s="59"/>
      <c r="M1" s="59"/>
      <c r="N1" s="59"/>
      <c r="O1" s="59"/>
      <c r="P1" s="59"/>
      <c r="Q1" s="59"/>
      <c r="R1" s="59"/>
      <c r="S1" s="1"/>
      <c r="T1" s="60" t="s">
        <v>59</v>
      </c>
      <c r="U1" s="60"/>
      <c r="V1" s="60"/>
      <c r="W1" s="60"/>
      <c r="X1" s="60"/>
      <c r="Y1" s="60"/>
      <c r="Z1" s="60"/>
      <c r="AA1" s="60"/>
      <c r="AB1" s="60"/>
      <c r="AC1" s="60"/>
      <c r="AD1" s="1"/>
      <c r="AE1" s="61" t="s">
        <v>180</v>
      </c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</row>
    <row r="2" spans="1:45" ht="18">
      <c r="A2" s="63" t="s">
        <v>55</v>
      </c>
      <c r="B2" s="63"/>
      <c r="C2" s="63"/>
      <c r="D2" s="65"/>
      <c r="E2" s="66"/>
      <c r="F2" s="67"/>
      <c r="G2" s="65"/>
      <c r="H2" s="67"/>
      <c r="I2" s="2"/>
      <c r="J2" s="71" t="s">
        <v>56</v>
      </c>
      <c r="K2" s="71"/>
      <c r="L2" s="71"/>
      <c r="M2" s="71"/>
      <c r="N2" s="73"/>
      <c r="O2" s="74"/>
      <c r="P2" s="75"/>
      <c r="Q2" s="73"/>
      <c r="R2" s="75"/>
      <c r="S2" s="2"/>
      <c r="T2" s="90" t="s">
        <v>57</v>
      </c>
      <c r="U2" s="90"/>
      <c r="V2" s="90"/>
      <c r="W2" s="90"/>
      <c r="X2" s="90"/>
      <c r="Y2" s="92"/>
      <c r="Z2" s="93"/>
      <c r="AA2" s="94"/>
      <c r="AB2" s="92"/>
      <c r="AC2" s="94"/>
      <c r="AD2" s="2"/>
      <c r="AE2" s="54" t="s">
        <v>93</v>
      </c>
      <c r="AF2" s="55"/>
      <c r="AG2" s="56"/>
      <c r="AH2" s="81" t="s">
        <v>94</v>
      </c>
      <c r="AI2" s="82"/>
      <c r="AJ2" s="83"/>
      <c r="AK2" s="54" t="s">
        <v>95</v>
      </c>
      <c r="AL2" s="55"/>
      <c r="AM2" s="56"/>
      <c r="AN2" s="81" t="s">
        <v>96</v>
      </c>
      <c r="AO2" s="82"/>
      <c r="AP2" s="83"/>
      <c r="AQ2" s="54" t="s">
        <v>160</v>
      </c>
      <c r="AR2" s="55"/>
      <c r="AS2" s="56"/>
    </row>
    <row r="3" spans="1:45" ht="15.5">
      <c r="A3" s="63"/>
      <c r="B3" s="63"/>
      <c r="C3" s="63"/>
      <c r="D3" s="68"/>
      <c r="E3" s="69"/>
      <c r="F3" s="70"/>
      <c r="G3" s="68"/>
      <c r="H3" s="70"/>
      <c r="I3" s="1"/>
      <c r="J3" s="71"/>
      <c r="K3" s="71"/>
      <c r="L3" s="71"/>
      <c r="M3" s="71"/>
      <c r="N3" s="76"/>
      <c r="O3" s="77"/>
      <c r="P3" s="78"/>
      <c r="Q3" s="76"/>
      <c r="R3" s="78"/>
      <c r="S3" s="1"/>
      <c r="T3" s="90"/>
      <c r="U3" s="90"/>
      <c r="V3" s="90"/>
      <c r="W3" s="90"/>
      <c r="X3" s="90"/>
      <c r="Y3" s="95"/>
      <c r="Z3" s="96"/>
      <c r="AA3" s="97"/>
      <c r="AB3" s="95"/>
      <c r="AC3" s="97"/>
      <c r="AD3" s="1"/>
      <c r="AE3" s="52" t="s">
        <v>178</v>
      </c>
      <c r="AF3" s="85" t="s">
        <v>177</v>
      </c>
      <c r="AG3" s="85"/>
      <c r="AH3" s="52" t="s">
        <v>178</v>
      </c>
      <c r="AI3" s="85" t="s">
        <v>177</v>
      </c>
      <c r="AJ3" s="85"/>
      <c r="AK3" s="52" t="s">
        <v>178</v>
      </c>
      <c r="AL3" s="85" t="s">
        <v>177</v>
      </c>
      <c r="AM3" s="85"/>
      <c r="AN3" s="52" t="s">
        <v>178</v>
      </c>
      <c r="AO3" s="85" t="s">
        <v>177</v>
      </c>
      <c r="AP3" s="85"/>
      <c r="AQ3" s="52" t="s">
        <v>178</v>
      </c>
      <c r="AR3" s="85" t="s">
        <v>177</v>
      </c>
      <c r="AS3" s="85"/>
    </row>
    <row r="4" spans="1:45" ht="51.65" customHeight="1">
      <c r="A4" s="63"/>
      <c r="B4" s="64"/>
      <c r="C4" s="64"/>
      <c r="D4" s="19" t="s">
        <v>25</v>
      </c>
      <c r="E4" s="19" t="s">
        <v>26</v>
      </c>
      <c r="F4" s="19" t="s">
        <v>27</v>
      </c>
      <c r="G4" s="19" t="s">
        <v>28</v>
      </c>
      <c r="H4" s="19" t="s">
        <v>29</v>
      </c>
      <c r="I4" s="4"/>
      <c r="J4" s="71"/>
      <c r="K4" s="72"/>
      <c r="L4" s="72"/>
      <c r="M4" s="72"/>
      <c r="N4" s="27" t="s">
        <v>25</v>
      </c>
      <c r="O4" s="27" t="s">
        <v>26</v>
      </c>
      <c r="P4" s="27" t="s">
        <v>27</v>
      </c>
      <c r="Q4" s="27" t="s">
        <v>28</v>
      </c>
      <c r="R4" s="27" t="s">
        <v>29</v>
      </c>
      <c r="S4" s="4"/>
      <c r="T4" s="90"/>
      <c r="U4" s="91"/>
      <c r="V4" s="91"/>
      <c r="W4" s="91"/>
      <c r="X4" s="91"/>
      <c r="Y4" s="28" t="s">
        <v>25</v>
      </c>
      <c r="Z4" s="28" t="s">
        <v>26</v>
      </c>
      <c r="AA4" s="28" t="s">
        <v>27</v>
      </c>
      <c r="AB4" s="28" t="s">
        <v>28</v>
      </c>
      <c r="AC4" s="28" t="s">
        <v>29</v>
      </c>
      <c r="AD4" s="4"/>
      <c r="AE4" s="48"/>
      <c r="AF4" s="48" t="s">
        <v>0</v>
      </c>
      <c r="AG4" s="48" t="s">
        <v>1</v>
      </c>
      <c r="AH4" s="48"/>
      <c r="AI4" s="48" t="s">
        <v>0</v>
      </c>
      <c r="AJ4" s="48" t="s">
        <v>1</v>
      </c>
      <c r="AK4" s="48" t="s">
        <v>2</v>
      </c>
      <c r="AL4" s="48" t="s">
        <v>0</v>
      </c>
      <c r="AM4" s="48" t="s">
        <v>1</v>
      </c>
      <c r="AN4" s="49" t="s">
        <v>2</v>
      </c>
      <c r="AO4" s="49" t="s">
        <v>0</v>
      </c>
      <c r="AP4" s="49" t="s">
        <v>1</v>
      </c>
      <c r="AQ4" s="48" t="s">
        <v>2</v>
      </c>
      <c r="AR4" s="48" t="s">
        <v>0</v>
      </c>
      <c r="AS4" s="48" t="s">
        <v>1</v>
      </c>
    </row>
    <row r="5" spans="1:45" ht="15.5">
      <c r="A5" s="24">
        <v>1</v>
      </c>
      <c r="B5" s="19" t="s">
        <v>30</v>
      </c>
      <c r="C5" s="19" t="s">
        <v>32</v>
      </c>
      <c r="D5" s="11">
        <v>313</v>
      </c>
      <c r="E5" s="9">
        <v>274</v>
      </c>
      <c r="F5" s="9">
        <v>310</v>
      </c>
      <c r="G5" s="9">
        <v>327</v>
      </c>
      <c r="H5" s="9">
        <v>308</v>
      </c>
      <c r="I5" s="1"/>
      <c r="J5" s="21">
        <v>1</v>
      </c>
      <c r="K5" s="27" t="s">
        <v>30</v>
      </c>
      <c r="L5" s="27" t="s">
        <v>35</v>
      </c>
      <c r="M5" s="27" t="s">
        <v>38</v>
      </c>
      <c r="N5" s="9">
        <v>68.663140708194348</v>
      </c>
      <c r="O5" s="9">
        <v>67.38013505195957</v>
      </c>
      <c r="P5" s="9">
        <v>64.218580832206086</v>
      </c>
      <c r="Q5" s="9">
        <v>66.829872365040288</v>
      </c>
      <c r="R5" s="9">
        <v>69.805665754816019</v>
      </c>
      <c r="S5" s="1"/>
      <c r="T5" s="23">
        <v>1</v>
      </c>
      <c r="U5" s="28" t="s">
        <v>30</v>
      </c>
      <c r="V5" s="28" t="s">
        <v>35</v>
      </c>
      <c r="W5" s="28" t="s">
        <v>37</v>
      </c>
      <c r="X5" s="28" t="s">
        <v>38</v>
      </c>
      <c r="Y5" s="11">
        <v>31300</v>
      </c>
      <c r="Z5" s="9">
        <v>30140</v>
      </c>
      <c r="AA5" s="9">
        <v>39680</v>
      </c>
      <c r="AB5" s="9">
        <v>34008</v>
      </c>
      <c r="AC5" s="9">
        <v>29568</v>
      </c>
      <c r="AD5" s="1"/>
      <c r="AE5" s="48" t="s">
        <v>3</v>
      </c>
      <c r="AF5" s="29">
        <v>600</v>
      </c>
      <c r="AG5" s="29">
        <v>520</v>
      </c>
      <c r="AH5" s="48" t="s">
        <v>3</v>
      </c>
      <c r="AI5" s="29">
        <v>600</v>
      </c>
      <c r="AJ5" s="29">
        <v>505</v>
      </c>
      <c r="AK5" s="48" t="s">
        <v>3</v>
      </c>
      <c r="AL5" s="29">
        <v>600</v>
      </c>
      <c r="AM5" s="29">
        <v>495</v>
      </c>
      <c r="AN5" s="48" t="s">
        <v>3</v>
      </c>
      <c r="AO5" s="29">
        <v>600</v>
      </c>
      <c r="AP5" s="29">
        <v>520</v>
      </c>
      <c r="AQ5" s="48" t="s">
        <v>3</v>
      </c>
      <c r="AR5" s="29">
        <v>600</v>
      </c>
      <c r="AS5" s="29">
        <v>466</v>
      </c>
    </row>
    <row r="6" spans="1:45" ht="15.5">
      <c r="A6" s="24">
        <v>2</v>
      </c>
      <c r="B6" s="19" t="s">
        <v>30</v>
      </c>
      <c r="C6" s="19" t="s">
        <v>33</v>
      </c>
      <c r="D6" s="11">
        <v>406</v>
      </c>
      <c r="E6" s="9">
        <v>408</v>
      </c>
      <c r="F6" s="9">
        <v>431</v>
      </c>
      <c r="G6" s="9">
        <v>396</v>
      </c>
      <c r="H6" s="9">
        <v>429</v>
      </c>
      <c r="I6" s="1"/>
      <c r="J6" s="21">
        <v>2</v>
      </c>
      <c r="K6" s="27" t="s">
        <v>31</v>
      </c>
      <c r="L6" s="27" t="s">
        <v>41</v>
      </c>
      <c r="M6" s="27" t="s">
        <v>34</v>
      </c>
      <c r="N6" s="9">
        <v>89.33785500467657</v>
      </c>
      <c r="O6" s="9">
        <v>79.473778258319214</v>
      </c>
      <c r="P6" s="9">
        <v>91.287134697284955</v>
      </c>
      <c r="Q6" s="9">
        <v>81.848396187720382</v>
      </c>
      <c r="R6" s="9">
        <v>95.539977703756676</v>
      </c>
      <c r="S6" s="1"/>
      <c r="T6" s="23">
        <v>2</v>
      </c>
      <c r="U6" s="28" t="s">
        <v>31</v>
      </c>
      <c r="V6" s="28" t="s">
        <v>41</v>
      </c>
      <c r="W6" s="28" t="s">
        <v>34</v>
      </c>
      <c r="X6" s="28" t="s">
        <v>42</v>
      </c>
      <c r="Y6" s="11">
        <v>207318</v>
      </c>
      <c r="Z6" s="9">
        <v>258432</v>
      </c>
      <c r="AA6" s="9">
        <v>208692</v>
      </c>
      <c r="AB6" s="9">
        <v>218130</v>
      </c>
      <c r="AC6" s="9">
        <v>200220</v>
      </c>
      <c r="AD6" s="1"/>
      <c r="AE6" s="48" t="s">
        <v>4</v>
      </c>
      <c r="AF6" s="29">
        <v>500</v>
      </c>
      <c r="AG6" s="29">
        <v>776</v>
      </c>
      <c r="AH6" s="48" t="s">
        <v>4</v>
      </c>
      <c r="AI6" s="29">
        <v>490</v>
      </c>
      <c r="AJ6" s="29">
        <v>769</v>
      </c>
      <c r="AK6" s="48" t="s">
        <v>4</v>
      </c>
      <c r="AL6" s="29">
        <v>472</v>
      </c>
      <c r="AM6" s="29">
        <v>760</v>
      </c>
      <c r="AN6" s="48" t="s">
        <v>4</v>
      </c>
      <c r="AO6" s="29">
        <v>496</v>
      </c>
      <c r="AP6" s="29">
        <v>763</v>
      </c>
      <c r="AQ6" s="48" t="s">
        <v>4</v>
      </c>
      <c r="AR6" s="29">
        <v>504</v>
      </c>
      <c r="AS6" s="29">
        <v>727</v>
      </c>
    </row>
    <row r="7" spans="1:45" ht="15.5">
      <c r="A7" s="24">
        <v>3</v>
      </c>
      <c r="B7" s="19" t="s">
        <v>31</v>
      </c>
      <c r="C7" s="19" t="s">
        <v>34</v>
      </c>
      <c r="D7" s="11">
        <v>654</v>
      </c>
      <c r="E7" s="9">
        <v>673.07429010474027</v>
      </c>
      <c r="F7" s="9">
        <v>682</v>
      </c>
      <c r="G7" s="9">
        <v>660</v>
      </c>
      <c r="H7" s="9">
        <v>705</v>
      </c>
      <c r="I7" s="1"/>
      <c r="J7" s="21">
        <v>3</v>
      </c>
      <c r="K7" s="27" t="s">
        <v>31</v>
      </c>
      <c r="L7" s="27" t="s">
        <v>44</v>
      </c>
      <c r="M7" s="27" t="s">
        <v>37</v>
      </c>
      <c r="N7" s="9">
        <v>44.477569359977878</v>
      </c>
      <c r="O7" s="9">
        <v>33.188162139711906</v>
      </c>
      <c r="P7" s="9">
        <v>45.201889354952669</v>
      </c>
      <c r="Q7" s="9">
        <v>45.448250864913867</v>
      </c>
      <c r="R7" s="9">
        <v>45.709315784786895</v>
      </c>
      <c r="S7" s="1"/>
      <c r="T7" s="23">
        <v>3</v>
      </c>
      <c r="U7" s="28" t="s">
        <v>41</v>
      </c>
      <c r="V7" s="28" t="s">
        <v>39</v>
      </c>
      <c r="W7" s="28" t="s">
        <v>34</v>
      </c>
      <c r="X7" s="28" t="s">
        <v>42</v>
      </c>
      <c r="Y7" s="11">
        <v>80001.5</v>
      </c>
      <c r="Z7" s="9">
        <v>89958</v>
      </c>
      <c r="AA7" s="9">
        <v>69183</v>
      </c>
      <c r="AB7" s="9">
        <v>83664</v>
      </c>
      <c r="AC7" s="9">
        <v>64488</v>
      </c>
      <c r="AD7" s="1"/>
      <c r="AE7" s="48" t="s">
        <v>5</v>
      </c>
      <c r="AF7" s="29">
        <v>600</v>
      </c>
      <c r="AG7" s="29">
        <v>833</v>
      </c>
      <c r="AH7" s="48" t="s">
        <v>5</v>
      </c>
      <c r="AI7" s="29">
        <v>600</v>
      </c>
      <c r="AJ7" s="29">
        <v>779</v>
      </c>
      <c r="AK7" s="48" t="s">
        <v>5</v>
      </c>
      <c r="AL7" s="29">
        <v>600</v>
      </c>
      <c r="AM7" s="29">
        <v>805</v>
      </c>
      <c r="AN7" s="48" t="s">
        <v>5</v>
      </c>
      <c r="AO7" s="29">
        <v>600</v>
      </c>
      <c r="AP7" s="29">
        <v>847</v>
      </c>
      <c r="AQ7" s="48" t="s">
        <v>5</v>
      </c>
      <c r="AR7" s="29">
        <v>600</v>
      </c>
      <c r="AS7" s="29">
        <v>774</v>
      </c>
    </row>
    <row r="8" spans="1:45" ht="15.5">
      <c r="A8" s="24">
        <v>4</v>
      </c>
      <c r="B8" s="19" t="s">
        <v>35</v>
      </c>
      <c r="C8" s="19" t="s">
        <v>38</v>
      </c>
      <c r="D8" s="11">
        <v>200</v>
      </c>
      <c r="E8" s="9">
        <v>220</v>
      </c>
      <c r="F8" s="9">
        <v>256</v>
      </c>
      <c r="G8" s="9">
        <v>208</v>
      </c>
      <c r="H8" s="9">
        <v>192</v>
      </c>
      <c r="I8" s="1"/>
      <c r="J8" s="21">
        <v>4</v>
      </c>
      <c r="K8" s="27" t="s">
        <v>35</v>
      </c>
      <c r="L8" s="27" t="s">
        <v>37</v>
      </c>
      <c r="M8" s="27" t="s">
        <v>38</v>
      </c>
      <c r="N8" s="9">
        <v>120.63371964175339</v>
      </c>
      <c r="O8" s="9">
        <v>169.61114218453039</v>
      </c>
      <c r="P8" s="9">
        <v>141.26047593019732</v>
      </c>
      <c r="Q8" s="9">
        <v>102.14491281441541</v>
      </c>
      <c r="R8" s="9">
        <v>127.82880044343716</v>
      </c>
      <c r="S8" s="1"/>
      <c r="T8" s="23">
        <v>4</v>
      </c>
      <c r="U8" s="28" t="s">
        <v>46</v>
      </c>
      <c r="V8" s="28" t="s">
        <v>43</v>
      </c>
      <c r="W8" s="28" t="s">
        <v>33</v>
      </c>
      <c r="X8" s="28" t="s">
        <v>47</v>
      </c>
      <c r="Y8" s="11">
        <v>384815</v>
      </c>
      <c r="Z8" s="9">
        <v>442458</v>
      </c>
      <c r="AA8" s="9">
        <v>396838.5</v>
      </c>
      <c r="AB8" s="9">
        <v>435825</v>
      </c>
      <c r="AC8" s="9">
        <v>350534.5</v>
      </c>
      <c r="AD8" s="1"/>
      <c r="AE8" s="48" t="s">
        <v>6</v>
      </c>
      <c r="AF8" s="29">
        <f>AF7+(AF7-AF6)</f>
        <v>700</v>
      </c>
      <c r="AG8" s="29">
        <f>AG6</f>
        <v>776</v>
      </c>
      <c r="AH8" s="48" t="s">
        <v>6</v>
      </c>
      <c r="AI8" s="29">
        <f>AI7+(AI7-AI6)</f>
        <v>710</v>
      </c>
      <c r="AJ8" s="29">
        <f>AJ6</f>
        <v>769</v>
      </c>
      <c r="AK8" s="48" t="s">
        <v>6</v>
      </c>
      <c r="AL8" s="29">
        <f t="shared" ref="AL8" si="0">AL7+(AL7-AL6)</f>
        <v>728</v>
      </c>
      <c r="AM8" s="29">
        <f t="shared" ref="AM8" si="1">AM6</f>
        <v>760</v>
      </c>
      <c r="AN8" s="48" t="s">
        <v>6</v>
      </c>
      <c r="AO8" s="29">
        <f t="shared" ref="AO8" si="2">AO7+(AO7-AO6)</f>
        <v>704</v>
      </c>
      <c r="AP8" s="29">
        <f t="shared" ref="AP8" si="3">AP6</f>
        <v>763</v>
      </c>
      <c r="AQ8" s="48" t="s">
        <v>6</v>
      </c>
      <c r="AR8" s="29">
        <f t="shared" ref="AR8" si="4">AR7+(AR7-AR6)</f>
        <v>696</v>
      </c>
      <c r="AS8" s="29">
        <f t="shared" ref="AS8" si="5">AS6</f>
        <v>727</v>
      </c>
    </row>
    <row r="9" spans="1:45" ht="15.5">
      <c r="A9" s="24">
        <v>5</v>
      </c>
      <c r="B9" s="19" t="s">
        <v>36</v>
      </c>
      <c r="C9" s="19" t="s">
        <v>33</v>
      </c>
      <c r="D9" s="11">
        <v>93</v>
      </c>
      <c r="E9" s="9">
        <v>134</v>
      </c>
      <c r="F9" s="9">
        <v>121</v>
      </c>
      <c r="G9" s="9">
        <v>69</v>
      </c>
      <c r="H9" s="9">
        <v>121</v>
      </c>
      <c r="I9" s="1"/>
      <c r="J9" s="21">
        <v>5</v>
      </c>
      <c r="K9" s="27" t="s">
        <v>39</v>
      </c>
      <c r="L9" s="27" t="s">
        <v>34</v>
      </c>
      <c r="M9" s="27" t="s">
        <v>61</v>
      </c>
      <c r="N9" s="9">
        <v>149.37436327838739</v>
      </c>
      <c r="O9" s="9">
        <v>173.86702899774801</v>
      </c>
      <c r="P9" s="9">
        <v>153.8162138713063</v>
      </c>
      <c r="Q9" s="9">
        <v>164.53280380195432</v>
      </c>
      <c r="R9" s="9">
        <v>166.83611068964396</v>
      </c>
      <c r="S9" s="1"/>
      <c r="T9" s="23">
        <v>5</v>
      </c>
      <c r="U9" s="28" t="s">
        <v>48</v>
      </c>
      <c r="V9" s="28" t="s">
        <v>43</v>
      </c>
      <c r="W9" s="28" t="s">
        <v>34</v>
      </c>
      <c r="X9" s="28" t="s">
        <v>44</v>
      </c>
      <c r="Y9" s="11">
        <v>390288</v>
      </c>
      <c r="Z9" s="9">
        <v>438354</v>
      </c>
      <c r="AA9" s="9">
        <v>345780</v>
      </c>
      <c r="AB9" s="9">
        <v>384540</v>
      </c>
      <c r="AC9" s="9">
        <v>399744</v>
      </c>
      <c r="AD9" s="1"/>
      <c r="AE9" s="48" t="s">
        <v>77</v>
      </c>
      <c r="AF9" s="29">
        <v>600</v>
      </c>
      <c r="AG9" s="29">
        <v>926</v>
      </c>
      <c r="AH9" s="48" t="s">
        <v>77</v>
      </c>
      <c r="AI9" s="29">
        <v>600</v>
      </c>
      <c r="AJ9" s="29">
        <v>913</v>
      </c>
      <c r="AK9" s="48" t="s">
        <v>77</v>
      </c>
      <c r="AL9" s="29">
        <v>600</v>
      </c>
      <c r="AM9" s="29">
        <v>926</v>
      </c>
      <c r="AN9" s="48" t="s">
        <v>77</v>
      </c>
      <c r="AO9" s="29">
        <v>600</v>
      </c>
      <c r="AP9" s="29">
        <v>916</v>
      </c>
      <c r="AQ9" s="48" t="s">
        <v>77</v>
      </c>
      <c r="AR9" s="29">
        <v>600</v>
      </c>
      <c r="AS9" s="29">
        <v>895</v>
      </c>
    </row>
    <row r="10" spans="1:45" ht="15.5">
      <c r="A10" s="24">
        <v>6</v>
      </c>
      <c r="B10" s="19" t="s">
        <v>37</v>
      </c>
      <c r="C10" s="19" t="s">
        <v>34</v>
      </c>
      <c r="D10" s="11">
        <v>341</v>
      </c>
      <c r="E10" s="9">
        <v>399.12529361091612</v>
      </c>
      <c r="F10" s="9">
        <v>372</v>
      </c>
      <c r="G10" s="9">
        <v>333</v>
      </c>
      <c r="H10" s="9">
        <v>397</v>
      </c>
      <c r="I10" s="1"/>
      <c r="J10" s="21">
        <v>6</v>
      </c>
      <c r="K10" s="27" t="s">
        <v>40</v>
      </c>
      <c r="L10" s="27" t="s">
        <v>34</v>
      </c>
      <c r="M10" s="27" t="s">
        <v>62</v>
      </c>
      <c r="N10" s="9">
        <v>15.905512179422995</v>
      </c>
      <c r="O10" s="9">
        <v>3.2607077385961278</v>
      </c>
      <c r="P10" s="9">
        <v>13.388247901726853</v>
      </c>
      <c r="Q10" s="9">
        <v>7.7335980990226698</v>
      </c>
      <c r="R10" s="9">
        <v>7.4709457478350592</v>
      </c>
      <c r="S10" s="1"/>
      <c r="T10" s="23">
        <v>6</v>
      </c>
      <c r="U10" s="28" t="s">
        <v>52</v>
      </c>
      <c r="V10" s="28" t="s">
        <v>53</v>
      </c>
      <c r="W10" s="28" t="s">
        <v>54</v>
      </c>
      <c r="X10" s="28" t="s">
        <v>50</v>
      </c>
      <c r="Y10" s="11">
        <v>3358</v>
      </c>
      <c r="Z10" s="9">
        <v>3697</v>
      </c>
      <c r="AA10" s="9">
        <v>5254.5</v>
      </c>
      <c r="AB10" s="9">
        <v>4966</v>
      </c>
      <c r="AC10" s="9">
        <v>2589.5</v>
      </c>
      <c r="AD10" s="1"/>
      <c r="AE10" s="48" t="s">
        <v>8</v>
      </c>
      <c r="AF10" s="29">
        <v>516</v>
      </c>
      <c r="AG10" s="29">
        <v>1151</v>
      </c>
      <c r="AH10" s="48" t="s">
        <v>8</v>
      </c>
      <c r="AI10" s="29">
        <v>478</v>
      </c>
      <c r="AJ10" s="29">
        <v>1172</v>
      </c>
      <c r="AK10" s="48" t="s">
        <v>8</v>
      </c>
      <c r="AL10" s="29">
        <v>514</v>
      </c>
      <c r="AM10" s="29">
        <v>1157</v>
      </c>
      <c r="AN10" s="48" t="s">
        <v>8</v>
      </c>
      <c r="AO10" s="29">
        <v>519</v>
      </c>
      <c r="AP10" s="29">
        <v>1169</v>
      </c>
      <c r="AQ10" s="48" t="s">
        <v>8</v>
      </c>
      <c r="AR10" s="29">
        <v>496</v>
      </c>
      <c r="AS10" s="29">
        <v>1159</v>
      </c>
    </row>
    <row r="11" spans="1:45" ht="15.5">
      <c r="A11" s="24">
        <v>7</v>
      </c>
      <c r="B11" s="19" t="s">
        <v>39</v>
      </c>
      <c r="C11" s="19" t="s">
        <v>40</v>
      </c>
      <c r="D11" s="11">
        <v>168</v>
      </c>
      <c r="E11" s="9">
        <v>224</v>
      </c>
      <c r="F11" s="9">
        <v>172</v>
      </c>
      <c r="G11" s="9">
        <v>162</v>
      </c>
      <c r="H11" s="9">
        <v>208</v>
      </c>
      <c r="I11" s="1"/>
      <c r="J11" s="21">
        <v>7</v>
      </c>
      <c r="K11" s="27" t="s">
        <v>41</v>
      </c>
      <c r="L11" s="27" t="s">
        <v>34</v>
      </c>
      <c r="M11" s="27" t="s">
        <v>62</v>
      </c>
      <c r="N11" s="9">
        <v>144.27622065434616</v>
      </c>
      <c r="O11" s="9">
        <v>151.23074972629934</v>
      </c>
      <c r="P11" s="9">
        <v>146.21915955724921</v>
      </c>
      <c r="Q11" s="9">
        <v>148.16471756731542</v>
      </c>
      <c r="R11" s="9">
        <v>146.1414269177576</v>
      </c>
      <c r="S11" s="1"/>
      <c r="T11" s="23">
        <v>7</v>
      </c>
      <c r="U11" s="40" t="s">
        <v>76</v>
      </c>
      <c r="V11" s="40" t="s">
        <v>73</v>
      </c>
      <c r="W11" s="40" t="s">
        <v>75</v>
      </c>
      <c r="X11" s="40" t="s">
        <v>74</v>
      </c>
      <c r="Y11" s="11">
        <v>4630.5</v>
      </c>
      <c r="Z11" s="9">
        <v>4768.5</v>
      </c>
      <c r="AA11" s="9">
        <v>3500.5</v>
      </c>
      <c r="AB11" s="9">
        <v>6572.5</v>
      </c>
      <c r="AC11" s="9">
        <v>4000</v>
      </c>
      <c r="AD11" s="1"/>
      <c r="AE11" s="48" t="s">
        <v>9</v>
      </c>
      <c r="AF11" s="29">
        <v>600</v>
      </c>
      <c r="AG11" s="29">
        <v>1174</v>
      </c>
      <c r="AH11" s="48" t="s">
        <v>9</v>
      </c>
      <c r="AI11" s="29">
        <v>590</v>
      </c>
      <c r="AJ11" s="29">
        <v>1178</v>
      </c>
      <c r="AK11" s="48" t="s">
        <v>9</v>
      </c>
      <c r="AL11" s="29">
        <v>600</v>
      </c>
      <c r="AM11" s="29">
        <v>1177</v>
      </c>
      <c r="AN11" s="48" t="s">
        <v>9</v>
      </c>
      <c r="AO11" s="29">
        <v>600</v>
      </c>
      <c r="AP11" s="29">
        <v>1180</v>
      </c>
      <c r="AQ11" s="48" t="s">
        <v>9</v>
      </c>
      <c r="AR11" s="29">
        <v>600</v>
      </c>
      <c r="AS11" s="29">
        <v>1171</v>
      </c>
    </row>
    <row r="12" spans="1:45" ht="15.5">
      <c r="A12" s="24">
        <v>8</v>
      </c>
      <c r="B12" s="19" t="s">
        <v>41</v>
      </c>
      <c r="C12" s="19" t="s">
        <v>42</v>
      </c>
      <c r="D12" s="11">
        <v>634</v>
      </c>
      <c r="E12" s="9">
        <v>768</v>
      </c>
      <c r="F12" s="9">
        <v>612</v>
      </c>
      <c r="G12" s="9">
        <v>661.07563863751625</v>
      </c>
      <c r="H12" s="9">
        <v>568</v>
      </c>
      <c r="I12" s="1"/>
      <c r="J12" s="21">
        <v>8</v>
      </c>
      <c r="K12" s="27" t="s">
        <v>42</v>
      </c>
      <c r="L12" s="27" t="s">
        <v>34</v>
      </c>
      <c r="M12" s="27" t="s">
        <v>62</v>
      </c>
      <c r="N12" s="9">
        <v>36.909166982887243</v>
      </c>
      <c r="O12" s="9">
        <v>27.91079230851156</v>
      </c>
      <c r="P12" s="9">
        <v>34.373550117510625</v>
      </c>
      <c r="Q12" s="9">
        <v>38.471103199023183</v>
      </c>
      <c r="R12" s="9">
        <v>35.636575267556381</v>
      </c>
      <c r="S12" s="1"/>
      <c r="T12" s="23">
        <v>8</v>
      </c>
      <c r="U12" s="28"/>
      <c r="V12" s="28"/>
      <c r="W12" s="28"/>
      <c r="X12" s="28"/>
      <c r="Y12" s="11"/>
      <c r="Z12" s="9"/>
      <c r="AA12" s="9"/>
      <c r="AB12" s="9"/>
      <c r="AC12" s="9"/>
      <c r="AD12" s="1"/>
      <c r="AE12" s="48" t="s">
        <v>10</v>
      </c>
      <c r="AF12" s="29">
        <f>AF11+(AF11-AF10)</f>
        <v>684</v>
      </c>
      <c r="AG12" s="29">
        <f>AG10</f>
        <v>1151</v>
      </c>
      <c r="AH12" s="48" t="s">
        <v>10</v>
      </c>
      <c r="AI12" s="29">
        <f>AI11+(AI11-AI10)</f>
        <v>702</v>
      </c>
      <c r="AJ12" s="29">
        <f>AJ10</f>
        <v>1172</v>
      </c>
      <c r="AK12" s="48" t="s">
        <v>10</v>
      </c>
      <c r="AL12" s="29">
        <f t="shared" ref="AL12" si="6">AL11+(AL11-AL10)</f>
        <v>686</v>
      </c>
      <c r="AM12" s="29">
        <f t="shared" ref="AM12" si="7">AM10</f>
        <v>1157</v>
      </c>
      <c r="AN12" s="48" t="s">
        <v>10</v>
      </c>
      <c r="AO12" s="29">
        <f t="shared" ref="AO12" si="8">AO11+(AO11-AO10)</f>
        <v>681</v>
      </c>
      <c r="AP12" s="29">
        <f t="shared" ref="AP12" si="9">AP10</f>
        <v>1169</v>
      </c>
      <c r="AQ12" s="48" t="s">
        <v>10</v>
      </c>
      <c r="AR12" s="29">
        <f t="shared" ref="AR12" si="10">AR11+(AR11-AR10)</f>
        <v>704</v>
      </c>
      <c r="AS12" s="29">
        <f t="shared" ref="AS12" si="11">AS10</f>
        <v>1159</v>
      </c>
    </row>
    <row r="13" spans="1:45" ht="15.5">
      <c r="A13" s="24">
        <v>9</v>
      </c>
      <c r="B13" s="19" t="s">
        <v>43</v>
      </c>
      <c r="C13" s="19" t="s">
        <v>44</v>
      </c>
      <c r="D13" s="11">
        <v>752</v>
      </c>
      <c r="E13" s="9">
        <v>882</v>
      </c>
      <c r="F13" s="9">
        <v>678</v>
      </c>
      <c r="G13" s="9">
        <v>780</v>
      </c>
      <c r="H13" s="9">
        <v>694</v>
      </c>
      <c r="I13" s="1"/>
      <c r="J13" s="21">
        <v>9</v>
      </c>
      <c r="K13" s="27" t="s">
        <v>43</v>
      </c>
      <c r="L13" s="27" t="s">
        <v>41</v>
      </c>
      <c r="M13" s="27" t="s">
        <v>34</v>
      </c>
      <c r="N13" s="9">
        <v>142.00930744120791</v>
      </c>
      <c r="O13" s="9">
        <v>132.65352212863598</v>
      </c>
      <c r="P13" s="9">
        <v>133.26603135748951</v>
      </c>
      <c r="Q13" s="9">
        <v>127.61208792073226</v>
      </c>
      <c r="R13" s="9">
        <v>138.02397121721538</v>
      </c>
      <c r="S13" s="1"/>
      <c r="T13" s="23">
        <v>9</v>
      </c>
      <c r="U13" s="28"/>
      <c r="V13" s="28"/>
      <c r="W13" s="28"/>
      <c r="X13" s="28"/>
      <c r="Y13" s="11"/>
      <c r="Z13" s="9"/>
      <c r="AA13" s="9"/>
      <c r="AB13" s="9"/>
      <c r="AC13" s="9"/>
      <c r="AD13" s="1"/>
      <c r="AE13" s="48" t="s">
        <v>11</v>
      </c>
      <c r="AF13" s="29">
        <v>283</v>
      </c>
      <c r="AG13" s="29">
        <v>941</v>
      </c>
      <c r="AH13" s="48" t="s">
        <v>11</v>
      </c>
      <c r="AI13" s="29">
        <v>216</v>
      </c>
      <c r="AJ13" s="29">
        <v>971</v>
      </c>
      <c r="AK13" s="48" t="s">
        <v>11</v>
      </c>
      <c r="AL13" s="29">
        <v>294</v>
      </c>
      <c r="AM13" s="29">
        <v>970</v>
      </c>
      <c r="AN13" s="48" t="s">
        <v>11</v>
      </c>
      <c r="AO13" s="29">
        <v>236</v>
      </c>
      <c r="AP13" s="29">
        <v>954</v>
      </c>
      <c r="AQ13" s="48" t="s">
        <v>11</v>
      </c>
      <c r="AR13" s="29">
        <v>316</v>
      </c>
      <c r="AS13" s="29">
        <v>974</v>
      </c>
    </row>
    <row r="14" spans="1:45" ht="15.5">
      <c r="A14" s="24">
        <v>10</v>
      </c>
      <c r="B14" s="19" t="s">
        <v>45</v>
      </c>
      <c r="C14" s="19" t="s">
        <v>43</v>
      </c>
      <c r="D14" s="11">
        <v>42.579337712087536</v>
      </c>
      <c r="E14" s="9">
        <v>87.823687009826685</v>
      </c>
      <c r="F14" s="9">
        <v>66</v>
      </c>
      <c r="G14" s="9">
        <v>117.00427342623003</v>
      </c>
      <c r="H14" s="9">
        <v>75.026661927610775</v>
      </c>
      <c r="I14" s="1"/>
      <c r="J14" s="21">
        <v>10</v>
      </c>
      <c r="K14" s="27" t="s">
        <v>44</v>
      </c>
      <c r="L14" s="27" t="s">
        <v>32</v>
      </c>
      <c r="M14" s="27" t="s">
        <v>62</v>
      </c>
      <c r="N14" s="9">
        <v>46.068791522966784</v>
      </c>
      <c r="O14" s="9">
        <v>40.099511896090931</v>
      </c>
      <c r="P14" s="9">
        <v>39.447456706479592</v>
      </c>
      <c r="Q14" s="9">
        <v>50.899278950759324</v>
      </c>
      <c r="R14" s="9">
        <v>45.920410391164488</v>
      </c>
      <c r="S14" s="1"/>
      <c r="T14" s="23">
        <v>10</v>
      </c>
      <c r="U14" s="28"/>
      <c r="V14" s="28"/>
      <c r="W14" s="28"/>
      <c r="X14" s="28"/>
      <c r="Y14" s="11"/>
      <c r="Z14" s="9"/>
      <c r="AA14" s="9"/>
      <c r="AB14" s="9"/>
      <c r="AC14" s="9"/>
      <c r="AD14" s="1"/>
      <c r="AE14" s="48" t="s">
        <v>12</v>
      </c>
      <c r="AF14" s="29">
        <f>600+(600-AF13)</f>
        <v>917</v>
      </c>
      <c r="AG14" s="29">
        <f>AG13</f>
        <v>941</v>
      </c>
      <c r="AH14" s="48" t="s">
        <v>12</v>
      </c>
      <c r="AI14" s="29">
        <f>600+(600-AI13)</f>
        <v>984</v>
      </c>
      <c r="AJ14" s="29">
        <f>AJ13</f>
        <v>971</v>
      </c>
      <c r="AK14" s="48" t="s">
        <v>12</v>
      </c>
      <c r="AL14" s="29">
        <f t="shared" ref="AL14" si="12">600+(600-AL13)</f>
        <v>906</v>
      </c>
      <c r="AM14" s="29">
        <f t="shared" ref="AM14" si="13">AM13</f>
        <v>970</v>
      </c>
      <c r="AN14" s="48" t="s">
        <v>12</v>
      </c>
      <c r="AO14" s="29">
        <v>897</v>
      </c>
      <c r="AP14" s="29">
        <v>944</v>
      </c>
      <c r="AQ14" s="48" t="s">
        <v>12</v>
      </c>
      <c r="AR14" s="29">
        <f t="shared" ref="AR14" si="14">600+(600-AR13)</f>
        <v>884</v>
      </c>
      <c r="AS14" s="29">
        <f t="shared" ref="AS14" si="15">AS13</f>
        <v>974</v>
      </c>
    </row>
    <row r="15" spans="1:45" ht="15.5">
      <c r="A15" s="24">
        <v>11</v>
      </c>
      <c r="B15" s="19" t="s">
        <v>46</v>
      </c>
      <c r="C15" s="19" t="s">
        <v>47</v>
      </c>
      <c r="D15" s="11">
        <v>660</v>
      </c>
      <c r="E15" s="9">
        <v>796</v>
      </c>
      <c r="F15" s="9">
        <v>640</v>
      </c>
      <c r="G15" s="9">
        <v>780</v>
      </c>
      <c r="H15" s="9">
        <v>626</v>
      </c>
      <c r="I15" s="1"/>
      <c r="J15" s="21">
        <v>11</v>
      </c>
      <c r="K15" s="27" t="s">
        <v>44</v>
      </c>
      <c r="L15" s="27" t="s">
        <v>33</v>
      </c>
      <c r="M15" s="27" t="s">
        <v>62</v>
      </c>
      <c r="N15" s="9">
        <v>51.062126455753685</v>
      </c>
      <c r="O15" s="9">
        <v>46.475329416399966</v>
      </c>
      <c r="P15" s="9">
        <v>48.916308002915507</v>
      </c>
      <c r="Q15" s="9">
        <v>53.789604792003871</v>
      </c>
      <c r="R15" s="9">
        <v>54.616794500945112</v>
      </c>
      <c r="S15" s="1"/>
      <c r="T15" s="23">
        <v>11</v>
      </c>
      <c r="U15" s="28"/>
      <c r="V15" s="28"/>
      <c r="W15" s="28"/>
      <c r="X15" s="28"/>
      <c r="Y15" s="11"/>
      <c r="Z15" s="9"/>
      <c r="AA15" s="9"/>
      <c r="AB15" s="9"/>
      <c r="AC15" s="9"/>
      <c r="AD15" s="1"/>
      <c r="AE15" s="48" t="s">
        <v>13</v>
      </c>
      <c r="AF15" s="29">
        <v>224</v>
      </c>
      <c r="AG15" s="29">
        <v>731</v>
      </c>
      <c r="AH15" s="48" t="s">
        <v>13</v>
      </c>
      <c r="AI15" s="29">
        <v>159</v>
      </c>
      <c r="AJ15" s="29">
        <v>737</v>
      </c>
      <c r="AK15" s="48" t="s">
        <v>13</v>
      </c>
      <c r="AL15" s="29">
        <v>261</v>
      </c>
      <c r="AM15" s="29">
        <v>766</v>
      </c>
      <c r="AN15" s="48" t="s">
        <v>13</v>
      </c>
      <c r="AO15" s="29">
        <v>210</v>
      </c>
      <c r="AP15" s="29">
        <v>697</v>
      </c>
      <c r="AQ15" s="48" t="s">
        <v>13</v>
      </c>
      <c r="AR15" s="29">
        <v>253</v>
      </c>
      <c r="AS15" s="29">
        <v>707</v>
      </c>
    </row>
    <row r="16" spans="1:45" ht="15.5">
      <c r="A16" s="24">
        <v>12</v>
      </c>
      <c r="B16" s="19" t="s">
        <v>48</v>
      </c>
      <c r="C16" s="19" t="s">
        <v>31</v>
      </c>
      <c r="D16" s="11">
        <v>384.13018626502134</v>
      </c>
      <c r="E16" s="9">
        <v>322.30730677414061</v>
      </c>
      <c r="F16" s="9">
        <v>338</v>
      </c>
      <c r="G16" s="9">
        <v>326.22078413246447</v>
      </c>
      <c r="H16" s="9">
        <v>447</v>
      </c>
      <c r="I16" s="1"/>
      <c r="J16" s="21">
        <v>12</v>
      </c>
      <c r="K16" s="27" t="s">
        <v>47</v>
      </c>
      <c r="L16" s="27" t="s">
        <v>30</v>
      </c>
      <c r="M16" s="27" t="s">
        <v>62</v>
      </c>
      <c r="N16" s="9">
        <v>99.098335356922846</v>
      </c>
      <c r="O16" s="9">
        <v>91.774065021343688</v>
      </c>
      <c r="P16" s="9">
        <v>103.21604383847134</v>
      </c>
      <c r="Q16" s="9">
        <v>95.948179912902361</v>
      </c>
      <c r="R16" s="9">
        <v>99.268542848466183</v>
      </c>
      <c r="S16" s="1"/>
      <c r="T16" s="23">
        <v>12</v>
      </c>
      <c r="U16" s="28"/>
      <c r="V16" s="28"/>
      <c r="W16" s="28"/>
      <c r="X16" s="28"/>
      <c r="Y16" s="11"/>
      <c r="Z16" s="9"/>
      <c r="AA16" s="9"/>
      <c r="AB16" s="9"/>
      <c r="AC16" s="9"/>
      <c r="AD16" s="1"/>
      <c r="AE16" s="48" t="s">
        <v>14</v>
      </c>
      <c r="AF16" s="29">
        <f>600+(600-AF15)</f>
        <v>976</v>
      </c>
      <c r="AG16" s="29">
        <f>AG15</f>
        <v>731</v>
      </c>
      <c r="AH16" s="48" t="s">
        <v>14</v>
      </c>
      <c r="AI16" s="29">
        <f>600+(600-AI15)</f>
        <v>1041</v>
      </c>
      <c r="AJ16" s="29">
        <f>AJ15</f>
        <v>737</v>
      </c>
      <c r="AK16" s="48" t="s">
        <v>14</v>
      </c>
      <c r="AL16" s="29">
        <f t="shared" ref="AL16" si="16">600+(600-AL15)</f>
        <v>939</v>
      </c>
      <c r="AM16" s="29">
        <f t="shared" ref="AM16" si="17">AM15</f>
        <v>766</v>
      </c>
      <c r="AN16" s="48" t="s">
        <v>14</v>
      </c>
      <c r="AO16" s="29">
        <f t="shared" ref="AO16" si="18">600+(600-AO15)</f>
        <v>990</v>
      </c>
      <c r="AP16" s="29">
        <f t="shared" ref="AP16" si="19">AP15</f>
        <v>697</v>
      </c>
      <c r="AQ16" s="48" t="s">
        <v>14</v>
      </c>
      <c r="AR16" s="29">
        <f t="shared" ref="AR16" si="20">600+(600-AR15)</f>
        <v>947</v>
      </c>
      <c r="AS16" s="29">
        <f t="shared" ref="AS16" si="21">AS15</f>
        <v>707</v>
      </c>
    </row>
    <row r="17" spans="1:45" ht="15.5">
      <c r="A17" s="24">
        <v>13</v>
      </c>
      <c r="B17" s="19" t="s">
        <v>49</v>
      </c>
      <c r="C17" s="19" t="s">
        <v>37</v>
      </c>
      <c r="D17" s="11">
        <v>697.07173232028276</v>
      </c>
      <c r="E17" s="9">
        <v>595.7063034751269</v>
      </c>
      <c r="F17" s="9">
        <v>648</v>
      </c>
      <c r="G17" s="9">
        <v>653.11025102964049</v>
      </c>
      <c r="H17" s="9">
        <v>755</v>
      </c>
      <c r="I17" s="1"/>
      <c r="J17" s="21">
        <v>13</v>
      </c>
      <c r="K17" s="27" t="s">
        <v>47</v>
      </c>
      <c r="L17" s="27" t="s">
        <v>48</v>
      </c>
      <c r="M17" s="27" t="s">
        <v>62</v>
      </c>
      <c r="N17" s="9">
        <v>63.053844837825039</v>
      </c>
      <c r="O17" s="9">
        <v>64.30692157017954</v>
      </c>
      <c r="P17" s="9">
        <v>76.81865194491138</v>
      </c>
      <c r="Q17" s="9">
        <v>72.450184423960309</v>
      </c>
      <c r="R17" s="9">
        <v>46.570894288075102</v>
      </c>
      <c r="S17" s="1"/>
      <c r="T17" s="23">
        <v>13</v>
      </c>
      <c r="U17" s="28"/>
      <c r="V17" s="28"/>
      <c r="W17" s="28"/>
      <c r="X17" s="28"/>
      <c r="Y17" s="11"/>
      <c r="Z17" s="9"/>
      <c r="AA17" s="9"/>
      <c r="AB17" s="9"/>
      <c r="AC17" s="9"/>
      <c r="AD17" s="1"/>
      <c r="AE17" s="48" t="s">
        <v>15</v>
      </c>
      <c r="AF17" s="29">
        <v>182</v>
      </c>
      <c r="AG17" s="29">
        <v>724</v>
      </c>
      <c r="AH17" s="48" t="s">
        <v>15</v>
      </c>
      <c r="AI17" s="29">
        <v>72</v>
      </c>
      <c r="AJ17" s="29">
        <v>749</v>
      </c>
      <c r="AK17" s="48" t="s">
        <v>15</v>
      </c>
      <c r="AL17" s="29">
        <v>195</v>
      </c>
      <c r="AM17" s="29">
        <v>766</v>
      </c>
      <c r="AN17" s="48" t="s">
        <v>15</v>
      </c>
      <c r="AO17" s="29">
        <v>93</v>
      </c>
      <c r="AP17" s="29">
        <v>698</v>
      </c>
      <c r="AQ17" s="48" t="s">
        <v>15</v>
      </c>
      <c r="AR17" s="29">
        <v>178</v>
      </c>
      <c r="AS17" s="29">
        <v>705</v>
      </c>
    </row>
    <row r="18" spans="1:45" ht="15.5">
      <c r="A18" s="24">
        <v>14</v>
      </c>
      <c r="B18" s="19" t="s">
        <v>49</v>
      </c>
      <c r="C18" s="19" t="s">
        <v>33</v>
      </c>
      <c r="D18" s="11">
        <v>790.06328860414726</v>
      </c>
      <c r="E18" s="9">
        <v>729.57658953669829</v>
      </c>
      <c r="F18" s="9">
        <v>769</v>
      </c>
      <c r="G18" s="9">
        <v>722.09971610574667</v>
      </c>
      <c r="H18" s="9">
        <v>876</v>
      </c>
      <c r="I18" s="1"/>
      <c r="J18" s="21">
        <v>14</v>
      </c>
      <c r="K18" s="44" t="s">
        <v>48</v>
      </c>
      <c r="L18" s="44" t="s">
        <v>78</v>
      </c>
      <c r="M18" s="44" t="s">
        <v>79</v>
      </c>
      <c r="N18" s="11">
        <v>65.686993168324577</v>
      </c>
      <c r="O18" s="9">
        <v>38.407622928493069</v>
      </c>
      <c r="P18" s="9">
        <v>44.561048370199089</v>
      </c>
      <c r="Q18" s="9">
        <v>44.073962171970592</v>
      </c>
      <c r="R18" s="9">
        <v>63.81239424356702</v>
      </c>
      <c r="S18" s="1"/>
      <c r="T18" s="23">
        <v>14</v>
      </c>
      <c r="U18" s="28"/>
      <c r="V18" s="28"/>
      <c r="W18" s="28"/>
      <c r="X18" s="28"/>
      <c r="Y18" s="11"/>
      <c r="Z18" s="9"/>
      <c r="AA18" s="9"/>
      <c r="AB18" s="9"/>
      <c r="AC18" s="9"/>
      <c r="AD18" s="1"/>
      <c r="AE18" s="48" t="s">
        <v>16</v>
      </c>
      <c r="AF18" s="29">
        <f>600+(600-AF17)</f>
        <v>1018</v>
      </c>
      <c r="AG18" s="29">
        <f>AG17</f>
        <v>724</v>
      </c>
      <c r="AH18" s="48" t="s">
        <v>16</v>
      </c>
      <c r="AI18" s="29">
        <f>600+(600-AI17)</f>
        <v>1128</v>
      </c>
      <c r="AJ18" s="29">
        <f>AJ17</f>
        <v>749</v>
      </c>
      <c r="AK18" s="48" t="s">
        <v>16</v>
      </c>
      <c r="AL18" s="29">
        <f t="shared" ref="AL18" si="22">600+(600-AL17)</f>
        <v>1005</v>
      </c>
      <c r="AM18" s="29">
        <f t="shared" ref="AM18" si="23">AM17</f>
        <v>766</v>
      </c>
      <c r="AN18" s="48" t="s">
        <v>16</v>
      </c>
      <c r="AO18" s="29">
        <f>600+(600-AO17)</f>
        <v>1107</v>
      </c>
      <c r="AP18" s="29">
        <f t="shared" ref="AP18" si="24">AP17</f>
        <v>698</v>
      </c>
      <c r="AQ18" s="48" t="s">
        <v>16</v>
      </c>
      <c r="AR18" s="29">
        <f t="shared" ref="AR18" si="25">600+(600-AR17)</f>
        <v>1022</v>
      </c>
      <c r="AS18" s="29">
        <f t="shared" ref="AS18" si="26">AS17</f>
        <v>705</v>
      </c>
    </row>
    <row r="19" spans="1:45" ht="15.5">
      <c r="A19" s="24">
        <v>15</v>
      </c>
      <c r="B19" s="19" t="s">
        <v>48</v>
      </c>
      <c r="C19" s="19" t="s">
        <v>34</v>
      </c>
      <c r="D19" s="11">
        <v>1038.0481684392107</v>
      </c>
      <c r="E19" s="9">
        <v>994.18157295335141</v>
      </c>
      <c r="F19" s="9">
        <v>1020</v>
      </c>
      <c r="G19" s="9">
        <v>986.07301960858865</v>
      </c>
      <c r="H19" s="9">
        <v>1152</v>
      </c>
      <c r="I19" s="1"/>
      <c r="J19" s="21">
        <v>15</v>
      </c>
      <c r="K19" s="44" t="s">
        <v>80</v>
      </c>
      <c r="L19" s="44" t="s">
        <v>78</v>
      </c>
      <c r="M19" s="44" t="s">
        <v>79</v>
      </c>
      <c r="N19" s="11">
        <v>23.413304162230826</v>
      </c>
      <c r="O19" s="9">
        <v>14.937336600396666</v>
      </c>
      <c r="P19" s="9">
        <v>14.482935978938414</v>
      </c>
      <c r="Q19" s="9">
        <v>20.637484573568102</v>
      </c>
      <c r="R19" s="9">
        <v>21.895878946520895</v>
      </c>
      <c r="S19" s="1"/>
      <c r="T19" s="23">
        <v>15</v>
      </c>
      <c r="U19" s="28"/>
      <c r="V19" s="28"/>
      <c r="W19" s="28"/>
      <c r="X19" s="28"/>
      <c r="Y19" s="11"/>
      <c r="Z19" s="9"/>
      <c r="AA19" s="9"/>
      <c r="AB19" s="9"/>
      <c r="AC19" s="9"/>
      <c r="AD19" s="1"/>
      <c r="AE19" s="48" t="s">
        <v>17</v>
      </c>
      <c r="AF19" s="29">
        <v>270</v>
      </c>
      <c r="AG19" s="29">
        <v>121</v>
      </c>
      <c r="AH19" s="48" t="s">
        <v>17</v>
      </c>
      <c r="AI19" s="29">
        <v>202</v>
      </c>
      <c r="AJ19" s="29">
        <v>141</v>
      </c>
      <c r="AK19" s="48" t="s">
        <v>17</v>
      </c>
      <c r="AL19" s="29">
        <v>280</v>
      </c>
      <c r="AM19" s="29">
        <v>63</v>
      </c>
      <c r="AN19" s="48" t="s">
        <v>17</v>
      </c>
      <c r="AO19" s="29">
        <v>210</v>
      </c>
      <c r="AP19" s="29">
        <v>98</v>
      </c>
      <c r="AQ19" s="48" t="s">
        <v>17</v>
      </c>
      <c r="AR19" s="29">
        <v>287</v>
      </c>
      <c r="AS19" s="29">
        <v>114</v>
      </c>
    </row>
    <row r="20" spans="1:45" ht="15.5">
      <c r="A20" s="24">
        <v>16</v>
      </c>
      <c r="B20" s="19" t="s">
        <v>50</v>
      </c>
      <c r="C20" s="19" t="s">
        <v>51</v>
      </c>
      <c r="D20" s="11">
        <v>46.043457732885351</v>
      </c>
      <c r="E20" s="9">
        <v>45.880278987817846</v>
      </c>
      <c r="F20" s="9">
        <v>70.611613775638915</v>
      </c>
      <c r="G20" s="9">
        <v>65.276335681470357</v>
      </c>
      <c r="H20" s="9">
        <v>33.837848631377263</v>
      </c>
      <c r="I20" s="3"/>
      <c r="J20" s="21">
        <v>16</v>
      </c>
      <c r="K20" s="44" t="s">
        <v>48</v>
      </c>
      <c r="L20" s="44" t="s">
        <v>81</v>
      </c>
      <c r="M20" s="44" t="s">
        <v>79</v>
      </c>
      <c r="N20" s="11">
        <v>105.86104442780001</v>
      </c>
      <c r="O20" s="9">
        <v>96.744124755326396</v>
      </c>
      <c r="P20" s="9">
        <v>105.41234841188516</v>
      </c>
      <c r="Q20" s="9">
        <v>111.82109555242734</v>
      </c>
      <c r="R20" s="9">
        <v>108.81249645222597</v>
      </c>
      <c r="S20" s="1"/>
      <c r="T20" s="23">
        <v>16</v>
      </c>
      <c r="U20" s="28"/>
      <c r="V20" s="28"/>
      <c r="W20" s="28"/>
      <c r="X20" s="28"/>
      <c r="Y20" s="11"/>
      <c r="Z20" s="9"/>
      <c r="AA20" s="9"/>
      <c r="AB20" s="9"/>
      <c r="AC20" s="9"/>
      <c r="AD20" s="1"/>
      <c r="AE20" s="48" t="s">
        <v>18</v>
      </c>
      <c r="AF20" s="29">
        <v>590</v>
      </c>
      <c r="AG20" s="29">
        <v>136</v>
      </c>
      <c r="AH20" s="48" t="s">
        <v>18</v>
      </c>
      <c r="AI20" s="29">
        <v>571</v>
      </c>
      <c r="AJ20" s="29">
        <v>184</v>
      </c>
      <c r="AK20" s="48" t="s">
        <v>18</v>
      </c>
      <c r="AL20" s="29">
        <v>600</v>
      </c>
      <c r="AM20" s="29">
        <v>157</v>
      </c>
      <c r="AN20" s="48" t="s">
        <v>18</v>
      </c>
      <c r="AO20" s="29">
        <v>588</v>
      </c>
      <c r="AP20" s="29">
        <v>194</v>
      </c>
      <c r="AQ20" s="48" t="s">
        <v>18</v>
      </c>
      <c r="AR20" s="29">
        <v>600</v>
      </c>
      <c r="AS20" s="29">
        <v>19</v>
      </c>
    </row>
    <row r="21" spans="1:45" ht="15.5">
      <c r="A21" s="24">
        <v>17</v>
      </c>
      <c r="B21" s="19" t="s">
        <v>65</v>
      </c>
      <c r="C21" s="19" t="s">
        <v>66</v>
      </c>
      <c r="D21" s="11">
        <v>248</v>
      </c>
      <c r="E21" s="9">
        <v>265.18861212352238</v>
      </c>
      <c r="F21" s="9">
        <v>251</v>
      </c>
      <c r="G21" s="9">
        <v>264</v>
      </c>
      <c r="H21" s="9">
        <v>276</v>
      </c>
      <c r="I21" s="3"/>
      <c r="J21" s="21">
        <v>17</v>
      </c>
      <c r="K21" s="44" t="s">
        <v>80</v>
      </c>
      <c r="L21" s="44" t="s">
        <v>81</v>
      </c>
      <c r="M21" s="44" t="s">
        <v>79</v>
      </c>
      <c r="N21" s="11">
        <v>28.386995489423693</v>
      </c>
      <c r="O21" s="9">
        <v>21.19949842265552</v>
      </c>
      <c r="P21" s="9">
        <v>20.521627951691976</v>
      </c>
      <c r="Q21" s="9">
        <v>31.500524098560682</v>
      </c>
      <c r="R21" s="9">
        <v>23.522559886833481</v>
      </c>
      <c r="S21" s="1"/>
      <c r="T21" s="23">
        <v>17</v>
      </c>
      <c r="U21" s="28"/>
      <c r="V21" s="28"/>
      <c r="W21" s="28"/>
      <c r="X21" s="28"/>
      <c r="Y21" s="11"/>
      <c r="Z21" s="9"/>
      <c r="AA21" s="9"/>
      <c r="AB21" s="9"/>
      <c r="AC21" s="9"/>
      <c r="AD21" s="1"/>
      <c r="AE21" s="48" t="s">
        <v>19</v>
      </c>
      <c r="AF21" s="29">
        <f>600+(600-AF19)</f>
        <v>930</v>
      </c>
      <c r="AG21" s="29">
        <f>AG19</f>
        <v>121</v>
      </c>
      <c r="AH21" s="48" t="s">
        <v>19</v>
      </c>
      <c r="AI21" s="29">
        <f>600+(600-AI19)</f>
        <v>998</v>
      </c>
      <c r="AJ21" s="29">
        <f>AJ19</f>
        <v>141</v>
      </c>
      <c r="AK21" s="48" t="s">
        <v>19</v>
      </c>
      <c r="AL21" s="29">
        <f t="shared" ref="AL21" si="27">600+(600-AL19)</f>
        <v>920</v>
      </c>
      <c r="AM21" s="29">
        <f t="shared" ref="AM21" si="28">AM19</f>
        <v>63</v>
      </c>
      <c r="AN21" s="48" t="s">
        <v>19</v>
      </c>
      <c r="AO21" s="29">
        <f t="shared" ref="AO21" si="29">600+(600-AO19)</f>
        <v>990</v>
      </c>
      <c r="AP21" s="29">
        <f t="shared" ref="AP21" si="30">AP19</f>
        <v>98</v>
      </c>
      <c r="AQ21" s="48" t="s">
        <v>19</v>
      </c>
      <c r="AR21" s="29">
        <f t="shared" ref="AR21" si="31">600+(600-AR19)</f>
        <v>913</v>
      </c>
      <c r="AS21" s="29">
        <f t="shared" ref="AS21" si="32">AS19</f>
        <v>114</v>
      </c>
    </row>
    <row r="22" spans="1:45" ht="15.5">
      <c r="A22" s="24">
        <v>18</v>
      </c>
      <c r="B22" s="19" t="s">
        <v>76</v>
      </c>
      <c r="C22" s="19" t="s">
        <v>75</v>
      </c>
      <c r="D22" s="11">
        <v>46.097722286464439</v>
      </c>
      <c r="E22" s="9">
        <v>40.01249804748511</v>
      </c>
      <c r="F22" s="9">
        <v>33.734255586865999</v>
      </c>
      <c r="G22" s="9">
        <v>55</v>
      </c>
      <c r="H22" s="9">
        <v>40.311288741492746</v>
      </c>
      <c r="I22" s="3"/>
      <c r="J22" s="21">
        <v>18</v>
      </c>
      <c r="K22" s="27"/>
      <c r="L22" s="27"/>
      <c r="M22" s="27"/>
      <c r="N22" s="11"/>
      <c r="O22" s="9"/>
      <c r="P22" s="9"/>
      <c r="Q22" s="9"/>
      <c r="R22" s="9"/>
      <c r="S22" s="1"/>
      <c r="T22" s="23">
        <v>18</v>
      </c>
      <c r="U22" s="28"/>
      <c r="V22" s="28"/>
      <c r="W22" s="28"/>
      <c r="X22" s="28"/>
      <c r="Y22" s="11"/>
      <c r="Z22" s="9"/>
      <c r="AA22" s="9"/>
      <c r="AB22" s="9"/>
      <c r="AC22" s="9"/>
      <c r="AD22" s="1"/>
      <c r="AE22" s="48" t="s">
        <v>20</v>
      </c>
      <c r="AF22" s="29">
        <v>364</v>
      </c>
      <c r="AG22" s="29">
        <v>578</v>
      </c>
      <c r="AH22" s="48" t="s">
        <v>20</v>
      </c>
      <c r="AI22" s="29">
        <v>327</v>
      </c>
      <c r="AJ22" s="29">
        <v>600</v>
      </c>
      <c r="AK22" s="48" t="s">
        <v>20</v>
      </c>
      <c r="AL22" s="29">
        <v>345</v>
      </c>
      <c r="AM22" s="29">
        <v>567</v>
      </c>
      <c r="AN22" s="49" t="s">
        <v>20</v>
      </c>
      <c r="AO22" s="30">
        <v>366</v>
      </c>
      <c r="AP22" s="30">
        <v>579</v>
      </c>
      <c r="AQ22" s="48" t="s">
        <v>20</v>
      </c>
      <c r="AR22" s="29">
        <v>371</v>
      </c>
      <c r="AS22" s="29">
        <v>561</v>
      </c>
    </row>
    <row r="23" spans="1:45" ht="15.5">
      <c r="A23" s="24">
        <v>19</v>
      </c>
      <c r="B23" s="19" t="s">
        <v>73</v>
      </c>
      <c r="C23" s="19" t="s">
        <v>74</v>
      </c>
      <c r="D23" s="11">
        <v>201.06217943710845</v>
      </c>
      <c r="E23" s="9">
        <v>238.6063704095094</v>
      </c>
      <c r="F23" s="9">
        <v>213.03755537463343</v>
      </c>
      <c r="G23" s="9">
        <v>240.01041644062033</v>
      </c>
      <c r="H23" s="9">
        <v>199.16073910286636</v>
      </c>
      <c r="I23" s="3"/>
      <c r="J23" s="21">
        <v>19</v>
      </c>
      <c r="K23" s="27"/>
      <c r="L23" s="27"/>
      <c r="M23" s="27"/>
      <c r="N23" s="11"/>
      <c r="O23" s="9"/>
      <c r="P23" s="9"/>
      <c r="Q23" s="9"/>
      <c r="R23" s="9"/>
      <c r="S23" s="1"/>
      <c r="T23" s="23">
        <v>19</v>
      </c>
      <c r="U23" s="28"/>
      <c r="V23" s="28"/>
      <c r="W23" s="28"/>
      <c r="X23" s="28"/>
      <c r="Y23" s="11"/>
      <c r="Z23" s="9"/>
      <c r="AA23" s="9"/>
      <c r="AB23" s="9"/>
      <c r="AC23" s="9"/>
      <c r="AD23" s="1"/>
      <c r="AE23" s="48" t="s">
        <v>21</v>
      </c>
      <c r="AF23" s="29">
        <v>433</v>
      </c>
      <c r="AG23" s="29">
        <v>593</v>
      </c>
      <c r="AH23" s="49" t="s">
        <v>21</v>
      </c>
      <c r="AI23" s="30">
        <v>408</v>
      </c>
      <c r="AJ23" s="30">
        <v>600</v>
      </c>
      <c r="AK23" s="48" t="s">
        <v>21</v>
      </c>
      <c r="AL23" s="29">
        <v>430</v>
      </c>
      <c r="AM23" s="29">
        <v>583</v>
      </c>
      <c r="AN23" s="49" t="s">
        <v>21</v>
      </c>
      <c r="AO23" s="30">
        <v>434</v>
      </c>
      <c r="AP23" s="30">
        <v>600</v>
      </c>
      <c r="AQ23" s="48" t="s">
        <v>21</v>
      </c>
      <c r="AR23" s="29">
        <v>453</v>
      </c>
      <c r="AS23" s="29">
        <v>566</v>
      </c>
    </row>
    <row r="24" spans="1:45" ht="15.5">
      <c r="A24" s="24">
        <v>20</v>
      </c>
      <c r="B24" s="19"/>
      <c r="C24" s="19"/>
      <c r="D24" s="11"/>
      <c r="E24" s="9"/>
      <c r="F24" s="9"/>
      <c r="G24" s="9"/>
      <c r="H24" s="9"/>
      <c r="I24" s="3"/>
      <c r="J24" s="21">
        <v>20</v>
      </c>
      <c r="K24" s="27"/>
      <c r="L24" s="27"/>
      <c r="M24" s="27"/>
      <c r="N24" s="11"/>
      <c r="O24" s="9"/>
      <c r="P24" s="9"/>
      <c r="Q24" s="9"/>
      <c r="R24" s="9"/>
      <c r="S24" s="1"/>
      <c r="T24" s="23">
        <v>20</v>
      </c>
      <c r="U24" s="28"/>
      <c r="V24" s="28"/>
      <c r="W24" s="28"/>
      <c r="X24" s="28"/>
      <c r="Y24" s="11"/>
      <c r="Z24" s="9"/>
      <c r="AA24" s="9"/>
      <c r="AB24" s="9"/>
      <c r="AC24" s="9"/>
      <c r="AD24" s="1"/>
      <c r="AE24" s="48" t="s">
        <v>22</v>
      </c>
      <c r="AF24" s="29">
        <v>510</v>
      </c>
      <c r="AG24" s="29">
        <v>578</v>
      </c>
      <c r="AH24" s="49" t="s">
        <v>22</v>
      </c>
      <c r="AI24" s="30">
        <v>493</v>
      </c>
      <c r="AJ24" s="30">
        <v>584</v>
      </c>
      <c r="AK24" s="48" t="s">
        <v>22</v>
      </c>
      <c r="AL24" s="29">
        <v>496</v>
      </c>
      <c r="AM24" s="29">
        <v>561</v>
      </c>
      <c r="AN24" s="49" t="s">
        <v>22</v>
      </c>
      <c r="AO24" s="30">
        <v>520</v>
      </c>
      <c r="AP24" s="30">
        <v>592</v>
      </c>
      <c r="AQ24" s="48" t="s">
        <v>22</v>
      </c>
      <c r="AR24" s="29">
        <v>527</v>
      </c>
      <c r="AS24" s="29">
        <v>544</v>
      </c>
    </row>
    <row r="25" spans="1:45" ht="15.5">
      <c r="A25" s="24">
        <v>21</v>
      </c>
      <c r="B25" s="19"/>
      <c r="C25" s="19"/>
      <c r="D25" s="9"/>
      <c r="E25" s="9"/>
      <c r="F25" s="9"/>
      <c r="G25" s="9"/>
      <c r="H25" s="9"/>
      <c r="I25" s="3"/>
      <c r="J25" s="21">
        <v>21</v>
      </c>
      <c r="K25" s="27"/>
      <c r="L25" s="27"/>
      <c r="M25" s="27"/>
      <c r="N25" s="11"/>
      <c r="O25" s="9"/>
      <c r="P25" s="9"/>
      <c r="Q25" s="9"/>
      <c r="R25" s="9"/>
      <c r="S25" s="1"/>
      <c r="T25" s="23">
        <v>21</v>
      </c>
      <c r="U25" s="28"/>
      <c r="V25" s="28"/>
      <c r="W25" s="28"/>
      <c r="X25" s="28"/>
      <c r="Y25" s="11"/>
      <c r="Z25" s="9"/>
      <c r="AA25" s="9"/>
      <c r="AB25" s="9"/>
      <c r="AC25" s="9"/>
      <c r="AD25" s="1"/>
      <c r="AE25" s="48" t="s">
        <v>23</v>
      </c>
      <c r="AF25" s="29">
        <v>431</v>
      </c>
      <c r="AG25" s="29">
        <v>547</v>
      </c>
      <c r="AH25" s="49" t="s">
        <v>23</v>
      </c>
      <c r="AI25" s="30">
        <v>392</v>
      </c>
      <c r="AJ25" s="30">
        <v>557</v>
      </c>
      <c r="AK25" s="48" t="s">
        <v>23</v>
      </c>
      <c r="AL25" s="29">
        <v>415</v>
      </c>
      <c r="AM25" s="29">
        <v>514</v>
      </c>
      <c r="AN25" s="49" t="s">
        <v>23</v>
      </c>
      <c r="AO25" s="30">
        <v>428</v>
      </c>
      <c r="AP25" s="30">
        <v>535</v>
      </c>
      <c r="AQ25" s="48" t="s">
        <v>23</v>
      </c>
      <c r="AR25" s="29">
        <v>442</v>
      </c>
      <c r="AS25" s="29">
        <v>534</v>
      </c>
    </row>
    <row r="26" spans="1:45" ht="15.5">
      <c r="A26" s="24">
        <v>22</v>
      </c>
      <c r="B26" s="19"/>
      <c r="C26" s="19"/>
      <c r="D26" s="9"/>
      <c r="E26" s="9"/>
      <c r="F26" s="9"/>
      <c r="G26" s="9"/>
      <c r="H26" s="9"/>
      <c r="I26" s="3"/>
      <c r="J26" s="21">
        <v>22</v>
      </c>
      <c r="K26" s="27"/>
      <c r="L26" s="27"/>
      <c r="M26" s="27"/>
      <c r="N26" s="11"/>
      <c r="O26" s="9"/>
      <c r="P26" s="9"/>
      <c r="Q26" s="9"/>
      <c r="R26" s="9"/>
      <c r="S26" s="1"/>
      <c r="T26" s="23">
        <v>22</v>
      </c>
      <c r="U26" s="28"/>
      <c r="V26" s="28"/>
      <c r="W26" s="28"/>
      <c r="X26" s="28"/>
      <c r="Y26" s="11"/>
      <c r="Z26" s="9"/>
      <c r="AA26" s="9"/>
      <c r="AB26" s="9"/>
      <c r="AC26" s="9"/>
      <c r="AD26" s="1"/>
      <c r="AE26" s="48" t="s">
        <v>24</v>
      </c>
      <c r="AF26" s="31">
        <v>1180</v>
      </c>
      <c r="AG26" s="31">
        <v>1180</v>
      </c>
      <c r="AH26" s="49" t="s">
        <v>24</v>
      </c>
      <c r="AI26" s="30">
        <v>1180</v>
      </c>
      <c r="AJ26" s="30">
        <v>1180</v>
      </c>
      <c r="AK26" s="48" t="s">
        <v>24</v>
      </c>
      <c r="AL26" s="31">
        <v>1180</v>
      </c>
      <c r="AM26" s="31">
        <v>1180</v>
      </c>
      <c r="AN26" s="49" t="s">
        <v>24</v>
      </c>
      <c r="AO26" s="30">
        <v>1180</v>
      </c>
      <c r="AP26" s="30">
        <v>1180</v>
      </c>
      <c r="AQ26" s="32" t="s">
        <v>24</v>
      </c>
      <c r="AR26" s="31">
        <v>1180</v>
      </c>
      <c r="AS26" s="31">
        <v>1180</v>
      </c>
    </row>
    <row r="27" spans="1:45" ht="15.5">
      <c r="A27" s="24">
        <v>23</v>
      </c>
      <c r="B27" s="19"/>
      <c r="C27" s="19"/>
      <c r="D27" s="9"/>
      <c r="E27" s="9"/>
      <c r="F27" s="9"/>
      <c r="G27" s="9"/>
      <c r="H27" s="9"/>
      <c r="I27" s="1"/>
      <c r="J27" s="21">
        <v>23</v>
      </c>
      <c r="K27" s="27"/>
      <c r="L27" s="27"/>
      <c r="M27" s="27"/>
      <c r="N27" s="11"/>
      <c r="O27" s="9"/>
      <c r="P27" s="9"/>
      <c r="Q27" s="9"/>
      <c r="R27" s="9"/>
      <c r="S27" s="1"/>
      <c r="T27" s="23">
        <v>23</v>
      </c>
      <c r="U27" s="28"/>
      <c r="V27" s="28"/>
      <c r="W27" s="28"/>
      <c r="X27" s="28"/>
      <c r="Y27" s="11"/>
      <c r="Z27" s="9"/>
      <c r="AA27" s="9"/>
      <c r="AB27" s="9"/>
      <c r="AC27" s="9"/>
      <c r="AD27" s="1"/>
      <c r="AE27" s="46" t="s">
        <v>67</v>
      </c>
      <c r="AF27" s="8">
        <v>600</v>
      </c>
      <c r="AG27" s="37">
        <v>0</v>
      </c>
      <c r="AH27" s="46" t="s">
        <v>67</v>
      </c>
      <c r="AI27" s="9">
        <v>600</v>
      </c>
      <c r="AJ27" s="38">
        <v>0</v>
      </c>
      <c r="AK27" s="46" t="s">
        <v>67</v>
      </c>
      <c r="AL27" s="8">
        <v>600</v>
      </c>
      <c r="AM27" s="37">
        <v>0</v>
      </c>
      <c r="AN27" s="46" t="s">
        <v>67</v>
      </c>
      <c r="AO27" s="9">
        <v>600</v>
      </c>
      <c r="AP27" s="38">
        <v>0</v>
      </c>
      <c r="AQ27" s="46" t="s">
        <v>67</v>
      </c>
      <c r="AR27" s="8">
        <v>600</v>
      </c>
      <c r="AS27" s="37">
        <v>0</v>
      </c>
    </row>
    <row r="28" spans="1:45" ht="15.5">
      <c r="A28" s="24">
        <v>24</v>
      </c>
      <c r="B28" s="19"/>
      <c r="C28" s="19"/>
      <c r="D28" s="9"/>
      <c r="E28" s="12"/>
      <c r="F28" s="12"/>
      <c r="G28" s="12"/>
      <c r="H28" s="12"/>
      <c r="I28" s="7"/>
      <c r="J28" s="21">
        <v>24</v>
      </c>
      <c r="K28" s="27"/>
      <c r="L28" s="27"/>
      <c r="M28" s="27"/>
      <c r="N28" s="17"/>
      <c r="O28" s="12"/>
      <c r="P28" s="12"/>
      <c r="Q28" s="12"/>
      <c r="R28" s="12"/>
      <c r="S28" s="7"/>
      <c r="T28" s="23">
        <v>24</v>
      </c>
      <c r="U28" s="28"/>
      <c r="V28" s="28"/>
      <c r="W28" s="28"/>
      <c r="X28" s="28"/>
      <c r="Y28" s="17"/>
      <c r="Z28" s="12"/>
      <c r="AA28" s="12"/>
      <c r="AB28" s="12"/>
      <c r="AC28" s="12"/>
      <c r="AD28" s="7"/>
      <c r="AE28" s="46" t="s">
        <v>68</v>
      </c>
      <c r="AF28" s="8">
        <v>448</v>
      </c>
      <c r="AG28" s="37">
        <v>489</v>
      </c>
      <c r="AH28" s="46" t="s">
        <v>68</v>
      </c>
      <c r="AI28" s="8">
        <v>406</v>
      </c>
      <c r="AJ28" s="37">
        <v>463</v>
      </c>
      <c r="AK28" s="46" t="s">
        <v>68</v>
      </c>
      <c r="AL28" s="8">
        <v>419</v>
      </c>
      <c r="AM28" s="37">
        <v>447</v>
      </c>
      <c r="AN28" s="46" t="s">
        <v>68</v>
      </c>
      <c r="AO28" s="9">
        <v>421</v>
      </c>
      <c r="AP28" s="38">
        <v>463</v>
      </c>
      <c r="AQ28" s="46" t="s">
        <v>68</v>
      </c>
      <c r="AR28" s="8">
        <v>430</v>
      </c>
      <c r="AS28" s="37">
        <v>447</v>
      </c>
    </row>
    <row r="29" spans="1:45" ht="15.5">
      <c r="A29" s="24">
        <v>25</v>
      </c>
      <c r="B29" s="19"/>
      <c r="C29" s="19"/>
      <c r="D29" s="18"/>
      <c r="E29" s="13"/>
      <c r="F29" s="9"/>
      <c r="G29" s="9"/>
      <c r="H29" s="9"/>
      <c r="I29" s="1"/>
      <c r="J29" s="21">
        <v>25</v>
      </c>
      <c r="K29" s="27"/>
      <c r="L29" s="27"/>
      <c r="M29" s="27"/>
      <c r="N29" s="11"/>
      <c r="O29" s="9"/>
      <c r="P29" s="9"/>
      <c r="Q29" s="9"/>
      <c r="R29" s="9"/>
      <c r="S29" s="1"/>
      <c r="T29" s="23">
        <v>25</v>
      </c>
      <c r="U29" s="28"/>
      <c r="V29" s="28"/>
      <c r="W29" s="28"/>
      <c r="X29" s="28"/>
      <c r="Y29" s="11"/>
      <c r="Z29" s="9"/>
      <c r="AA29" s="9"/>
      <c r="AB29" s="9"/>
      <c r="AC29" s="9"/>
      <c r="AD29" s="1"/>
      <c r="AE29" s="46" t="s">
        <v>69</v>
      </c>
      <c r="AF29" s="8">
        <v>336</v>
      </c>
      <c r="AG29" s="37">
        <v>517</v>
      </c>
      <c r="AH29" s="46" t="s">
        <v>69</v>
      </c>
      <c r="AI29" s="8">
        <v>267</v>
      </c>
      <c r="AJ29" s="37">
        <v>528</v>
      </c>
      <c r="AK29" s="46" t="s">
        <v>69</v>
      </c>
      <c r="AL29" s="8">
        <v>294</v>
      </c>
      <c r="AM29" s="37">
        <v>485</v>
      </c>
      <c r="AN29" s="46" t="s">
        <v>69</v>
      </c>
      <c r="AO29" s="9">
        <v>278</v>
      </c>
      <c r="AP29" s="38">
        <v>525</v>
      </c>
      <c r="AQ29" s="46" t="s">
        <v>69</v>
      </c>
      <c r="AR29" s="8">
        <v>329</v>
      </c>
      <c r="AS29" s="37">
        <v>479</v>
      </c>
    </row>
    <row r="30" spans="1:45" ht="15.5">
      <c r="A30" s="24">
        <v>26</v>
      </c>
      <c r="B30" s="19"/>
      <c r="C30" s="19"/>
      <c r="D30" s="11"/>
      <c r="E30" s="9"/>
      <c r="F30" s="9"/>
      <c r="G30" s="9"/>
      <c r="H30" s="9"/>
      <c r="I30" s="1"/>
      <c r="J30" s="21">
        <v>26</v>
      </c>
      <c r="K30" s="27"/>
      <c r="L30" s="27"/>
      <c r="M30" s="27"/>
      <c r="N30" s="11"/>
      <c r="O30" s="9"/>
      <c r="P30" s="9"/>
      <c r="Q30" s="9"/>
      <c r="R30" s="9"/>
      <c r="S30" s="1"/>
      <c r="T30" s="23">
        <v>26</v>
      </c>
      <c r="U30" s="28"/>
      <c r="V30" s="28"/>
      <c r="W30" s="28"/>
      <c r="X30" s="28"/>
      <c r="Y30" s="11"/>
      <c r="Z30" s="9"/>
      <c r="AA30" s="9"/>
      <c r="AB30" s="9"/>
      <c r="AC30" s="9"/>
      <c r="AD30" s="1"/>
      <c r="AE30" s="46" t="s">
        <v>70</v>
      </c>
      <c r="AF30" s="8">
        <v>537</v>
      </c>
      <c r="AG30" s="37">
        <v>522</v>
      </c>
      <c r="AH30" s="46" t="s">
        <v>70</v>
      </c>
      <c r="AI30" s="8">
        <v>505</v>
      </c>
      <c r="AJ30" s="37">
        <v>511</v>
      </c>
      <c r="AK30" s="46" t="s">
        <v>70</v>
      </c>
      <c r="AL30" s="8">
        <v>507</v>
      </c>
      <c r="AM30" s="37">
        <v>481</v>
      </c>
      <c r="AN30" s="46" t="s">
        <v>70</v>
      </c>
      <c r="AO30" s="9">
        <v>517</v>
      </c>
      <c r="AP30" s="38">
        <v>503</v>
      </c>
      <c r="AQ30" s="46" t="s">
        <v>70</v>
      </c>
      <c r="AR30" s="8">
        <v>528</v>
      </c>
      <c r="AS30" s="37">
        <v>471</v>
      </c>
    </row>
    <row r="31" spans="1:45" ht="15.5">
      <c r="A31" s="24">
        <v>27</v>
      </c>
      <c r="B31" s="19"/>
      <c r="C31" s="19"/>
      <c r="D31" s="11"/>
      <c r="E31" s="9"/>
      <c r="F31" s="9"/>
      <c r="G31" s="9"/>
      <c r="H31" s="9"/>
      <c r="I31" s="1"/>
      <c r="J31" s="21">
        <v>27</v>
      </c>
      <c r="K31" s="27"/>
      <c r="L31" s="27"/>
      <c r="M31" s="27"/>
      <c r="N31" s="11"/>
      <c r="O31" s="9"/>
      <c r="P31" s="9"/>
      <c r="Q31" s="9"/>
      <c r="R31" s="9"/>
      <c r="S31" s="1"/>
      <c r="T31" s="23">
        <v>27</v>
      </c>
      <c r="U31" s="28"/>
      <c r="V31" s="28"/>
      <c r="W31" s="28"/>
      <c r="X31" s="28"/>
      <c r="Y31" s="11"/>
      <c r="Z31" s="9"/>
      <c r="AA31" s="9"/>
      <c r="AB31" s="9"/>
      <c r="AC31" s="9"/>
      <c r="AD31" s="1"/>
      <c r="AE31" s="46" t="s">
        <v>71</v>
      </c>
      <c r="AF31" s="8">
        <v>445</v>
      </c>
      <c r="AG31" s="37">
        <v>535</v>
      </c>
      <c r="AH31" s="46" t="s">
        <v>71</v>
      </c>
      <c r="AI31" s="8">
        <v>407</v>
      </c>
      <c r="AJ31" s="37">
        <v>503</v>
      </c>
      <c r="AK31" s="46" t="s">
        <v>71</v>
      </c>
      <c r="AL31" s="8">
        <v>412</v>
      </c>
      <c r="AM31" s="37">
        <v>480</v>
      </c>
      <c r="AN31" s="46" t="s">
        <v>71</v>
      </c>
      <c r="AO31" s="9">
        <v>421</v>
      </c>
      <c r="AP31" s="38">
        <v>518</v>
      </c>
      <c r="AQ31" s="46" t="s">
        <v>71</v>
      </c>
      <c r="AR31" s="8">
        <v>435</v>
      </c>
      <c r="AS31" s="37">
        <v>487</v>
      </c>
    </row>
    <row r="32" spans="1:45" ht="15.5">
      <c r="A32" s="24">
        <v>28</v>
      </c>
      <c r="B32" s="19"/>
      <c r="C32" s="19"/>
      <c r="D32" s="11"/>
      <c r="E32" s="9"/>
      <c r="F32" s="9"/>
      <c r="G32" s="9"/>
      <c r="H32" s="9"/>
      <c r="I32" s="1"/>
      <c r="J32" s="21">
        <v>28</v>
      </c>
      <c r="K32" s="27"/>
      <c r="L32" s="27"/>
      <c r="M32" s="27"/>
      <c r="N32" s="11"/>
      <c r="O32" s="9"/>
      <c r="P32" s="9"/>
      <c r="Q32" s="9"/>
      <c r="R32" s="9"/>
      <c r="S32" s="1"/>
      <c r="T32" s="23">
        <v>28</v>
      </c>
      <c r="U32" s="28"/>
      <c r="V32" s="28"/>
      <c r="W32" s="28"/>
      <c r="X32" s="28"/>
      <c r="Y32" s="11"/>
      <c r="Z32" s="9"/>
      <c r="AA32" s="9"/>
      <c r="AB32" s="9"/>
      <c r="AC32" s="9"/>
      <c r="AD32" s="1"/>
      <c r="AE32" s="46"/>
      <c r="AF32" s="8"/>
      <c r="AG32" s="37"/>
      <c r="AH32" s="46"/>
      <c r="AI32" s="9"/>
      <c r="AJ32" s="38"/>
      <c r="AK32" s="46"/>
      <c r="AL32" s="8"/>
      <c r="AM32" s="37"/>
      <c r="AN32" s="46"/>
      <c r="AO32" s="9"/>
      <c r="AP32" s="38"/>
      <c r="AQ32" s="46"/>
      <c r="AR32" s="8"/>
      <c r="AS32" s="37"/>
    </row>
    <row r="33" spans="1:45" ht="15.5">
      <c r="A33" s="24">
        <v>29</v>
      </c>
      <c r="B33" s="19"/>
      <c r="C33" s="19"/>
      <c r="D33" s="11"/>
      <c r="E33" s="9"/>
      <c r="F33" s="9"/>
      <c r="G33" s="9"/>
      <c r="H33" s="9"/>
      <c r="I33" s="1"/>
      <c r="J33" s="21">
        <v>29</v>
      </c>
      <c r="K33" s="27"/>
      <c r="L33" s="27"/>
      <c r="M33" s="27"/>
      <c r="N33" s="11"/>
      <c r="O33" s="9"/>
      <c r="P33" s="9"/>
      <c r="Q33" s="9"/>
      <c r="R33" s="9"/>
      <c r="S33" s="1"/>
      <c r="T33" s="23">
        <v>29</v>
      </c>
      <c r="U33" s="28"/>
      <c r="V33" s="28"/>
      <c r="W33" s="28"/>
      <c r="X33" s="28"/>
      <c r="Y33" s="11"/>
      <c r="Z33" s="9"/>
      <c r="AA33" s="9"/>
      <c r="AB33" s="9"/>
      <c r="AC33" s="9"/>
      <c r="AD33" s="1"/>
      <c r="AE33" s="26"/>
      <c r="AF33" s="8"/>
      <c r="AG33" s="6"/>
      <c r="AH33" s="5"/>
      <c r="AI33" s="9"/>
      <c r="AJ33" s="16"/>
      <c r="AK33" s="26"/>
      <c r="AL33" s="8"/>
      <c r="AM33" s="6"/>
      <c r="AN33" s="5"/>
      <c r="AO33" s="9"/>
      <c r="AP33" s="16"/>
      <c r="AQ33" s="26"/>
      <c r="AR33" s="8"/>
      <c r="AS33" s="6"/>
    </row>
    <row r="34" spans="1:45" ht="15.5">
      <c r="A34" s="24">
        <v>30</v>
      </c>
      <c r="B34" s="19"/>
      <c r="C34" s="19"/>
      <c r="D34" s="11"/>
      <c r="E34" s="9"/>
      <c r="F34" s="9"/>
      <c r="G34" s="9"/>
      <c r="H34" s="9"/>
      <c r="I34" s="1"/>
      <c r="J34" s="21">
        <v>30</v>
      </c>
      <c r="K34" s="27"/>
      <c r="L34" s="27"/>
      <c r="M34" s="27"/>
      <c r="N34" s="11"/>
      <c r="O34" s="9"/>
      <c r="P34" s="9"/>
      <c r="Q34" s="9"/>
      <c r="R34" s="9"/>
      <c r="S34" s="1"/>
      <c r="T34" s="23">
        <v>30</v>
      </c>
      <c r="U34" s="28"/>
      <c r="V34" s="28"/>
      <c r="W34" s="28"/>
      <c r="X34" s="28"/>
      <c r="Y34" s="11"/>
      <c r="Z34" s="9"/>
      <c r="AA34" s="9"/>
      <c r="AB34" s="9"/>
      <c r="AC34" s="9"/>
      <c r="AD34" s="1"/>
      <c r="AE34" s="26"/>
      <c r="AF34" s="8"/>
      <c r="AG34" s="6"/>
      <c r="AH34" s="5"/>
      <c r="AI34" s="9"/>
      <c r="AJ34" s="16"/>
      <c r="AK34" s="26"/>
      <c r="AL34" s="8"/>
      <c r="AM34" s="6"/>
      <c r="AN34" s="5"/>
      <c r="AO34" s="9"/>
      <c r="AP34" s="16"/>
      <c r="AQ34" s="26"/>
      <c r="AR34" s="8"/>
      <c r="AS34" s="6"/>
    </row>
  </sheetData>
  <mergeCells count="23">
    <mergeCell ref="A1:H1"/>
    <mergeCell ref="J1:R1"/>
    <mergeCell ref="T1:AC1"/>
    <mergeCell ref="AE1:AS1"/>
    <mergeCell ref="A2:C4"/>
    <mergeCell ref="D2:F3"/>
    <mergeCell ref="G2:H3"/>
    <mergeCell ref="J2:M4"/>
    <mergeCell ref="N2:P3"/>
    <mergeCell ref="Q2:R3"/>
    <mergeCell ref="T2:X4"/>
    <mergeCell ref="Y2:AA3"/>
    <mergeCell ref="AB2:AC3"/>
    <mergeCell ref="AE2:AG2"/>
    <mergeCell ref="AH2:AJ2"/>
    <mergeCell ref="AN2:AP2"/>
    <mergeCell ref="AQ2:AS2"/>
    <mergeCell ref="AF3:AG3"/>
    <mergeCell ref="AI3:AJ3"/>
    <mergeCell ref="AL3:AM3"/>
    <mergeCell ref="AO3:AP3"/>
    <mergeCell ref="AR3:AS3"/>
    <mergeCell ref="AK2:AM2"/>
  </mergeCells>
  <phoneticPr fontId="7" type="noConversion"/>
  <conditionalFormatting sqref="Y1:AC1 Y4:AC34 Y2">
    <cfRule type="cellIs" dxfId="13" priority="1" operator="lessThan">
      <formula>0</formula>
    </cfRule>
  </conditionalFormatting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工作表13"/>
  <dimension ref="A1:AS34"/>
  <sheetViews>
    <sheetView topLeftCell="Q1" zoomScaleNormal="100" workbookViewId="0">
      <selection activeCell="AI3" sqref="AI3:AJ3"/>
    </sheetView>
  </sheetViews>
  <sheetFormatPr defaultRowHeight="15"/>
  <cols>
    <col min="18" max="18" width="11.1640625" customWidth="1"/>
  </cols>
  <sheetData>
    <row r="1" spans="1:45" ht="23">
      <c r="A1" s="57" t="s">
        <v>58</v>
      </c>
      <c r="B1" s="57"/>
      <c r="C1" s="57"/>
      <c r="D1" s="57"/>
      <c r="E1" s="57"/>
      <c r="F1" s="57"/>
      <c r="G1" s="57"/>
      <c r="H1" s="58"/>
      <c r="I1" s="1"/>
      <c r="J1" s="59" t="s">
        <v>60</v>
      </c>
      <c r="K1" s="59"/>
      <c r="L1" s="59"/>
      <c r="M1" s="59"/>
      <c r="N1" s="59"/>
      <c r="O1" s="59"/>
      <c r="P1" s="59"/>
      <c r="Q1" s="59"/>
      <c r="R1" s="59"/>
      <c r="S1" s="1"/>
      <c r="T1" s="60" t="s">
        <v>59</v>
      </c>
      <c r="U1" s="60"/>
      <c r="V1" s="60"/>
      <c r="W1" s="60"/>
      <c r="X1" s="60"/>
      <c r="Y1" s="60"/>
      <c r="Z1" s="60"/>
      <c r="AA1" s="60"/>
      <c r="AB1" s="60"/>
      <c r="AC1" s="60"/>
      <c r="AD1" s="1"/>
      <c r="AE1" s="61" t="s">
        <v>180</v>
      </c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</row>
    <row r="2" spans="1:45" ht="18">
      <c r="A2" s="63" t="s">
        <v>55</v>
      </c>
      <c r="B2" s="63"/>
      <c r="C2" s="63"/>
      <c r="D2" s="65"/>
      <c r="E2" s="66"/>
      <c r="F2" s="67"/>
      <c r="G2" s="65"/>
      <c r="H2" s="67"/>
      <c r="I2" s="2"/>
      <c r="J2" s="71" t="s">
        <v>56</v>
      </c>
      <c r="K2" s="71"/>
      <c r="L2" s="71"/>
      <c r="M2" s="71"/>
      <c r="N2" s="73"/>
      <c r="O2" s="74"/>
      <c r="P2" s="75"/>
      <c r="Q2" s="73"/>
      <c r="R2" s="75"/>
      <c r="S2" s="2"/>
      <c r="T2" s="90" t="s">
        <v>57</v>
      </c>
      <c r="U2" s="90"/>
      <c r="V2" s="90"/>
      <c r="W2" s="90"/>
      <c r="X2" s="90"/>
      <c r="Y2" s="92"/>
      <c r="Z2" s="93"/>
      <c r="AA2" s="94"/>
      <c r="AB2" s="92"/>
      <c r="AC2" s="94"/>
      <c r="AD2" s="2"/>
      <c r="AE2" s="54" t="s">
        <v>161</v>
      </c>
      <c r="AF2" s="55"/>
      <c r="AG2" s="56"/>
      <c r="AH2" s="81" t="s">
        <v>89</v>
      </c>
      <c r="AI2" s="82"/>
      <c r="AJ2" s="83"/>
      <c r="AK2" s="54" t="s">
        <v>90</v>
      </c>
      <c r="AL2" s="55"/>
      <c r="AM2" s="56"/>
      <c r="AN2" s="81" t="s">
        <v>91</v>
      </c>
      <c r="AO2" s="82"/>
      <c r="AP2" s="83"/>
      <c r="AQ2" s="54" t="s">
        <v>92</v>
      </c>
      <c r="AR2" s="55"/>
      <c r="AS2" s="56"/>
    </row>
    <row r="3" spans="1:45" ht="15.5">
      <c r="A3" s="63"/>
      <c r="B3" s="63"/>
      <c r="C3" s="63"/>
      <c r="D3" s="68"/>
      <c r="E3" s="69"/>
      <c r="F3" s="70"/>
      <c r="G3" s="68"/>
      <c r="H3" s="70"/>
      <c r="I3" s="1"/>
      <c r="J3" s="71"/>
      <c r="K3" s="71"/>
      <c r="L3" s="71"/>
      <c r="M3" s="71"/>
      <c r="N3" s="76"/>
      <c r="O3" s="77"/>
      <c r="P3" s="78"/>
      <c r="Q3" s="76"/>
      <c r="R3" s="78"/>
      <c r="S3" s="1"/>
      <c r="T3" s="90"/>
      <c r="U3" s="90"/>
      <c r="V3" s="90"/>
      <c r="W3" s="90"/>
      <c r="X3" s="90"/>
      <c r="Y3" s="95"/>
      <c r="Z3" s="96"/>
      <c r="AA3" s="97"/>
      <c r="AB3" s="95"/>
      <c r="AC3" s="97"/>
      <c r="AD3" s="1"/>
      <c r="AE3" s="52" t="s">
        <v>178</v>
      </c>
      <c r="AF3" s="85" t="s">
        <v>177</v>
      </c>
      <c r="AG3" s="85"/>
      <c r="AH3" s="52" t="s">
        <v>178</v>
      </c>
      <c r="AI3" s="85" t="s">
        <v>177</v>
      </c>
      <c r="AJ3" s="85"/>
      <c r="AK3" s="52" t="s">
        <v>178</v>
      </c>
      <c r="AL3" s="85" t="s">
        <v>177</v>
      </c>
      <c r="AM3" s="85"/>
      <c r="AN3" s="52" t="s">
        <v>178</v>
      </c>
      <c r="AO3" s="85" t="s">
        <v>177</v>
      </c>
      <c r="AP3" s="85"/>
      <c r="AQ3" s="52" t="s">
        <v>178</v>
      </c>
      <c r="AR3" s="85" t="s">
        <v>177</v>
      </c>
      <c r="AS3" s="85"/>
    </row>
    <row r="4" spans="1:45" ht="82.25" customHeight="1">
      <c r="A4" s="63"/>
      <c r="B4" s="64"/>
      <c r="C4" s="64"/>
      <c r="D4" s="19" t="s">
        <v>25</v>
      </c>
      <c r="E4" s="19" t="s">
        <v>26</v>
      </c>
      <c r="F4" s="19" t="s">
        <v>27</v>
      </c>
      <c r="G4" s="19" t="s">
        <v>28</v>
      </c>
      <c r="H4" s="19" t="s">
        <v>29</v>
      </c>
      <c r="I4" s="4"/>
      <c r="J4" s="71"/>
      <c r="K4" s="72"/>
      <c r="L4" s="72"/>
      <c r="M4" s="72"/>
      <c r="N4" s="27" t="s">
        <v>25</v>
      </c>
      <c r="O4" s="27" t="s">
        <v>26</v>
      </c>
      <c r="P4" s="27" t="s">
        <v>27</v>
      </c>
      <c r="Q4" s="27" t="s">
        <v>28</v>
      </c>
      <c r="R4" s="27" t="s">
        <v>29</v>
      </c>
      <c r="S4" s="4"/>
      <c r="T4" s="90"/>
      <c r="U4" s="91"/>
      <c r="V4" s="91"/>
      <c r="W4" s="91"/>
      <c r="X4" s="91"/>
      <c r="Y4" s="28" t="s">
        <v>25</v>
      </c>
      <c r="Z4" s="28" t="s">
        <v>26</v>
      </c>
      <c r="AA4" s="28" t="s">
        <v>27</v>
      </c>
      <c r="AB4" s="28" t="s">
        <v>28</v>
      </c>
      <c r="AC4" s="28" t="s">
        <v>29</v>
      </c>
      <c r="AD4" s="4"/>
      <c r="AE4" s="48"/>
      <c r="AF4" s="48" t="s">
        <v>0</v>
      </c>
      <c r="AG4" s="48" t="s">
        <v>1</v>
      </c>
      <c r="AH4" s="48"/>
      <c r="AI4" s="48" t="s">
        <v>0</v>
      </c>
      <c r="AJ4" s="48" t="s">
        <v>1</v>
      </c>
      <c r="AK4" s="48" t="s">
        <v>2</v>
      </c>
      <c r="AL4" s="48" t="s">
        <v>0</v>
      </c>
      <c r="AM4" s="48" t="s">
        <v>1</v>
      </c>
      <c r="AN4" s="49" t="s">
        <v>2</v>
      </c>
      <c r="AO4" s="49" t="s">
        <v>0</v>
      </c>
      <c r="AP4" s="49" t="s">
        <v>1</v>
      </c>
      <c r="AQ4" s="48" t="s">
        <v>2</v>
      </c>
      <c r="AR4" s="48" t="s">
        <v>0</v>
      </c>
      <c r="AS4" s="48" t="s">
        <v>1</v>
      </c>
    </row>
    <row r="5" spans="1:45" ht="15.5">
      <c r="A5" s="24">
        <v>1</v>
      </c>
      <c r="B5" s="19" t="s">
        <v>30</v>
      </c>
      <c r="C5" s="19" t="s">
        <v>32</v>
      </c>
      <c r="D5" s="11">
        <v>295</v>
      </c>
      <c r="E5" s="9">
        <v>317</v>
      </c>
      <c r="F5" s="9">
        <v>328</v>
      </c>
      <c r="G5" s="9">
        <v>336.78628238097821</v>
      </c>
      <c r="H5" s="9">
        <v>281</v>
      </c>
      <c r="I5" s="1"/>
      <c r="J5" s="21">
        <v>1</v>
      </c>
      <c r="K5" s="27" t="s">
        <v>30</v>
      </c>
      <c r="L5" s="27" t="s">
        <v>35</v>
      </c>
      <c r="M5" s="27" t="s">
        <v>38</v>
      </c>
      <c r="N5" s="9">
        <v>62.91878459315717</v>
      </c>
      <c r="O5" s="9">
        <v>67.272753529333741</v>
      </c>
      <c r="P5" s="9">
        <v>73.468069377253187</v>
      </c>
      <c r="Q5" s="9">
        <v>73.211704268683988</v>
      </c>
      <c r="R5" s="9">
        <v>65.285699099847491</v>
      </c>
      <c r="S5" s="1"/>
      <c r="T5" s="23">
        <v>1</v>
      </c>
      <c r="U5" s="28" t="s">
        <v>30</v>
      </c>
      <c r="V5" s="28" t="s">
        <v>35</v>
      </c>
      <c r="W5" s="28" t="s">
        <v>37</v>
      </c>
      <c r="X5" s="28" t="s">
        <v>38</v>
      </c>
      <c r="Y5" s="11">
        <v>33335</v>
      </c>
      <c r="Z5" s="9">
        <v>35187</v>
      </c>
      <c r="AA5" s="9">
        <v>27552</v>
      </c>
      <c r="AB5" s="9">
        <v>37632</v>
      </c>
      <c r="AC5" s="9">
        <v>30910</v>
      </c>
      <c r="AD5" s="1"/>
      <c r="AE5" s="48" t="s">
        <v>3</v>
      </c>
      <c r="AF5" s="29">
        <v>600</v>
      </c>
      <c r="AG5" s="29">
        <v>556</v>
      </c>
      <c r="AH5" s="48" t="s">
        <v>3</v>
      </c>
      <c r="AI5" s="29">
        <v>600</v>
      </c>
      <c r="AJ5" s="29">
        <v>468</v>
      </c>
      <c r="AK5" s="48" t="s">
        <v>3</v>
      </c>
      <c r="AL5" s="29">
        <v>600</v>
      </c>
      <c r="AM5" s="29">
        <v>490</v>
      </c>
      <c r="AN5" s="48" t="s">
        <v>3</v>
      </c>
      <c r="AO5" s="29">
        <v>600</v>
      </c>
      <c r="AP5" s="29">
        <v>463</v>
      </c>
      <c r="AQ5" s="48" t="s">
        <v>3</v>
      </c>
      <c r="AR5" s="29">
        <v>600</v>
      </c>
      <c r="AS5" s="29">
        <v>531</v>
      </c>
    </row>
    <row r="6" spans="1:45" ht="15.5">
      <c r="A6" s="24">
        <v>2</v>
      </c>
      <c r="B6" s="19" t="s">
        <v>30</v>
      </c>
      <c r="C6" s="19" t="s">
        <v>33</v>
      </c>
      <c r="D6" s="11">
        <v>384</v>
      </c>
      <c r="E6" s="9">
        <v>440</v>
      </c>
      <c r="F6" s="9">
        <v>451.00110864608746</v>
      </c>
      <c r="G6" s="9">
        <v>475</v>
      </c>
      <c r="H6" s="9">
        <v>388</v>
      </c>
      <c r="I6" s="1"/>
      <c r="J6" s="21">
        <v>2</v>
      </c>
      <c r="K6" s="27" t="s">
        <v>31</v>
      </c>
      <c r="L6" s="27" t="s">
        <v>41</v>
      </c>
      <c r="M6" s="27" t="s">
        <v>34</v>
      </c>
      <c r="N6" s="9">
        <v>84.711890363207601</v>
      </c>
      <c r="O6" s="9">
        <v>94.530967599489045</v>
      </c>
      <c r="P6" s="9">
        <v>91.849141774461643</v>
      </c>
      <c r="Q6" s="9">
        <v>90.649989805204825</v>
      </c>
      <c r="R6" s="9">
        <v>97.929913306942055</v>
      </c>
      <c r="S6" s="1"/>
      <c r="T6" s="23">
        <v>2</v>
      </c>
      <c r="U6" s="28" t="s">
        <v>31</v>
      </c>
      <c r="V6" s="28" t="s">
        <v>41</v>
      </c>
      <c r="W6" s="28" t="s">
        <v>34</v>
      </c>
      <c r="X6" s="28" t="s">
        <v>42</v>
      </c>
      <c r="Y6" s="11">
        <v>210236</v>
      </c>
      <c r="Z6" s="9">
        <v>228038</v>
      </c>
      <c r="AA6" s="9">
        <v>214590</v>
      </c>
      <c r="AB6" s="9">
        <v>240195</v>
      </c>
      <c r="AC6" s="9">
        <v>164846</v>
      </c>
      <c r="AD6" s="1"/>
      <c r="AE6" s="48" t="s">
        <v>4</v>
      </c>
      <c r="AF6" s="29">
        <v>487</v>
      </c>
      <c r="AG6" s="29">
        <v>777</v>
      </c>
      <c r="AH6" s="48" t="s">
        <v>4</v>
      </c>
      <c r="AI6" s="29">
        <v>489</v>
      </c>
      <c r="AJ6" s="29">
        <v>733</v>
      </c>
      <c r="AK6" s="48" t="s">
        <v>4</v>
      </c>
      <c r="AL6" s="29">
        <v>516</v>
      </c>
      <c r="AM6" s="29">
        <v>773</v>
      </c>
      <c r="AN6" s="48" t="s">
        <v>4</v>
      </c>
      <c r="AO6" s="29">
        <v>511</v>
      </c>
      <c r="AP6" s="29">
        <v>758</v>
      </c>
      <c r="AQ6" s="48" t="s">
        <v>4</v>
      </c>
      <c r="AR6" s="29">
        <v>490</v>
      </c>
      <c r="AS6" s="29">
        <v>770</v>
      </c>
    </row>
    <row r="7" spans="1:45" ht="15.5">
      <c r="A7" s="24">
        <v>3</v>
      </c>
      <c r="B7" s="19" t="s">
        <v>31</v>
      </c>
      <c r="C7" s="19" t="s">
        <v>34</v>
      </c>
      <c r="D7" s="11">
        <v>622</v>
      </c>
      <c r="E7" s="9">
        <v>706</v>
      </c>
      <c r="F7" s="9">
        <v>690</v>
      </c>
      <c r="G7" s="9">
        <v>717</v>
      </c>
      <c r="H7" s="9">
        <v>649</v>
      </c>
      <c r="I7" s="1"/>
      <c r="J7" s="21">
        <v>3</v>
      </c>
      <c r="K7" s="27" t="s">
        <v>31</v>
      </c>
      <c r="L7" s="27" t="s">
        <v>44</v>
      </c>
      <c r="M7" s="27" t="s">
        <v>37</v>
      </c>
      <c r="N7" s="9">
        <v>44.186720076061043</v>
      </c>
      <c r="O7" s="9">
        <v>49.204983570466631</v>
      </c>
      <c r="P7" s="9">
        <v>48.245254903890178</v>
      </c>
      <c r="Q7" s="9">
        <v>44.930488550732605</v>
      </c>
      <c r="R7" s="9">
        <v>49.770692641847887</v>
      </c>
      <c r="S7" s="1"/>
      <c r="T7" s="23">
        <v>3</v>
      </c>
      <c r="U7" s="28" t="s">
        <v>41</v>
      </c>
      <c r="V7" s="28" t="s">
        <v>39</v>
      </c>
      <c r="W7" s="28" t="s">
        <v>34</v>
      </c>
      <c r="X7" s="28" t="s">
        <v>42</v>
      </c>
      <c r="Y7" s="11">
        <v>100758.5</v>
      </c>
      <c r="Z7" s="9">
        <v>107516.5</v>
      </c>
      <c r="AA7" s="9">
        <v>75038.5</v>
      </c>
      <c r="AB7" s="9">
        <v>137541</v>
      </c>
      <c r="AC7" s="9">
        <v>53393.5</v>
      </c>
      <c r="AD7" s="1"/>
      <c r="AE7" s="48" t="s">
        <v>5</v>
      </c>
      <c r="AF7" s="29">
        <v>600</v>
      </c>
      <c r="AG7" s="29">
        <v>851</v>
      </c>
      <c r="AH7" s="48" t="s">
        <v>5</v>
      </c>
      <c r="AI7" s="29">
        <v>600</v>
      </c>
      <c r="AJ7" s="29">
        <v>785</v>
      </c>
      <c r="AK7" s="48" t="s">
        <v>5</v>
      </c>
      <c r="AL7" s="29">
        <v>600</v>
      </c>
      <c r="AM7" s="29">
        <v>818</v>
      </c>
      <c r="AN7" s="48" t="s">
        <v>5</v>
      </c>
      <c r="AO7" s="29">
        <v>623</v>
      </c>
      <c r="AP7" s="29">
        <v>799</v>
      </c>
      <c r="AQ7" s="48" t="s">
        <v>5</v>
      </c>
      <c r="AR7" s="29">
        <v>600</v>
      </c>
      <c r="AS7" s="29">
        <v>812</v>
      </c>
    </row>
    <row r="8" spans="1:45" ht="15.5">
      <c r="A8" s="24">
        <v>4</v>
      </c>
      <c r="B8" s="19" t="s">
        <v>35</v>
      </c>
      <c r="C8" s="19" t="s">
        <v>38</v>
      </c>
      <c r="D8" s="11">
        <v>226</v>
      </c>
      <c r="E8" s="9">
        <v>222</v>
      </c>
      <c r="F8" s="9">
        <v>168</v>
      </c>
      <c r="G8" s="9">
        <v>224</v>
      </c>
      <c r="H8" s="9">
        <v>220</v>
      </c>
      <c r="I8" s="1"/>
      <c r="J8" s="21">
        <v>4</v>
      </c>
      <c r="K8" s="27" t="s">
        <v>35</v>
      </c>
      <c r="L8" s="27" t="s">
        <v>37</v>
      </c>
      <c r="M8" s="27" t="s">
        <v>38</v>
      </c>
      <c r="N8" s="9">
        <v>113.56104755383082</v>
      </c>
      <c r="O8" s="9">
        <v>129.79678257235324</v>
      </c>
      <c r="P8" s="9">
        <v>123.64281978008167</v>
      </c>
      <c r="Q8" s="9">
        <v>139.78753040328132</v>
      </c>
      <c r="R8" s="9">
        <v>138.20446900232224</v>
      </c>
      <c r="S8" s="1"/>
      <c r="T8" s="23">
        <v>4</v>
      </c>
      <c r="U8" s="28" t="s">
        <v>46</v>
      </c>
      <c r="V8" s="28" t="s">
        <v>43</v>
      </c>
      <c r="W8" s="28" t="s">
        <v>33</v>
      </c>
      <c r="X8" s="28" t="s">
        <v>47</v>
      </c>
      <c r="Y8" s="11">
        <v>396585</v>
      </c>
      <c r="Z8" s="9">
        <v>327190</v>
      </c>
      <c r="AA8" s="9">
        <v>362800</v>
      </c>
      <c r="AB8" s="9">
        <v>434396</v>
      </c>
      <c r="AC8" s="9">
        <v>311770</v>
      </c>
      <c r="AD8" s="1"/>
      <c r="AE8" s="48" t="s">
        <v>6</v>
      </c>
      <c r="AF8" s="29">
        <f>AF7+(AF7-AF6)</f>
        <v>713</v>
      </c>
      <c r="AG8" s="29">
        <f>AG6</f>
        <v>777</v>
      </c>
      <c r="AH8" s="48" t="s">
        <v>6</v>
      </c>
      <c r="AI8" s="29">
        <f>AI7+(AI7-AI6)</f>
        <v>711</v>
      </c>
      <c r="AJ8" s="29">
        <f>AJ6</f>
        <v>733</v>
      </c>
      <c r="AK8" s="48" t="s">
        <v>6</v>
      </c>
      <c r="AL8" s="29">
        <f t="shared" ref="AL8" si="0">AL7+(AL7-AL6)</f>
        <v>684</v>
      </c>
      <c r="AM8" s="29">
        <f t="shared" ref="AM8" si="1">AM6</f>
        <v>773</v>
      </c>
      <c r="AN8" s="48" t="s">
        <v>6</v>
      </c>
      <c r="AO8" s="29">
        <f t="shared" ref="AO8" si="2">AO7+(AO7-AO6)</f>
        <v>735</v>
      </c>
      <c r="AP8" s="29">
        <f t="shared" ref="AP8" si="3">AP6</f>
        <v>758</v>
      </c>
      <c r="AQ8" s="48" t="s">
        <v>6</v>
      </c>
      <c r="AR8" s="29">
        <f t="shared" ref="AR8" si="4">AR7+(AR7-AR6)</f>
        <v>710</v>
      </c>
      <c r="AS8" s="29">
        <f t="shared" ref="AS8" si="5">AS6</f>
        <v>770</v>
      </c>
    </row>
    <row r="9" spans="1:45" ht="15.5">
      <c r="A9" s="24">
        <v>5</v>
      </c>
      <c r="B9" s="19" t="s">
        <v>36</v>
      </c>
      <c r="C9" s="19" t="s">
        <v>33</v>
      </c>
      <c r="D9" s="11">
        <v>89</v>
      </c>
      <c r="E9" s="9">
        <v>123</v>
      </c>
      <c r="F9" s="9">
        <v>123.00406497347964</v>
      </c>
      <c r="G9" s="9">
        <v>140.89002803605371</v>
      </c>
      <c r="H9" s="9">
        <v>107</v>
      </c>
      <c r="I9" s="1"/>
      <c r="J9" s="21">
        <v>5</v>
      </c>
      <c r="K9" s="27" t="s">
        <v>39</v>
      </c>
      <c r="L9" s="27" t="s">
        <v>34</v>
      </c>
      <c r="M9" s="27" t="s">
        <v>61</v>
      </c>
      <c r="N9" s="9">
        <v>161.63891608474765</v>
      </c>
      <c r="O9" s="9">
        <v>148.2961436914261</v>
      </c>
      <c r="P9" s="9">
        <v>139.41646466401193</v>
      </c>
      <c r="Q9" s="9">
        <v>172.83337029015405</v>
      </c>
      <c r="R9" s="9">
        <v>145.51708120212004</v>
      </c>
      <c r="S9" s="1"/>
      <c r="T9" s="23">
        <v>5</v>
      </c>
      <c r="U9" s="28" t="s">
        <v>48</v>
      </c>
      <c r="V9" s="28" t="s">
        <v>43</v>
      </c>
      <c r="W9" s="28" t="s">
        <v>34</v>
      </c>
      <c r="X9" s="28" t="s">
        <v>44</v>
      </c>
      <c r="Y9" s="11">
        <v>372075</v>
      </c>
      <c r="Z9" s="9">
        <v>349866</v>
      </c>
      <c r="AA9" s="9">
        <v>365400</v>
      </c>
      <c r="AB9" s="9">
        <v>388494</v>
      </c>
      <c r="AC9" s="9">
        <v>292121</v>
      </c>
      <c r="AD9" s="1"/>
      <c r="AE9" s="48" t="s">
        <v>77</v>
      </c>
      <c r="AF9" s="29">
        <v>600</v>
      </c>
      <c r="AG9" s="29">
        <v>940</v>
      </c>
      <c r="AH9" s="48" t="s">
        <v>77</v>
      </c>
      <c r="AI9" s="29">
        <v>600</v>
      </c>
      <c r="AJ9" s="29">
        <v>908</v>
      </c>
      <c r="AK9" s="48" t="s">
        <v>77</v>
      </c>
      <c r="AL9" s="29">
        <v>599</v>
      </c>
      <c r="AM9" s="29">
        <v>941</v>
      </c>
      <c r="AN9" s="48" t="s">
        <v>77</v>
      </c>
      <c r="AO9" s="29">
        <v>600</v>
      </c>
      <c r="AP9" s="29">
        <v>938</v>
      </c>
      <c r="AQ9" s="48" t="s">
        <v>77</v>
      </c>
      <c r="AR9" s="29">
        <v>600</v>
      </c>
      <c r="AS9" s="29">
        <v>919</v>
      </c>
    </row>
    <row r="10" spans="1:45" ht="15.5">
      <c r="A10" s="24">
        <v>6</v>
      </c>
      <c r="B10" s="19" t="s">
        <v>37</v>
      </c>
      <c r="C10" s="19" t="s">
        <v>34</v>
      </c>
      <c r="D10" s="11">
        <v>327</v>
      </c>
      <c r="E10" s="9">
        <v>389</v>
      </c>
      <c r="F10" s="9">
        <v>362</v>
      </c>
      <c r="G10" s="9">
        <v>381.69359439215117</v>
      </c>
      <c r="H10" s="9">
        <v>368</v>
      </c>
      <c r="I10" s="1"/>
      <c r="J10" s="21">
        <v>6</v>
      </c>
      <c r="K10" s="27" t="s">
        <v>40</v>
      </c>
      <c r="L10" s="27" t="s">
        <v>34</v>
      </c>
      <c r="M10" s="27" t="s">
        <v>62</v>
      </c>
      <c r="N10" s="9">
        <v>9.3781128280429122</v>
      </c>
      <c r="O10" s="9">
        <v>16.444621972903647</v>
      </c>
      <c r="P10" s="9">
        <v>20.291767667994012</v>
      </c>
      <c r="Q10" s="9">
        <v>3.583314854922965</v>
      </c>
      <c r="R10" s="9">
        <v>17.241459398939977</v>
      </c>
      <c r="S10" s="1"/>
      <c r="T10" s="23">
        <v>6</v>
      </c>
      <c r="U10" s="28" t="s">
        <v>52</v>
      </c>
      <c r="V10" s="28" t="s">
        <v>53</v>
      </c>
      <c r="W10" s="28" t="s">
        <v>54</v>
      </c>
      <c r="X10" s="28" t="s">
        <v>50</v>
      </c>
      <c r="Y10" s="11">
        <v>4874</v>
      </c>
      <c r="Z10" s="9">
        <v>1239</v>
      </c>
      <c r="AA10" s="9">
        <v>4534.5</v>
      </c>
      <c r="AB10" s="9">
        <v>6932.5</v>
      </c>
      <c r="AC10" s="9">
        <v>3003</v>
      </c>
      <c r="AD10" s="1"/>
      <c r="AE10" s="48" t="s">
        <v>8</v>
      </c>
      <c r="AF10" s="29">
        <v>501</v>
      </c>
      <c r="AG10" s="29">
        <v>1162</v>
      </c>
      <c r="AH10" s="48" t="s">
        <v>8</v>
      </c>
      <c r="AI10" s="29">
        <v>519</v>
      </c>
      <c r="AJ10" s="29">
        <v>1151</v>
      </c>
      <c r="AK10" s="48" t="s">
        <v>8</v>
      </c>
      <c r="AL10" s="29">
        <v>481</v>
      </c>
      <c r="AM10" s="29">
        <v>1136</v>
      </c>
      <c r="AN10" s="48" t="s">
        <v>8</v>
      </c>
      <c r="AO10" s="29">
        <v>89</v>
      </c>
      <c r="AP10" s="29">
        <v>1148</v>
      </c>
      <c r="AQ10" s="48" t="s">
        <v>8</v>
      </c>
      <c r="AR10" s="29">
        <v>513</v>
      </c>
      <c r="AS10" s="29">
        <v>1153</v>
      </c>
    </row>
    <row r="11" spans="1:45" ht="15.5">
      <c r="A11" s="24">
        <v>7</v>
      </c>
      <c r="B11" s="19" t="s">
        <v>39</v>
      </c>
      <c r="C11" s="19" t="s">
        <v>40</v>
      </c>
      <c r="D11" s="11">
        <v>198</v>
      </c>
      <c r="E11" s="9">
        <v>162</v>
      </c>
      <c r="F11" s="9">
        <v>238</v>
      </c>
      <c r="G11" s="9">
        <v>1022</v>
      </c>
      <c r="H11" s="9">
        <v>174</v>
      </c>
      <c r="I11" s="1"/>
      <c r="J11" s="21">
        <v>7</v>
      </c>
      <c r="K11" s="27" t="s">
        <v>41</v>
      </c>
      <c r="L11" s="27" t="s">
        <v>34</v>
      </c>
      <c r="M11" s="27" t="s">
        <v>62</v>
      </c>
      <c r="N11" s="9">
        <v>141.89092284708164</v>
      </c>
      <c r="O11" s="9">
        <v>137.14085151759465</v>
      </c>
      <c r="P11" s="9">
        <v>144.60198257618512</v>
      </c>
      <c r="Q11" s="9">
        <v>144.15610295469227</v>
      </c>
      <c r="R11" s="9">
        <v>143.05798687365632</v>
      </c>
      <c r="S11" s="1"/>
      <c r="T11" s="23">
        <v>7</v>
      </c>
      <c r="U11" s="40" t="s">
        <v>76</v>
      </c>
      <c r="V11" s="40" t="s">
        <v>73</v>
      </c>
      <c r="W11" s="40" t="s">
        <v>75</v>
      </c>
      <c r="X11" s="40" t="s">
        <v>74</v>
      </c>
      <c r="Y11" s="11">
        <v>2730</v>
      </c>
      <c r="Z11" s="9">
        <v>5962</v>
      </c>
      <c r="AA11" s="9">
        <v>2974</v>
      </c>
      <c r="AB11" s="9">
        <v>5757</v>
      </c>
      <c r="AC11" s="9">
        <v>4479</v>
      </c>
      <c r="AD11" s="1"/>
      <c r="AE11" s="48" t="s">
        <v>9</v>
      </c>
      <c r="AF11" s="29">
        <v>600</v>
      </c>
      <c r="AG11" s="29">
        <v>1178</v>
      </c>
      <c r="AH11" s="48" t="s">
        <v>9</v>
      </c>
      <c r="AI11" s="29">
        <v>600</v>
      </c>
      <c r="AJ11" s="29">
        <v>1174</v>
      </c>
      <c r="AK11" s="48" t="s">
        <v>9</v>
      </c>
      <c r="AL11" s="29">
        <v>600</v>
      </c>
      <c r="AM11" s="29">
        <v>1180</v>
      </c>
      <c r="AN11" s="48" t="s">
        <v>9</v>
      </c>
      <c r="AO11" s="29">
        <v>600</v>
      </c>
      <c r="AP11" s="29">
        <v>1180</v>
      </c>
      <c r="AQ11" s="48" t="s">
        <v>9</v>
      </c>
      <c r="AR11" s="29">
        <v>600</v>
      </c>
      <c r="AS11" s="29">
        <v>1180</v>
      </c>
    </row>
    <row r="12" spans="1:45" ht="15.5">
      <c r="A12" s="24">
        <v>8</v>
      </c>
      <c r="B12" s="19" t="s">
        <v>41</v>
      </c>
      <c r="C12" s="19" t="s">
        <v>42</v>
      </c>
      <c r="D12" s="11">
        <v>676</v>
      </c>
      <c r="E12" s="9">
        <v>646</v>
      </c>
      <c r="F12" s="9">
        <v>622</v>
      </c>
      <c r="G12" s="9">
        <v>670</v>
      </c>
      <c r="H12" s="9">
        <v>508</v>
      </c>
      <c r="I12" s="1"/>
      <c r="J12" s="21">
        <v>8</v>
      </c>
      <c r="K12" s="27" t="s">
        <v>42</v>
      </c>
      <c r="L12" s="27" t="s">
        <v>34</v>
      </c>
      <c r="M12" s="27" t="s">
        <v>62</v>
      </c>
      <c r="N12" s="9">
        <v>38.504218893751784</v>
      </c>
      <c r="O12" s="9">
        <v>44.044536119638735</v>
      </c>
      <c r="P12" s="9">
        <v>35.398017423814863</v>
      </c>
      <c r="Q12" s="9">
        <v>35.843897045307742</v>
      </c>
      <c r="R12" s="9">
        <v>36.942013126343667</v>
      </c>
      <c r="S12" s="1"/>
      <c r="T12" s="23">
        <v>8</v>
      </c>
      <c r="U12" s="28"/>
      <c r="V12" s="28"/>
      <c r="W12" s="28"/>
      <c r="X12" s="28"/>
      <c r="Y12" s="11"/>
      <c r="Z12" s="9"/>
      <c r="AA12" s="9"/>
      <c r="AB12" s="9"/>
      <c r="AC12" s="9"/>
      <c r="AD12" s="1"/>
      <c r="AE12" s="48" t="s">
        <v>10</v>
      </c>
      <c r="AF12" s="29">
        <f>AF11+(AF11-AF10)</f>
        <v>699</v>
      </c>
      <c r="AG12" s="29">
        <f>AG10</f>
        <v>1162</v>
      </c>
      <c r="AH12" s="48" t="s">
        <v>10</v>
      </c>
      <c r="AI12" s="29">
        <f>AI11+(AI11-AI10)</f>
        <v>681</v>
      </c>
      <c r="AJ12" s="29">
        <f>AJ10</f>
        <v>1151</v>
      </c>
      <c r="AK12" s="48" t="s">
        <v>10</v>
      </c>
      <c r="AL12" s="29">
        <f t="shared" ref="AL12" si="6">AL11+(AL11-AL10)</f>
        <v>719</v>
      </c>
      <c r="AM12" s="29">
        <f t="shared" ref="AM12" si="7">AM10</f>
        <v>1136</v>
      </c>
      <c r="AN12" s="48" t="s">
        <v>10</v>
      </c>
      <c r="AO12" s="29">
        <f t="shared" ref="AO12" si="8">AO11+(AO11-AO10)</f>
        <v>1111</v>
      </c>
      <c r="AP12" s="29">
        <f t="shared" ref="AP12" si="9">AP10</f>
        <v>1148</v>
      </c>
      <c r="AQ12" s="48" t="s">
        <v>10</v>
      </c>
      <c r="AR12" s="29">
        <f t="shared" ref="AR12" si="10">AR11+(AR11-AR10)</f>
        <v>687</v>
      </c>
      <c r="AS12" s="29">
        <f t="shared" ref="AS12" si="11">AS10</f>
        <v>1153</v>
      </c>
    </row>
    <row r="13" spans="1:45" ht="15.5">
      <c r="A13" s="24">
        <v>9</v>
      </c>
      <c r="B13" s="19" t="s">
        <v>43</v>
      </c>
      <c r="C13" s="19" t="s">
        <v>44</v>
      </c>
      <c r="D13" s="11">
        <v>726</v>
      </c>
      <c r="E13" s="9">
        <v>684</v>
      </c>
      <c r="F13" s="9">
        <v>720</v>
      </c>
      <c r="G13" s="9">
        <v>764</v>
      </c>
      <c r="H13" s="9">
        <v>586</v>
      </c>
      <c r="I13" s="1"/>
      <c r="J13" s="21">
        <v>9</v>
      </c>
      <c r="K13" s="27" t="s">
        <v>43</v>
      </c>
      <c r="L13" s="27" t="s">
        <v>41</v>
      </c>
      <c r="M13" s="27" t="s">
        <v>34</v>
      </c>
      <c r="N13" s="9">
        <v>134.78972171623232</v>
      </c>
      <c r="O13" s="9">
        <v>138.87865479959484</v>
      </c>
      <c r="P13" s="9">
        <v>136.35912145583615</v>
      </c>
      <c r="Q13" s="9">
        <v>139.5989364913026</v>
      </c>
      <c r="R13" s="9">
        <v>135.53792456326462</v>
      </c>
      <c r="S13" s="1"/>
      <c r="T13" s="23">
        <v>9</v>
      </c>
      <c r="U13" s="28"/>
      <c r="V13" s="28"/>
      <c r="W13" s="28"/>
      <c r="X13" s="28"/>
      <c r="Y13" s="11"/>
      <c r="Z13" s="9"/>
      <c r="AA13" s="9"/>
      <c r="AB13" s="9"/>
      <c r="AC13" s="9"/>
      <c r="AD13" s="1"/>
      <c r="AE13" s="48" t="s">
        <v>11</v>
      </c>
      <c r="AF13" s="29">
        <v>262</v>
      </c>
      <c r="AG13" s="29">
        <v>911</v>
      </c>
      <c r="AH13" s="48" t="s">
        <v>11</v>
      </c>
      <c r="AI13" s="29">
        <v>277</v>
      </c>
      <c r="AJ13" s="29">
        <v>868</v>
      </c>
      <c r="AK13" s="48" t="s">
        <v>11</v>
      </c>
      <c r="AL13" s="29">
        <v>289</v>
      </c>
      <c r="AM13" s="29">
        <v>959</v>
      </c>
      <c r="AN13" s="48" t="s">
        <v>11</v>
      </c>
      <c r="AO13" s="29">
        <v>265</v>
      </c>
      <c r="AP13" s="29">
        <v>938</v>
      </c>
      <c r="AQ13" s="48" t="s">
        <v>11</v>
      </c>
      <c r="AR13" s="29">
        <v>346</v>
      </c>
      <c r="AS13" s="29">
        <v>989</v>
      </c>
    </row>
    <row r="14" spans="1:45" ht="15.5">
      <c r="A14" s="24">
        <v>10</v>
      </c>
      <c r="B14" s="19" t="s">
        <v>45</v>
      </c>
      <c r="C14" s="19" t="s">
        <v>43</v>
      </c>
      <c r="D14" s="11">
        <v>75.23961722390672</v>
      </c>
      <c r="E14" s="9">
        <v>37.013511046643494</v>
      </c>
      <c r="F14" s="9">
        <v>75.312681535050928</v>
      </c>
      <c r="G14" s="9">
        <v>80.006249755878443</v>
      </c>
      <c r="H14" s="9">
        <v>79</v>
      </c>
      <c r="I14" s="1"/>
      <c r="J14" s="21">
        <v>10</v>
      </c>
      <c r="K14" s="27" t="s">
        <v>44</v>
      </c>
      <c r="L14" s="27" t="s">
        <v>32</v>
      </c>
      <c r="M14" s="27" t="s">
        <v>62</v>
      </c>
      <c r="N14" s="9">
        <v>53.350211731669731</v>
      </c>
      <c r="O14" s="9">
        <v>53.142300298728387</v>
      </c>
      <c r="P14" s="9">
        <v>49.251349318090583</v>
      </c>
      <c r="Q14" s="9">
        <v>42.771015220095272</v>
      </c>
      <c r="R14" s="9">
        <v>47.84791024855523</v>
      </c>
      <c r="S14" s="1"/>
      <c r="T14" s="23">
        <v>10</v>
      </c>
      <c r="U14" s="28"/>
      <c r="V14" s="28"/>
      <c r="W14" s="28"/>
      <c r="X14" s="28"/>
      <c r="Y14" s="11"/>
      <c r="Z14" s="9"/>
      <c r="AA14" s="9"/>
      <c r="AB14" s="9"/>
      <c r="AC14" s="9"/>
      <c r="AD14" s="1"/>
      <c r="AE14" s="48" t="s">
        <v>12</v>
      </c>
      <c r="AF14" s="29">
        <f>600+(600-AF13)</f>
        <v>938</v>
      </c>
      <c r="AG14" s="29">
        <f>AG13</f>
        <v>911</v>
      </c>
      <c r="AH14" s="48" t="s">
        <v>12</v>
      </c>
      <c r="AI14" s="29">
        <f>600+(600-AI13)</f>
        <v>923</v>
      </c>
      <c r="AJ14" s="29">
        <f>AJ13</f>
        <v>868</v>
      </c>
      <c r="AK14" s="48" t="s">
        <v>12</v>
      </c>
      <c r="AL14" s="29">
        <f t="shared" ref="AL14" si="12">600+(600-AL13)</f>
        <v>911</v>
      </c>
      <c r="AM14" s="29">
        <f t="shared" ref="AM14" si="13">AM13</f>
        <v>959</v>
      </c>
      <c r="AN14" s="48" t="s">
        <v>12</v>
      </c>
      <c r="AO14" s="29">
        <f t="shared" ref="AO14" si="14">600+(600-AO13)</f>
        <v>935</v>
      </c>
      <c r="AP14" s="29">
        <f t="shared" ref="AP14" si="15">AP13</f>
        <v>938</v>
      </c>
      <c r="AQ14" s="48" t="s">
        <v>12</v>
      </c>
      <c r="AR14" s="29">
        <f t="shared" ref="AR14" si="16">600+(600-AR13)</f>
        <v>854</v>
      </c>
      <c r="AS14" s="29">
        <f t="shared" ref="AS14" si="17">AS13</f>
        <v>989</v>
      </c>
    </row>
    <row r="15" spans="1:45" ht="15.5">
      <c r="A15" s="24">
        <v>11</v>
      </c>
      <c r="B15" s="19" t="s">
        <v>46</v>
      </c>
      <c r="C15" s="19" t="s">
        <v>47</v>
      </c>
      <c r="D15" s="11">
        <v>714</v>
      </c>
      <c r="E15" s="9">
        <v>568</v>
      </c>
      <c r="F15" s="9">
        <v>642</v>
      </c>
      <c r="G15" s="9">
        <v>790</v>
      </c>
      <c r="H15" s="9">
        <v>556</v>
      </c>
      <c r="I15" s="1"/>
      <c r="J15" s="21">
        <v>11</v>
      </c>
      <c r="K15" s="27" t="s">
        <v>44</v>
      </c>
      <c r="L15" s="27" t="s">
        <v>33</v>
      </c>
      <c r="M15" s="27" t="s">
        <v>62</v>
      </c>
      <c r="N15" s="9">
        <v>56.927624890910828</v>
      </c>
      <c r="O15" s="9">
        <v>60.184384782168806</v>
      </c>
      <c r="P15" s="9">
        <v>55.423193529386538</v>
      </c>
      <c r="Q15" s="9">
        <v>49.33283338475875</v>
      </c>
      <c r="R15" s="9">
        <v>56.913527539932062</v>
      </c>
      <c r="S15" s="1"/>
      <c r="T15" s="23">
        <v>11</v>
      </c>
      <c r="U15" s="28"/>
      <c r="V15" s="28"/>
      <c r="W15" s="28"/>
      <c r="X15" s="28"/>
      <c r="Y15" s="11"/>
      <c r="Z15" s="9"/>
      <c r="AA15" s="9"/>
      <c r="AB15" s="9"/>
      <c r="AC15" s="9"/>
      <c r="AD15" s="1"/>
      <c r="AE15" s="48" t="s">
        <v>13</v>
      </c>
      <c r="AF15" s="29">
        <v>237</v>
      </c>
      <c r="AG15" s="29">
        <v>691</v>
      </c>
      <c r="AH15" s="48" t="s">
        <v>13</v>
      </c>
      <c r="AI15" s="29">
        <v>258</v>
      </c>
      <c r="AJ15" s="29">
        <v>668</v>
      </c>
      <c r="AK15" s="48" t="s">
        <v>13</v>
      </c>
      <c r="AL15" s="29">
        <v>240</v>
      </c>
      <c r="AM15" s="29">
        <v>706</v>
      </c>
      <c r="AN15" s="48" t="s">
        <v>13</v>
      </c>
      <c r="AO15" s="29">
        <v>218</v>
      </c>
      <c r="AP15" s="29">
        <v>746</v>
      </c>
      <c r="AQ15" s="48" t="s">
        <v>13</v>
      </c>
      <c r="AR15" s="29">
        <v>307</v>
      </c>
      <c r="AS15" s="29">
        <v>731</v>
      </c>
    </row>
    <row r="16" spans="1:45" ht="15.5">
      <c r="A16" s="24">
        <v>12</v>
      </c>
      <c r="B16" s="19" t="s">
        <v>48</v>
      </c>
      <c r="C16" s="19" t="s">
        <v>31</v>
      </c>
      <c r="D16" s="11">
        <v>403</v>
      </c>
      <c r="E16" s="9">
        <v>317</v>
      </c>
      <c r="F16" s="9">
        <v>325</v>
      </c>
      <c r="G16" s="9">
        <v>302.15227948834013</v>
      </c>
      <c r="H16" s="9">
        <v>348</v>
      </c>
      <c r="I16" s="1"/>
      <c r="J16" s="21">
        <v>12</v>
      </c>
      <c r="K16" s="27" t="s">
        <v>47</v>
      </c>
      <c r="L16" s="27" t="s">
        <v>30</v>
      </c>
      <c r="M16" s="27" t="s">
        <v>62</v>
      </c>
      <c r="N16" s="9">
        <v>97.717562346734056</v>
      </c>
      <c r="O16" s="9">
        <v>102.09483388903737</v>
      </c>
      <c r="P16" s="9">
        <v>97.343330217898668</v>
      </c>
      <c r="Q16" s="9">
        <v>90.991856586718598</v>
      </c>
      <c r="R16" s="9">
        <v>103.94395200540079</v>
      </c>
      <c r="S16" s="1"/>
      <c r="T16" s="23">
        <v>12</v>
      </c>
      <c r="U16" s="28"/>
      <c r="V16" s="28"/>
      <c r="W16" s="28"/>
      <c r="X16" s="28"/>
      <c r="Y16" s="11"/>
      <c r="Z16" s="9"/>
      <c r="AA16" s="9"/>
      <c r="AB16" s="9"/>
      <c r="AC16" s="9"/>
      <c r="AD16" s="1"/>
      <c r="AE16" s="48" t="s">
        <v>14</v>
      </c>
      <c r="AF16" s="29">
        <f>600+(600-AF15)</f>
        <v>963</v>
      </c>
      <c r="AG16" s="29">
        <f>AG15</f>
        <v>691</v>
      </c>
      <c r="AH16" s="48" t="s">
        <v>14</v>
      </c>
      <c r="AI16" s="29">
        <f>600+(600-AI15)</f>
        <v>942</v>
      </c>
      <c r="AJ16" s="29">
        <f>AJ15</f>
        <v>668</v>
      </c>
      <c r="AK16" s="48" t="s">
        <v>14</v>
      </c>
      <c r="AL16" s="29">
        <f t="shared" ref="AL16" si="18">600+(600-AL15)</f>
        <v>960</v>
      </c>
      <c r="AM16" s="29">
        <f t="shared" ref="AM16" si="19">AM15</f>
        <v>706</v>
      </c>
      <c r="AN16" s="48" t="s">
        <v>14</v>
      </c>
      <c r="AO16" s="29">
        <f t="shared" ref="AO16" si="20">600+(600-AO15)</f>
        <v>982</v>
      </c>
      <c r="AP16" s="29">
        <f t="shared" ref="AP16" si="21">AP15</f>
        <v>746</v>
      </c>
      <c r="AQ16" s="48" t="s">
        <v>14</v>
      </c>
      <c r="AR16" s="29">
        <f t="shared" ref="AR16" si="22">600+(600-AR15)</f>
        <v>893</v>
      </c>
      <c r="AS16" s="29">
        <f t="shared" ref="AS16" si="23">AS15</f>
        <v>731</v>
      </c>
    </row>
    <row r="17" spans="1:45" ht="15.5">
      <c r="A17" s="24">
        <v>13</v>
      </c>
      <c r="B17" s="19" t="s">
        <v>49</v>
      </c>
      <c r="C17" s="19" t="s">
        <v>37</v>
      </c>
      <c r="D17" s="11">
        <v>698</v>
      </c>
      <c r="E17" s="9">
        <v>634</v>
      </c>
      <c r="F17" s="9">
        <v>653</v>
      </c>
      <c r="G17" s="9">
        <v>638.73077270474448</v>
      </c>
      <c r="H17" s="9">
        <v>629</v>
      </c>
      <c r="I17" s="1"/>
      <c r="J17" s="21">
        <v>13</v>
      </c>
      <c r="K17" s="27" t="s">
        <v>47</v>
      </c>
      <c r="L17" s="27" t="s">
        <v>48</v>
      </c>
      <c r="M17" s="27" t="s">
        <v>62</v>
      </c>
      <c r="N17" s="9">
        <v>65.666404230314086</v>
      </c>
      <c r="O17" s="9">
        <v>68.014825627465925</v>
      </c>
      <c r="P17" s="9">
        <v>64.530959815686742</v>
      </c>
      <c r="Q17" s="9">
        <v>62.910540368614562</v>
      </c>
      <c r="R17" s="9">
        <v>71.990680690079046</v>
      </c>
      <c r="S17" s="1"/>
      <c r="T17" s="23">
        <v>13</v>
      </c>
      <c r="U17" s="28"/>
      <c r="V17" s="28"/>
      <c r="W17" s="28"/>
      <c r="X17" s="28"/>
      <c r="Y17" s="11"/>
      <c r="Z17" s="9"/>
      <c r="AA17" s="9"/>
      <c r="AB17" s="9"/>
      <c r="AC17" s="9"/>
      <c r="AD17" s="1"/>
      <c r="AE17" s="48" t="s">
        <v>15</v>
      </c>
      <c r="AF17" s="29">
        <v>162</v>
      </c>
      <c r="AG17" s="29">
        <v>697</v>
      </c>
      <c r="AH17" s="48" t="s">
        <v>15</v>
      </c>
      <c r="AI17" s="29">
        <v>221</v>
      </c>
      <c r="AJ17" s="29">
        <v>667</v>
      </c>
      <c r="AK17" s="48" t="s">
        <v>15</v>
      </c>
      <c r="AL17" s="29">
        <v>166</v>
      </c>
      <c r="AM17" s="29">
        <v>692</v>
      </c>
      <c r="AN17" s="48" t="s">
        <v>15</v>
      </c>
      <c r="AO17" s="29">
        <v>138</v>
      </c>
      <c r="AP17" s="29">
        <v>745</v>
      </c>
      <c r="AQ17" s="48" t="s">
        <v>15</v>
      </c>
      <c r="AR17" s="29">
        <v>228</v>
      </c>
      <c r="AS17" s="29">
        <v>731</v>
      </c>
    </row>
    <row r="18" spans="1:45" ht="15.5">
      <c r="A18" s="24">
        <v>14</v>
      </c>
      <c r="B18" s="19" t="s">
        <v>49</v>
      </c>
      <c r="C18" s="19" t="s">
        <v>33</v>
      </c>
      <c r="D18" s="11">
        <v>787</v>
      </c>
      <c r="E18" s="9">
        <v>757</v>
      </c>
      <c r="F18" s="9">
        <v>776.00064432962938</v>
      </c>
      <c r="G18" s="9">
        <v>775.83567847837469</v>
      </c>
      <c r="H18" s="9">
        <v>736</v>
      </c>
      <c r="I18" s="1"/>
      <c r="J18" s="21">
        <v>14</v>
      </c>
      <c r="K18" s="44" t="s">
        <v>48</v>
      </c>
      <c r="L18" s="44" t="s">
        <v>78</v>
      </c>
      <c r="M18" s="44" t="s">
        <v>79</v>
      </c>
      <c r="N18" s="11">
        <v>54.103538297628255</v>
      </c>
      <c r="O18" s="9">
        <v>41.5144898570164</v>
      </c>
      <c r="P18" s="9">
        <v>40.087713703867891</v>
      </c>
      <c r="Q18" s="9">
        <v>54.266181779168875</v>
      </c>
      <c r="R18" s="9">
        <v>54.239226349127577</v>
      </c>
      <c r="S18" s="1"/>
      <c r="T18" s="23">
        <v>14</v>
      </c>
      <c r="U18" s="28"/>
      <c r="V18" s="28"/>
      <c r="W18" s="28"/>
      <c r="X18" s="28"/>
      <c r="Y18" s="11"/>
      <c r="Z18" s="9"/>
      <c r="AA18" s="9"/>
      <c r="AB18" s="9"/>
      <c r="AC18" s="9"/>
      <c r="AD18" s="1"/>
      <c r="AE18" s="48" t="s">
        <v>16</v>
      </c>
      <c r="AF18" s="29">
        <f>600+(600-AF17)</f>
        <v>1038</v>
      </c>
      <c r="AG18" s="29">
        <f>AG17</f>
        <v>697</v>
      </c>
      <c r="AH18" s="48" t="s">
        <v>16</v>
      </c>
      <c r="AI18" s="29">
        <f>600+(600-AI17)</f>
        <v>979</v>
      </c>
      <c r="AJ18" s="29">
        <f>AJ17</f>
        <v>667</v>
      </c>
      <c r="AK18" s="48" t="s">
        <v>16</v>
      </c>
      <c r="AL18" s="29">
        <f t="shared" ref="AL18" si="24">600+(600-AL17)</f>
        <v>1034</v>
      </c>
      <c r="AM18" s="29">
        <f t="shared" ref="AM18" si="25">AM17</f>
        <v>692</v>
      </c>
      <c r="AN18" s="48" t="s">
        <v>16</v>
      </c>
      <c r="AO18" s="29">
        <f t="shared" ref="AO18" si="26">600+(600-AO17)</f>
        <v>1062</v>
      </c>
      <c r="AP18" s="29">
        <f t="shared" ref="AP18" si="27">AP17</f>
        <v>745</v>
      </c>
      <c r="AQ18" s="48" t="s">
        <v>16</v>
      </c>
      <c r="AR18" s="29">
        <f t="shared" ref="AR18" si="28">600+(600-AR17)</f>
        <v>972</v>
      </c>
      <c r="AS18" s="29">
        <f t="shared" ref="AS18" si="29">AS17</f>
        <v>731</v>
      </c>
    </row>
    <row r="19" spans="1:45" ht="15.5">
      <c r="A19" s="24">
        <v>15</v>
      </c>
      <c r="B19" s="19" t="s">
        <v>48</v>
      </c>
      <c r="C19" s="19" t="s">
        <v>34</v>
      </c>
      <c r="D19" s="11">
        <v>1025</v>
      </c>
      <c r="E19" s="9">
        <v>1023</v>
      </c>
      <c r="F19" s="9">
        <v>1015</v>
      </c>
      <c r="G19" s="9">
        <v>1017.6369686681003</v>
      </c>
      <c r="H19" s="9">
        <v>997</v>
      </c>
      <c r="I19" s="1"/>
      <c r="J19" s="21">
        <v>15</v>
      </c>
      <c r="K19" s="44" t="s">
        <v>80</v>
      </c>
      <c r="L19" s="44" t="s">
        <v>78</v>
      </c>
      <c r="M19" s="44" t="s">
        <v>79</v>
      </c>
      <c r="N19" s="11">
        <v>12.030596096537881</v>
      </c>
      <c r="O19" s="9">
        <v>22.180248855223759</v>
      </c>
      <c r="P19" s="9">
        <v>18.075596693611789</v>
      </c>
      <c r="Q19" s="9">
        <v>28.737000719663637</v>
      </c>
      <c r="R19" s="9">
        <v>24.581165845064941</v>
      </c>
      <c r="S19" s="1"/>
      <c r="T19" s="23">
        <v>15</v>
      </c>
      <c r="U19" s="28"/>
      <c r="V19" s="28"/>
      <c r="W19" s="28"/>
      <c r="X19" s="28"/>
      <c r="Y19" s="11"/>
      <c r="Z19" s="9"/>
      <c r="AA19" s="9"/>
      <c r="AB19" s="9"/>
      <c r="AC19" s="9"/>
      <c r="AD19" s="1"/>
      <c r="AE19" s="48" t="s">
        <v>17</v>
      </c>
      <c r="AF19" s="29">
        <v>243</v>
      </c>
      <c r="AG19" s="29">
        <v>121</v>
      </c>
      <c r="AH19" s="48" t="s">
        <v>17</v>
      </c>
      <c r="AI19" s="29">
        <v>316</v>
      </c>
      <c r="AJ19" s="29">
        <v>114</v>
      </c>
      <c r="AK19" s="48" t="s">
        <v>17</v>
      </c>
      <c r="AL19" s="29">
        <v>279</v>
      </c>
      <c r="AM19" s="29">
        <v>141</v>
      </c>
      <c r="AN19" s="48" t="s">
        <v>17</v>
      </c>
      <c r="AO19" s="29">
        <v>205</v>
      </c>
      <c r="AP19" s="29">
        <v>132</v>
      </c>
      <c r="AQ19" s="48" t="s">
        <v>17</v>
      </c>
      <c r="AR19" s="29">
        <v>322</v>
      </c>
      <c r="AS19" s="29">
        <v>123</v>
      </c>
    </row>
    <row r="20" spans="1:45" ht="15.5">
      <c r="A20" s="24">
        <v>16</v>
      </c>
      <c r="B20" s="19" t="s">
        <v>50</v>
      </c>
      <c r="C20" s="19" t="s">
        <v>51</v>
      </c>
      <c r="D20" s="11">
        <v>63.198101237299845</v>
      </c>
      <c r="E20" s="9">
        <v>17</v>
      </c>
      <c r="F20" s="9">
        <v>64.070273918565391</v>
      </c>
      <c r="G20" s="9">
        <v>81.024687595818591</v>
      </c>
      <c r="H20" s="9">
        <v>39.11521443121589</v>
      </c>
      <c r="I20" s="3"/>
      <c r="J20" s="21">
        <v>16</v>
      </c>
      <c r="K20" s="44" t="s">
        <v>48</v>
      </c>
      <c r="L20" s="44" t="s">
        <v>81</v>
      </c>
      <c r="M20" s="44" t="s">
        <v>79</v>
      </c>
      <c r="N20" s="11">
        <v>100.5754114397654</v>
      </c>
      <c r="O20" s="9">
        <v>110.72254501266171</v>
      </c>
      <c r="P20" s="9">
        <v>98.982361463504375</v>
      </c>
      <c r="Q20" s="9">
        <v>96.669811107712206</v>
      </c>
      <c r="R20" s="9">
        <v>100.97380109047316</v>
      </c>
      <c r="S20" s="1"/>
      <c r="T20" s="23">
        <v>16</v>
      </c>
      <c r="U20" s="28"/>
      <c r="V20" s="28"/>
      <c r="W20" s="28"/>
      <c r="X20" s="28"/>
      <c r="Y20" s="11"/>
      <c r="Z20" s="9"/>
      <c r="AA20" s="9"/>
      <c r="AB20" s="9"/>
      <c r="AC20" s="9"/>
      <c r="AD20" s="1"/>
      <c r="AE20" s="48" t="s">
        <v>18</v>
      </c>
      <c r="AF20" s="29">
        <v>600</v>
      </c>
      <c r="AG20" s="29">
        <v>153</v>
      </c>
      <c r="AH20" s="48" t="s">
        <v>18</v>
      </c>
      <c r="AI20" s="29">
        <v>600</v>
      </c>
      <c r="AJ20" s="29">
        <v>151</v>
      </c>
      <c r="AK20" s="48" t="s">
        <v>18</v>
      </c>
      <c r="AL20" s="29">
        <v>600</v>
      </c>
      <c r="AM20" s="29">
        <v>165</v>
      </c>
      <c r="AN20" s="48" t="s">
        <v>18</v>
      </c>
      <c r="AO20" s="29">
        <v>564</v>
      </c>
      <c r="AP20" s="29">
        <v>163</v>
      </c>
      <c r="AQ20" s="48" t="s">
        <v>18</v>
      </c>
      <c r="AR20" s="29">
        <v>600</v>
      </c>
      <c r="AS20" s="29">
        <v>183</v>
      </c>
    </row>
    <row r="21" spans="1:45" ht="15.5">
      <c r="A21" s="24">
        <v>17</v>
      </c>
      <c r="B21" s="19" t="s">
        <v>65</v>
      </c>
      <c r="C21" s="19" t="s">
        <v>66</v>
      </c>
      <c r="D21" s="11">
        <v>238</v>
      </c>
      <c r="E21" s="9">
        <v>266</v>
      </c>
      <c r="F21" s="9">
        <v>239.00209204105306</v>
      </c>
      <c r="G21" s="9">
        <v>242</v>
      </c>
      <c r="H21" s="9">
        <v>261</v>
      </c>
      <c r="I21" s="3"/>
      <c r="J21" s="21">
        <v>17</v>
      </c>
      <c r="K21" s="44" t="s">
        <v>80</v>
      </c>
      <c r="L21" s="44" t="s">
        <v>81</v>
      </c>
      <c r="M21" s="44" t="s">
        <v>79</v>
      </c>
      <c r="N21" s="11">
        <v>16.460014812040036</v>
      </c>
      <c r="O21" s="9">
        <v>26.018160069369372</v>
      </c>
      <c r="P21" s="9">
        <v>15.093759926514998</v>
      </c>
      <c r="Q21" s="9">
        <v>27.156113170831322</v>
      </c>
      <c r="R21" s="9">
        <v>22.353197686989382</v>
      </c>
      <c r="S21" s="1"/>
      <c r="T21" s="23">
        <v>17</v>
      </c>
      <c r="U21" s="28"/>
      <c r="V21" s="28"/>
      <c r="W21" s="28"/>
      <c r="X21" s="28"/>
      <c r="Y21" s="11"/>
      <c r="Z21" s="9"/>
      <c r="AA21" s="9"/>
      <c r="AB21" s="9"/>
      <c r="AC21" s="9"/>
      <c r="AD21" s="1"/>
      <c r="AE21" s="48" t="s">
        <v>19</v>
      </c>
      <c r="AF21" s="29">
        <f>600+(600-AF19)</f>
        <v>957</v>
      </c>
      <c r="AG21" s="29">
        <f>AG19</f>
        <v>121</v>
      </c>
      <c r="AH21" s="48" t="s">
        <v>19</v>
      </c>
      <c r="AI21" s="29">
        <f>600+(600-AI19)</f>
        <v>884</v>
      </c>
      <c r="AJ21" s="29">
        <f>AJ19</f>
        <v>114</v>
      </c>
      <c r="AK21" s="48" t="s">
        <v>19</v>
      </c>
      <c r="AL21" s="29">
        <f t="shared" ref="AL21" si="30">600+(600-AL19)</f>
        <v>921</v>
      </c>
      <c r="AM21" s="29">
        <f t="shared" ref="AM21" si="31">AM19</f>
        <v>141</v>
      </c>
      <c r="AN21" s="48" t="s">
        <v>19</v>
      </c>
      <c r="AO21" s="29">
        <f t="shared" ref="AO21" si="32">600+(600-AO19)</f>
        <v>995</v>
      </c>
      <c r="AP21" s="29">
        <f t="shared" ref="AP21" si="33">AP19</f>
        <v>132</v>
      </c>
      <c r="AQ21" s="48" t="s">
        <v>19</v>
      </c>
      <c r="AR21" s="29">
        <f t="shared" ref="AR21" si="34">600+(600-AR19)</f>
        <v>878</v>
      </c>
      <c r="AS21" s="29">
        <f t="shared" ref="AS21" si="35">AS19</f>
        <v>123</v>
      </c>
    </row>
    <row r="22" spans="1:45" ht="15.5">
      <c r="A22" s="24">
        <v>18</v>
      </c>
      <c r="B22" s="19" t="s">
        <v>76</v>
      </c>
      <c r="C22" s="19" t="s">
        <v>75</v>
      </c>
      <c r="D22" s="11">
        <v>26.92582403567252</v>
      </c>
      <c r="E22" s="9">
        <v>51.478150704935004</v>
      </c>
      <c r="F22" s="9">
        <v>31.048349392520048</v>
      </c>
      <c r="G22" s="9">
        <v>55.081757415681643</v>
      </c>
      <c r="H22" s="9">
        <v>44.407206622349037</v>
      </c>
      <c r="I22" s="3"/>
      <c r="J22" s="21">
        <v>18</v>
      </c>
      <c r="K22" s="27"/>
      <c r="L22" s="27"/>
      <c r="M22" s="27"/>
      <c r="N22" s="11"/>
      <c r="O22" s="9"/>
      <c r="P22" s="9"/>
      <c r="Q22" s="9"/>
      <c r="R22" s="9"/>
      <c r="S22" s="1"/>
      <c r="T22" s="23">
        <v>18</v>
      </c>
      <c r="U22" s="28"/>
      <c r="V22" s="28"/>
      <c r="W22" s="28"/>
      <c r="X22" s="28"/>
      <c r="Y22" s="11"/>
      <c r="Z22" s="9"/>
      <c r="AA22" s="9"/>
      <c r="AB22" s="9"/>
      <c r="AC22" s="9"/>
      <c r="AD22" s="1"/>
      <c r="AE22" s="48" t="s">
        <v>20</v>
      </c>
      <c r="AF22" s="29">
        <v>360</v>
      </c>
      <c r="AG22" s="29">
        <v>584</v>
      </c>
      <c r="AH22" s="48" t="s">
        <v>20</v>
      </c>
      <c r="AI22" s="29">
        <v>341</v>
      </c>
      <c r="AJ22" s="29">
        <v>544</v>
      </c>
      <c r="AK22" s="48" t="s">
        <v>20</v>
      </c>
      <c r="AL22" s="29">
        <v>376</v>
      </c>
      <c r="AM22" s="29">
        <v>591</v>
      </c>
      <c r="AN22" s="49" t="s">
        <v>20</v>
      </c>
      <c r="AO22" s="30">
        <v>345</v>
      </c>
      <c r="AP22" s="30">
        <v>568</v>
      </c>
      <c r="AQ22" s="48" t="s">
        <v>20</v>
      </c>
      <c r="AR22" s="29">
        <v>371</v>
      </c>
      <c r="AS22" s="29">
        <v>590</v>
      </c>
    </row>
    <row r="23" spans="1:45" ht="15.5">
      <c r="A23" s="24">
        <v>19</v>
      </c>
      <c r="B23" s="19" t="s">
        <v>73</v>
      </c>
      <c r="C23" s="19" t="s">
        <v>74</v>
      </c>
      <c r="D23" s="11">
        <v>210</v>
      </c>
      <c r="E23" s="9">
        <v>231.65923249462776</v>
      </c>
      <c r="F23" s="9">
        <v>194.65867563507155</v>
      </c>
      <c r="G23" s="9">
        <v>210.34257771549724</v>
      </c>
      <c r="H23" s="9">
        <v>204.02205763103166</v>
      </c>
      <c r="I23" s="3"/>
      <c r="J23" s="21">
        <v>19</v>
      </c>
      <c r="K23" s="27"/>
      <c r="L23" s="27"/>
      <c r="M23" s="27"/>
      <c r="N23" s="11"/>
      <c r="O23" s="9"/>
      <c r="P23" s="9"/>
      <c r="Q23" s="9"/>
      <c r="R23" s="9"/>
      <c r="S23" s="1"/>
      <c r="T23" s="23">
        <v>19</v>
      </c>
      <c r="U23" s="28"/>
      <c r="V23" s="28"/>
      <c r="W23" s="28"/>
      <c r="X23" s="28"/>
      <c r="Y23" s="11"/>
      <c r="Z23" s="9"/>
      <c r="AA23" s="9"/>
      <c r="AB23" s="9"/>
      <c r="AC23" s="9"/>
      <c r="AD23" s="1"/>
      <c r="AE23" s="48" t="s">
        <v>21</v>
      </c>
      <c r="AF23" s="29">
        <v>430</v>
      </c>
      <c r="AG23" s="29">
        <v>611</v>
      </c>
      <c r="AH23" s="49" t="s">
        <v>21</v>
      </c>
      <c r="AI23" s="30">
        <v>428</v>
      </c>
      <c r="AJ23" s="30">
        <v>511</v>
      </c>
      <c r="AK23" s="48" t="s">
        <v>21</v>
      </c>
      <c r="AL23" s="29">
        <v>451</v>
      </c>
      <c r="AM23" s="29">
        <v>601</v>
      </c>
      <c r="AN23" s="49" t="s">
        <v>21</v>
      </c>
      <c r="AO23" s="30">
        <v>425</v>
      </c>
      <c r="AP23" s="30">
        <v>591</v>
      </c>
      <c r="AQ23" s="48" t="s">
        <v>21</v>
      </c>
      <c r="AR23" s="29">
        <v>450</v>
      </c>
      <c r="AS23" s="29">
        <v>601</v>
      </c>
    </row>
    <row r="24" spans="1:45" ht="15.5">
      <c r="A24" s="24">
        <v>20</v>
      </c>
      <c r="B24" s="19"/>
      <c r="C24" s="19"/>
      <c r="D24" s="11"/>
      <c r="E24" s="9"/>
      <c r="F24" s="9"/>
      <c r="G24" s="9"/>
      <c r="H24" s="9"/>
      <c r="I24" s="3"/>
      <c r="J24" s="21">
        <v>20</v>
      </c>
      <c r="K24" s="27"/>
      <c r="L24" s="27"/>
      <c r="M24" s="27"/>
      <c r="N24" s="11"/>
      <c r="O24" s="9"/>
      <c r="P24" s="9"/>
      <c r="Q24" s="9"/>
      <c r="R24" s="9"/>
      <c r="S24" s="1"/>
      <c r="T24" s="23">
        <v>20</v>
      </c>
      <c r="U24" s="28"/>
      <c r="V24" s="28"/>
      <c r="W24" s="28"/>
      <c r="X24" s="28"/>
      <c r="Y24" s="11"/>
      <c r="Z24" s="9"/>
      <c r="AA24" s="9"/>
      <c r="AB24" s="9"/>
      <c r="AC24" s="9"/>
      <c r="AD24" s="1"/>
      <c r="AE24" s="48" t="s">
        <v>22</v>
      </c>
      <c r="AF24" s="29">
        <v>516</v>
      </c>
      <c r="AG24" s="29">
        <v>600</v>
      </c>
      <c r="AH24" s="49" t="s">
        <v>22</v>
      </c>
      <c r="AI24" s="30">
        <v>503</v>
      </c>
      <c r="AJ24" s="30">
        <v>538</v>
      </c>
      <c r="AK24" s="48" t="s">
        <v>22</v>
      </c>
      <c r="AL24" s="29">
        <v>517</v>
      </c>
      <c r="AM24" s="29">
        <v>576</v>
      </c>
      <c r="AN24" s="49" t="s">
        <v>22</v>
      </c>
      <c r="AO24" s="30">
        <v>516</v>
      </c>
      <c r="AP24" s="30">
        <v>561</v>
      </c>
      <c r="AQ24" s="48" t="s">
        <v>22</v>
      </c>
      <c r="AR24" s="29">
        <v>525</v>
      </c>
      <c r="AS24" s="29">
        <v>590</v>
      </c>
    </row>
    <row r="25" spans="1:45" ht="15.5">
      <c r="A25" s="24">
        <v>21</v>
      </c>
      <c r="B25" s="19"/>
      <c r="C25" s="19"/>
      <c r="D25" s="9"/>
      <c r="E25" s="9"/>
      <c r="F25" s="9"/>
      <c r="G25" s="9"/>
      <c r="H25" s="9"/>
      <c r="I25" s="3"/>
      <c r="J25" s="21">
        <v>21</v>
      </c>
      <c r="K25" s="27"/>
      <c r="L25" s="27"/>
      <c r="M25" s="27"/>
      <c r="N25" s="11"/>
      <c r="O25" s="9"/>
      <c r="P25" s="9"/>
      <c r="Q25" s="9"/>
      <c r="R25" s="9"/>
      <c r="S25" s="1"/>
      <c r="T25" s="23">
        <v>21</v>
      </c>
      <c r="U25" s="28"/>
      <c r="V25" s="28"/>
      <c r="W25" s="28"/>
      <c r="X25" s="28"/>
      <c r="Y25" s="11"/>
      <c r="Z25" s="9"/>
      <c r="AA25" s="9"/>
      <c r="AB25" s="9"/>
      <c r="AC25" s="9"/>
      <c r="AD25" s="1"/>
      <c r="AE25" s="48" t="s">
        <v>23</v>
      </c>
      <c r="AF25" s="29">
        <v>425</v>
      </c>
      <c r="AG25" s="29">
        <v>548</v>
      </c>
      <c r="AH25" s="49" t="s">
        <v>23</v>
      </c>
      <c r="AI25" s="30">
        <v>420</v>
      </c>
      <c r="AJ25" s="30">
        <v>496</v>
      </c>
      <c r="AK25" s="48" t="s">
        <v>23</v>
      </c>
      <c r="AL25" s="29">
        <v>448</v>
      </c>
      <c r="AM25" s="29">
        <v>537</v>
      </c>
      <c r="AN25" s="49" t="s">
        <v>23</v>
      </c>
      <c r="AO25" s="30">
        <v>423</v>
      </c>
      <c r="AP25" s="30">
        <v>510</v>
      </c>
      <c r="AQ25" s="48" t="s">
        <v>23</v>
      </c>
      <c r="AR25" s="29">
        <v>447</v>
      </c>
      <c r="AS25" s="29">
        <v>562</v>
      </c>
    </row>
    <row r="26" spans="1:45" ht="15.5">
      <c r="A26" s="24">
        <v>22</v>
      </c>
      <c r="B26" s="19"/>
      <c r="C26" s="19"/>
      <c r="D26" s="9"/>
      <c r="E26" s="9"/>
      <c r="F26" s="9"/>
      <c r="G26" s="9"/>
      <c r="H26" s="9"/>
      <c r="I26" s="3"/>
      <c r="J26" s="21">
        <v>22</v>
      </c>
      <c r="K26" s="27"/>
      <c r="L26" s="27"/>
      <c r="M26" s="27"/>
      <c r="N26" s="11"/>
      <c r="O26" s="9"/>
      <c r="P26" s="9"/>
      <c r="Q26" s="9"/>
      <c r="R26" s="9"/>
      <c r="S26" s="1"/>
      <c r="T26" s="23">
        <v>22</v>
      </c>
      <c r="U26" s="28"/>
      <c r="V26" s="28"/>
      <c r="W26" s="28"/>
      <c r="X26" s="28"/>
      <c r="Y26" s="11"/>
      <c r="Z26" s="9"/>
      <c r="AA26" s="9"/>
      <c r="AB26" s="9"/>
      <c r="AC26" s="9"/>
      <c r="AD26" s="1"/>
      <c r="AE26" s="48" t="s">
        <v>24</v>
      </c>
      <c r="AF26" s="31">
        <v>1180</v>
      </c>
      <c r="AG26" s="31">
        <v>1180</v>
      </c>
      <c r="AH26" s="49" t="s">
        <v>24</v>
      </c>
      <c r="AI26" s="30">
        <v>1180</v>
      </c>
      <c r="AJ26" s="30">
        <v>1180</v>
      </c>
      <c r="AK26" s="48" t="s">
        <v>24</v>
      </c>
      <c r="AL26" s="31">
        <v>1180</v>
      </c>
      <c r="AM26" s="31">
        <v>1180</v>
      </c>
      <c r="AN26" s="49" t="s">
        <v>24</v>
      </c>
      <c r="AO26" s="30">
        <v>1180</v>
      </c>
      <c r="AP26" s="30">
        <v>1180</v>
      </c>
      <c r="AQ26" s="32" t="s">
        <v>24</v>
      </c>
      <c r="AR26" s="31">
        <v>1180</v>
      </c>
      <c r="AS26" s="31">
        <v>1180</v>
      </c>
    </row>
    <row r="27" spans="1:45" ht="15.5">
      <c r="A27" s="24">
        <v>23</v>
      </c>
      <c r="B27" s="19"/>
      <c r="C27" s="19"/>
      <c r="D27" s="9"/>
      <c r="E27" s="9"/>
      <c r="F27" s="9"/>
      <c r="G27" s="9"/>
      <c r="H27" s="9"/>
      <c r="I27" s="1"/>
      <c r="J27" s="21">
        <v>23</v>
      </c>
      <c r="K27" s="27"/>
      <c r="L27" s="27"/>
      <c r="M27" s="27"/>
      <c r="N27" s="11"/>
      <c r="O27" s="9"/>
      <c r="P27" s="9"/>
      <c r="Q27" s="9"/>
      <c r="R27" s="9"/>
      <c r="S27" s="1"/>
      <c r="T27" s="23">
        <v>23</v>
      </c>
      <c r="U27" s="28"/>
      <c r="V27" s="28"/>
      <c r="W27" s="28"/>
      <c r="X27" s="28"/>
      <c r="Y27" s="11"/>
      <c r="Z27" s="9"/>
      <c r="AA27" s="9"/>
      <c r="AB27" s="9"/>
      <c r="AC27" s="9"/>
      <c r="AD27" s="1"/>
      <c r="AE27" s="46" t="s">
        <v>67</v>
      </c>
      <c r="AF27" s="8">
        <v>600</v>
      </c>
      <c r="AG27" s="37">
        <v>0</v>
      </c>
      <c r="AH27" s="46" t="s">
        <v>67</v>
      </c>
      <c r="AI27" s="9">
        <v>600</v>
      </c>
      <c r="AJ27" s="38">
        <v>0</v>
      </c>
      <c r="AK27" s="46" t="s">
        <v>67</v>
      </c>
      <c r="AL27" s="8">
        <v>600</v>
      </c>
      <c r="AM27" s="37">
        <v>0</v>
      </c>
      <c r="AN27" s="46" t="s">
        <v>67</v>
      </c>
      <c r="AO27" s="9">
        <v>600</v>
      </c>
      <c r="AP27" s="38">
        <v>0</v>
      </c>
      <c r="AQ27" s="46" t="s">
        <v>67</v>
      </c>
      <c r="AR27" s="8">
        <v>600</v>
      </c>
      <c r="AS27" s="37">
        <v>0</v>
      </c>
    </row>
    <row r="28" spans="1:45" ht="15.5">
      <c r="A28" s="24">
        <v>24</v>
      </c>
      <c r="B28" s="19"/>
      <c r="C28" s="19"/>
      <c r="D28" s="9"/>
      <c r="E28" s="12"/>
      <c r="F28" s="12"/>
      <c r="G28" s="12"/>
      <c r="H28" s="12"/>
      <c r="I28" s="7"/>
      <c r="J28" s="21">
        <v>24</v>
      </c>
      <c r="K28" s="27"/>
      <c r="L28" s="27"/>
      <c r="M28" s="27"/>
      <c r="N28" s="17"/>
      <c r="O28" s="12"/>
      <c r="P28" s="12"/>
      <c r="Q28" s="12"/>
      <c r="R28" s="12"/>
      <c r="S28" s="7"/>
      <c r="T28" s="23">
        <v>24</v>
      </c>
      <c r="U28" s="28"/>
      <c r="V28" s="28"/>
      <c r="W28" s="28"/>
      <c r="X28" s="28"/>
      <c r="Y28" s="17"/>
      <c r="Z28" s="12"/>
      <c r="AA28" s="12"/>
      <c r="AB28" s="12"/>
      <c r="AC28" s="12"/>
      <c r="AD28" s="7"/>
      <c r="AE28" s="46" t="s">
        <v>68</v>
      </c>
      <c r="AF28" s="8">
        <v>439</v>
      </c>
      <c r="AG28" s="37">
        <v>518</v>
      </c>
      <c r="AH28" s="46" t="s">
        <v>68</v>
      </c>
      <c r="AI28" s="9">
        <v>419</v>
      </c>
      <c r="AJ28" s="38">
        <v>439</v>
      </c>
      <c r="AK28" s="46" t="s">
        <v>68</v>
      </c>
      <c r="AL28" s="8">
        <v>423</v>
      </c>
      <c r="AM28" s="37">
        <v>459</v>
      </c>
      <c r="AN28" s="46" t="s">
        <v>68</v>
      </c>
      <c r="AO28" s="9">
        <v>417</v>
      </c>
      <c r="AP28" s="38">
        <v>406</v>
      </c>
      <c r="AQ28" s="46" t="s">
        <v>68</v>
      </c>
      <c r="AR28" s="8">
        <v>423</v>
      </c>
      <c r="AS28" s="37">
        <v>500</v>
      </c>
    </row>
    <row r="29" spans="1:45" ht="15.5">
      <c r="A29" s="24">
        <v>25</v>
      </c>
      <c r="B29" s="19"/>
      <c r="C29" s="19"/>
      <c r="D29" s="18"/>
      <c r="E29" s="13"/>
      <c r="F29" s="9"/>
      <c r="G29" s="9"/>
      <c r="H29" s="9"/>
      <c r="I29" s="1"/>
      <c r="J29" s="21">
        <v>25</v>
      </c>
      <c r="K29" s="27"/>
      <c r="L29" s="27"/>
      <c r="M29" s="27"/>
      <c r="N29" s="11"/>
      <c r="O29" s="9"/>
      <c r="P29" s="9"/>
      <c r="Q29" s="9"/>
      <c r="R29" s="9"/>
      <c r="S29" s="1"/>
      <c r="T29" s="23">
        <v>25</v>
      </c>
      <c r="U29" s="28"/>
      <c r="V29" s="28"/>
      <c r="W29" s="28"/>
      <c r="X29" s="28"/>
      <c r="Y29" s="11"/>
      <c r="Z29" s="9"/>
      <c r="AA29" s="9"/>
      <c r="AB29" s="9"/>
      <c r="AC29" s="9"/>
      <c r="AD29" s="1"/>
      <c r="AE29" s="46" t="s">
        <v>69</v>
      </c>
      <c r="AF29" s="8">
        <v>317</v>
      </c>
      <c r="AG29" s="37">
        <v>544</v>
      </c>
      <c r="AH29" s="46" t="s">
        <v>69</v>
      </c>
      <c r="AI29" s="9">
        <v>302</v>
      </c>
      <c r="AJ29" s="38">
        <v>509</v>
      </c>
      <c r="AK29" s="46" t="s">
        <v>69</v>
      </c>
      <c r="AL29" s="8">
        <v>337</v>
      </c>
      <c r="AM29" s="37">
        <v>510</v>
      </c>
      <c r="AN29" s="46" t="s">
        <v>69</v>
      </c>
      <c r="AO29" s="9">
        <v>313</v>
      </c>
      <c r="AP29" s="38">
        <v>451</v>
      </c>
      <c r="AQ29" s="46" t="s">
        <v>69</v>
      </c>
      <c r="AR29" s="8">
        <v>326</v>
      </c>
      <c r="AS29" s="37">
        <v>541</v>
      </c>
    </row>
    <row r="30" spans="1:45" ht="15.5">
      <c r="A30" s="24">
        <v>26</v>
      </c>
      <c r="B30" s="19"/>
      <c r="C30" s="19"/>
      <c r="D30" s="11"/>
      <c r="E30" s="9"/>
      <c r="F30" s="9"/>
      <c r="G30" s="9"/>
      <c r="H30" s="9"/>
      <c r="I30" s="1"/>
      <c r="J30" s="21">
        <v>26</v>
      </c>
      <c r="K30" s="27"/>
      <c r="L30" s="27"/>
      <c r="M30" s="27"/>
      <c r="N30" s="11"/>
      <c r="O30" s="9"/>
      <c r="P30" s="9"/>
      <c r="Q30" s="9"/>
      <c r="R30" s="9"/>
      <c r="S30" s="1"/>
      <c r="T30" s="23">
        <v>26</v>
      </c>
      <c r="U30" s="28"/>
      <c r="V30" s="28"/>
      <c r="W30" s="28"/>
      <c r="X30" s="28"/>
      <c r="Y30" s="11"/>
      <c r="Z30" s="9"/>
      <c r="AA30" s="9"/>
      <c r="AB30" s="9"/>
      <c r="AC30" s="9"/>
      <c r="AD30" s="1"/>
      <c r="AE30" s="46" t="s">
        <v>70</v>
      </c>
      <c r="AF30" s="8">
        <v>527</v>
      </c>
      <c r="AG30" s="37">
        <v>544</v>
      </c>
      <c r="AH30" s="46" t="s">
        <v>70</v>
      </c>
      <c r="AI30" s="9">
        <v>531</v>
      </c>
      <c r="AJ30" s="38">
        <v>474</v>
      </c>
      <c r="AK30" s="46" t="s">
        <v>70</v>
      </c>
      <c r="AL30" s="8">
        <v>531</v>
      </c>
      <c r="AM30" s="37">
        <v>494</v>
      </c>
      <c r="AN30" s="46" t="s">
        <v>70</v>
      </c>
      <c r="AO30" s="9">
        <v>523</v>
      </c>
      <c r="AP30" s="38">
        <v>463</v>
      </c>
      <c r="AQ30" s="46" t="s">
        <v>70</v>
      </c>
      <c r="AR30" s="8">
        <v>530</v>
      </c>
      <c r="AS30" s="37">
        <v>544</v>
      </c>
    </row>
    <row r="31" spans="1:45" ht="15.5">
      <c r="A31" s="24">
        <v>27</v>
      </c>
      <c r="B31" s="19"/>
      <c r="C31" s="19"/>
      <c r="D31" s="11"/>
      <c r="E31" s="9"/>
      <c r="F31" s="9"/>
      <c r="G31" s="9"/>
      <c r="H31" s="9"/>
      <c r="I31" s="1"/>
      <c r="J31" s="21">
        <v>27</v>
      </c>
      <c r="K31" s="27"/>
      <c r="L31" s="27"/>
      <c r="M31" s="27"/>
      <c r="N31" s="11"/>
      <c r="O31" s="9"/>
      <c r="P31" s="9"/>
      <c r="Q31" s="9"/>
      <c r="R31" s="9"/>
      <c r="S31" s="1"/>
      <c r="T31" s="23">
        <v>27</v>
      </c>
      <c r="U31" s="28"/>
      <c r="V31" s="28"/>
      <c r="W31" s="28"/>
      <c r="X31" s="28"/>
      <c r="Y31" s="11"/>
      <c r="Z31" s="9"/>
      <c r="AA31" s="9"/>
      <c r="AB31" s="9"/>
      <c r="AC31" s="9"/>
      <c r="AD31" s="1"/>
      <c r="AE31" s="46" t="s">
        <v>71</v>
      </c>
      <c r="AF31" s="8">
        <v>432</v>
      </c>
      <c r="AG31" s="37">
        <v>544</v>
      </c>
      <c r="AH31" s="46" t="s">
        <v>71</v>
      </c>
      <c r="AI31" s="9">
        <v>426</v>
      </c>
      <c r="AJ31" s="38">
        <v>490</v>
      </c>
      <c r="AK31" s="46" t="s">
        <v>71</v>
      </c>
      <c r="AL31" s="8">
        <v>431</v>
      </c>
      <c r="AM31" s="37">
        <v>489</v>
      </c>
      <c r="AN31" s="46" t="s">
        <v>71</v>
      </c>
      <c r="AO31" s="9">
        <v>420</v>
      </c>
      <c r="AP31" s="38">
        <v>461</v>
      </c>
      <c r="AQ31" s="46" t="s">
        <v>71</v>
      </c>
      <c r="AR31" s="8">
        <v>429</v>
      </c>
      <c r="AS31" s="37">
        <v>544</v>
      </c>
    </row>
    <row r="32" spans="1:45" ht="15.5">
      <c r="A32" s="24">
        <v>28</v>
      </c>
      <c r="B32" s="19"/>
      <c r="C32" s="19"/>
      <c r="D32" s="11"/>
      <c r="E32" s="9"/>
      <c r="F32" s="9"/>
      <c r="G32" s="9"/>
      <c r="H32" s="9"/>
      <c r="I32" s="1"/>
      <c r="J32" s="21">
        <v>28</v>
      </c>
      <c r="K32" s="27"/>
      <c r="L32" s="27"/>
      <c r="M32" s="27"/>
      <c r="N32" s="11"/>
      <c r="O32" s="9"/>
      <c r="P32" s="9"/>
      <c r="Q32" s="9"/>
      <c r="R32" s="9"/>
      <c r="S32" s="1"/>
      <c r="T32" s="23">
        <v>28</v>
      </c>
      <c r="U32" s="28"/>
      <c r="V32" s="28"/>
      <c r="W32" s="28"/>
      <c r="X32" s="28"/>
      <c r="Y32" s="11"/>
      <c r="Z32" s="9"/>
      <c r="AA32" s="9"/>
      <c r="AB32" s="9"/>
      <c r="AC32" s="9"/>
      <c r="AD32" s="1"/>
      <c r="AE32" s="41" t="s">
        <v>72</v>
      </c>
      <c r="AF32" s="8">
        <v>388</v>
      </c>
      <c r="AG32" s="37">
        <v>886</v>
      </c>
      <c r="AH32" s="41" t="s">
        <v>72</v>
      </c>
      <c r="AI32" s="9">
        <v>421</v>
      </c>
      <c r="AJ32" s="38">
        <v>1025</v>
      </c>
      <c r="AK32" s="41" t="s">
        <v>72</v>
      </c>
      <c r="AL32" s="8">
        <v>454</v>
      </c>
      <c r="AM32" s="37">
        <v>950</v>
      </c>
      <c r="AN32" s="41" t="s">
        <v>72</v>
      </c>
      <c r="AO32" s="9">
        <v>432</v>
      </c>
      <c r="AP32" s="38">
        <v>920</v>
      </c>
      <c r="AQ32" s="41" t="s">
        <v>72</v>
      </c>
      <c r="AR32" s="8">
        <v>420</v>
      </c>
      <c r="AS32" s="37">
        <v>777</v>
      </c>
    </row>
    <row r="33" spans="1:45" ht="15.5">
      <c r="A33" s="24">
        <v>29</v>
      </c>
      <c r="B33" s="19"/>
      <c r="C33" s="19"/>
      <c r="D33" s="11"/>
      <c r="E33" s="9"/>
      <c r="F33" s="9"/>
      <c r="G33" s="9"/>
      <c r="H33" s="9"/>
      <c r="I33" s="1"/>
      <c r="J33" s="21">
        <v>29</v>
      </c>
      <c r="K33" s="27"/>
      <c r="L33" s="27"/>
      <c r="M33" s="27"/>
      <c r="N33" s="11"/>
      <c r="O33" s="9"/>
      <c r="P33" s="9"/>
      <c r="Q33" s="9"/>
      <c r="R33" s="9"/>
      <c r="S33" s="1"/>
      <c r="T33" s="23">
        <v>29</v>
      </c>
      <c r="U33" s="28"/>
      <c r="V33" s="28"/>
      <c r="W33" s="28"/>
      <c r="X33" s="28"/>
      <c r="Y33" s="11"/>
      <c r="Z33" s="9"/>
      <c r="AA33" s="9"/>
      <c r="AB33" s="9"/>
      <c r="AC33" s="9"/>
      <c r="AD33" s="1"/>
      <c r="AE33" s="26"/>
      <c r="AF33" s="8"/>
      <c r="AG33" s="6"/>
      <c r="AH33" s="5"/>
      <c r="AI33" s="9"/>
      <c r="AJ33" s="16"/>
      <c r="AK33" s="26"/>
      <c r="AL33" s="8"/>
      <c r="AM33" s="6"/>
      <c r="AN33" s="5"/>
      <c r="AO33" s="9"/>
      <c r="AP33" s="16"/>
      <c r="AQ33" s="26"/>
      <c r="AR33" s="8"/>
      <c r="AS33" s="6"/>
    </row>
    <row r="34" spans="1:45" ht="15.5">
      <c r="A34" s="24">
        <v>30</v>
      </c>
      <c r="B34" s="19"/>
      <c r="C34" s="19"/>
      <c r="D34" s="11"/>
      <c r="E34" s="9"/>
      <c r="F34" s="9"/>
      <c r="G34" s="9"/>
      <c r="H34" s="9"/>
      <c r="I34" s="1"/>
      <c r="J34" s="21">
        <v>30</v>
      </c>
      <c r="K34" s="27"/>
      <c r="L34" s="27"/>
      <c r="M34" s="27"/>
      <c r="N34" s="11"/>
      <c r="O34" s="9"/>
      <c r="P34" s="9"/>
      <c r="Q34" s="9"/>
      <c r="R34" s="9"/>
      <c r="S34" s="1"/>
      <c r="T34" s="23">
        <v>30</v>
      </c>
      <c r="U34" s="28"/>
      <c r="V34" s="28"/>
      <c r="W34" s="28"/>
      <c r="X34" s="28"/>
      <c r="Y34" s="11"/>
      <c r="Z34" s="9"/>
      <c r="AA34" s="9"/>
      <c r="AB34" s="9"/>
      <c r="AC34" s="9"/>
      <c r="AD34" s="1"/>
      <c r="AE34" s="26"/>
      <c r="AF34" s="8"/>
      <c r="AG34" s="6"/>
      <c r="AH34" s="5"/>
      <c r="AI34" s="9"/>
      <c r="AJ34" s="16"/>
      <c r="AK34" s="26"/>
      <c r="AL34" s="8"/>
      <c r="AM34" s="6"/>
      <c r="AN34" s="5"/>
      <c r="AO34" s="9"/>
      <c r="AP34" s="16"/>
      <c r="AQ34" s="26"/>
      <c r="AR34" s="8"/>
      <c r="AS34" s="6"/>
    </row>
  </sheetData>
  <mergeCells count="23">
    <mergeCell ref="A1:H1"/>
    <mergeCell ref="J1:R1"/>
    <mergeCell ref="T1:AC1"/>
    <mergeCell ref="AE1:AS1"/>
    <mergeCell ref="A2:C4"/>
    <mergeCell ref="D2:F3"/>
    <mergeCell ref="G2:H3"/>
    <mergeCell ref="J2:M4"/>
    <mergeCell ref="N2:P3"/>
    <mergeCell ref="Q2:R3"/>
    <mergeCell ref="T2:X4"/>
    <mergeCell ref="Y2:AA3"/>
    <mergeCell ref="AB2:AC3"/>
    <mergeCell ref="AE2:AG2"/>
    <mergeCell ref="AH2:AJ2"/>
    <mergeCell ref="AN2:AP2"/>
    <mergeCell ref="AQ2:AS2"/>
    <mergeCell ref="AF3:AG3"/>
    <mergeCell ref="AI3:AJ3"/>
    <mergeCell ref="AL3:AM3"/>
    <mergeCell ref="AO3:AP3"/>
    <mergeCell ref="AR3:AS3"/>
    <mergeCell ref="AK2:AM2"/>
  </mergeCells>
  <phoneticPr fontId="7" type="noConversion"/>
  <conditionalFormatting sqref="Y1:AC1 Y4:AC34 Y2">
    <cfRule type="cellIs" dxfId="12" priority="1" operator="lessThan">
      <formula>0</formula>
    </cfRule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工作表14"/>
  <dimension ref="A1:AS34"/>
  <sheetViews>
    <sheetView topLeftCell="O1" zoomScaleNormal="100" workbookViewId="0">
      <selection activeCell="AI3" sqref="AI3:AJ3"/>
    </sheetView>
  </sheetViews>
  <sheetFormatPr defaultRowHeight="15"/>
  <cols>
    <col min="8" max="8" width="8.6640625" customWidth="1"/>
    <col min="21" max="21" width="5.1640625" customWidth="1"/>
    <col min="22" max="22" width="5.9140625" customWidth="1"/>
    <col min="23" max="23" width="5" customWidth="1"/>
    <col min="24" max="24" width="4.08203125" customWidth="1"/>
  </cols>
  <sheetData>
    <row r="1" spans="1:45" ht="23">
      <c r="A1" s="57" t="s">
        <v>58</v>
      </c>
      <c r="B1" s="57"/>
      <c r="C1" s="57"/>
      <c r="D1" s="57"/>
      <c r="E1" s="57"/>
      <c r="F1" s="57"/>
      <c r="G1" s="57"/>
      <c r="H1" s="58"/>
      <c r="I1" s="1"/>
      <c r="J1" s="59" t="s">
        <v>60</v>
      </c>
      <c r="K1" s="59"/>
      <c r="L1" s="59"/>
      <c r="M1" s="59"/>
      <c r="N1" s="59"/>
      <c r="O1" s="59"/>
      <c r="P1" s="59"/>
      <c r="Q1" s="59"/>
      <c r="R1" s="59"/>
      <c r="S1" s="1"/>
      <c r="T1" s="60" t="s">
        <v>59</v>
      </c>
      <c r="U1" s="60"/>
      <c r="V1" s="60"/>
      <c r="W1" s="60"/>
      <c r="X1" s="60"/>
      <c r="Y1" s="60"/>
      <c r="Z1" s="60"/>
      <c r="AA1" s="60"/>
      <c r="AB1" s="60"/>
      <c r="AC1" s="60"/>
      <c r="AD1" s="1"/>
      <c r="AE1" s="61" t="s">
        <v>180</v>
      </c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</row>
    <row r="2" spans="1:45" ht="18">
      <c r="A2" s="63" t="s">
        <v>55</v>
      </c>
      <c r="B2" s="63"/>
      <c r="C2" s="63"/>
      <c r="D2" s="65"/>
      <c r="E2" s="66"/>
      <c r="F2" s="67"/>
      <c r="G2" s="65"/>
      <c r="H2" s="67"/>
      <c r="I2" s="2"/>
      <c r="J2" s="71" t="s">
        <v>56</v>
      </c>
      <c r="K2" s="71"/>
      <c r="L2" s="71"/>
      <c r="M2" s="71"/>
      <c r="N2" s="73"/>
      <c r="O2" s="74"/>
      <c r="P2" s="75"/>
      <c r="Q2" s="73"/>
      <c r="R2" s="75"/>
      <c r="S2" s="2"/>
      <c r="T2" s="90" t="s">
        <v>57</v>
      </c>
      <c r="U2" s="90"/>
      <c r="V2" s="90"/>
      <c r="W2" s="90"/>
      <c r="X2" s="90"/>
      <c r="Y2" s="92"/>
      <c r="Z2" s="93"/>
      <c r="AA2" s="94"/>
      <c r="AB2" s="92"/>
      <c r="AC2" s="94"/>
      <c r="AD2" s="2"/>
      <c r="AE2" s="54" t="s">
        <v>99</v>
      </c>
      <c r="AF2" s="55"/>
      <c r="AG2" s="56"/>
      <c r="AH2" s="81" t="s">
        <v>100</v>
      </c>
      <c r="AI2" s="82"/>
      <c r="AJ2" s="83"/>
      <c r="AK2" s="54" t="s">
        <v>162</v>
      </c>
      <c r="AL2" s="55"/>
      <c r="AM2" s="56"/>
      <c r="AN2" s="81" t="s">
        <v>163</v>
      </c>
      <c r="AO2" s="82"/>
      <c r="AP2" s="83"/>
      <c r="AQ2" s="54" t="s">
        <v>164</v>
      </c>
      <c r="AR2" s="55"/>
      <c r="AS2" s="56"/>
    </row>
    <row r="3" spans="1:45" ht="15.5">
      <c r="A3" s="63"/>
      <c r="B3" s="63"/>
      <c r="C3" s="63"/>
      <c r="D3" s="68"/>
      <c r="E3" s="69"/>
      <c r="F3" s="70"/>
      <c r="G3" s="68"/>
      <c r="H3" s="70"/>
      <c r="I3" s="1"/>
      <c r="J3" s="71"/>
      <c r="K3" s="71"/>
      <c r="L3" s="71"/>
      <c r="M3" s="71"/>
      <c r="N3" s="76"/>
      <c r="O3" s="77"/>
      <c r="P3" s="78"/>
      <c r="Q3" s="76"/>
      <c r="R3" s="78"/>
      <c r="S3" s="1"/>
      <c r="T3" s="90"/>
      <c r="U3" s="90"/>
      <c r="V3" s="90"/>
      <c r="W3" s="90"/>
      <c r="X3" s="90"/>
      <c r="Y3" s="95"/>
      <c r="Z3" s="96"/>
      <c r="AA3" s="97"/>
      <c r="AB3" s="95"/>
      <c r="AC3" s="97"/>
      <c r="AD3" s="1"/>
      <c r="AE3" s="52" t="s">
        <v>178</v>
      </c>
      <c r="AF3" s="85" t="s">
        <v>177</v>
      </c>
      <c r="AG3" s="85"/>
      <c r="AH3" s="52" t="s">
        <v>178</v>
      </c>
      <c r="AI3" s="85" t="s">
        <v>177</v>
      </c>
      <c r="AJ3" s="85"/>
      <c r="AK3" s="52" t="s">
        <v>178</v>
      </c>
      <c r="AL3" s="85" t="s">
        <v>177</v>
      </c>
      <c r="AM3" s="85"/>
      <c r="AN3" s="52" t="s">
        <v>178</v>
      </c>
      <c r="AO3" s="85" t="s">
        <v>177</v>
      </c>
      <c r="AP3" s="85"/>
      <c r="AQ3" s="52" t="s">
        <v>178</v>
      </c>
      <c r="AR3" s="85" t="s">
        <v>177</v>
      </c>
      <c r="AS3" s="85"/>
    </row>
    <row r="4" spans="1:45" ht="74.400000000000006" customHeight="1">
      <c r="A4" s="63"/>
      <c r="B4" s="64"/>
      <c r="C4" s="64"/>
      <c r="D4" s="19" t="s">
        <v>25</v>
      </c>
      <c r="E4" s="19" t="s">
        <v>26</v>
      </c>
      <c r="F4" s="19" t="s">
        <v>27</v>
      </c>
      <c r="G4" s="19" t="s">
        <v>28</v>
      </c>
      <c r="H4" s="19" t="s">
        <v>29</v>
      </c>
      <c r="I4" s="4"/>
      <c r="J4" s="71"/>
      <c r="K4" s="72"/>
      <c r="L4" s="72"/>
      <c r="M4" s="72"/>
      <c r="N4" s="27" t="s">
        <v>25</v>
      </c>
      <c r="O4" s="27" t="s">
        <v>26</v>
      </c>
      <c r="P4" s="27" t="s">
        <v>27</v>
      </c>
      <c r="Q4" s="27" t="s">
        <v>28</v>
      </c>
      <c r="R4" s="27" t="s">
        <v>29</v>
      </c>
      <c r="S4" s="4"/>
      <c r="T4" s="90"/>
      <c r="U4" s="91"/>
      <c r="V4" s="91"/>
      <c r="W4" s="91"/>
      <c r="X4" s="91"/>
      <c r="Y4" s="28" t="s">
        <v>25</v>
      </c>
      <c r="Z4" s="28" t="s">
        <v>26</v>
      </c>
      <c r="AA4" s="28" t="s">
        <v>27</v>
      </c>
      <c r="AB4" s="28" t="s">
        <v>28</v>
      </c>
      <c r="AC4" s="28" t="s">
        <v>29</v>
      </c>
      <c r="AD4" s="4"/>
      <c r="AE4" s="48"/>
      <c r="AF4" s="48" t="s">
        <v>0</v>
      </c>
      <c r="AG4" s="48" t="s">
        <v>1</v>
      </c>
      <c r="AH4" s="48"/>
      <c r="AI4" s="48" t="s">
        <v>0</v>
      </c>
      <c r="AJ4" s="48" t="s">
        <v>1</v>
      </c>
      <c r="AK4" s="48" t="s">
        <v>2</v>
      </c>
      <c r="AL4" s="48" t="s">
        <v>0</v>
      </c>
      <c r="AM4" s="48" t="s">
        <v>1</v>
      </c>
      <c r="AN4" s="49" t="s">
        <v>2</v>
      </c>
      <c r="AO4" s="49" t="s">
        <v>0</v>
      </c>
      <c r="AP4" s="49" t="s">
        <v>1</v>
      </c>
      <c r="AQ4" s="48" t="s">
        <v>2</v>
      </c>
      <c r="AR4" s="48" t="s">
        <v>0</v>
      </c>
      <c r="AS4" s="48" t="s">
        <v>1</v>
      </c>
    </row>
    <row r="5" spans="1:45" ht="15.5">
      <c r="A5" s="24">
        <v>1</v>
      </c>
      <c r="B5" s="19" t="s">
        <v>30</v>
      </c>
      <c r="C5" s="19" t="s">
        <v>32</v>
      </c>
      <c r="D5" s="11">
        <v>311</v>
      </c>
      <c r="E5" s="9">
        <v>289</v>
      </c>
      <c r="F5" s="9">
        <v>288</v>
      </c>
      <c r="G5" s="9">
        <v>261</v>
      </c>
      <c r="H5" s="9">
        <v>299</v>
      </c>
      <c r="I5" s="1"/>
      <c r="J5" s="21">
        <v>1</v>
      </c>
      <c r="K5" s="27" t="s">
        <v>30</v>
      </c>
      <c r="L5" s="27" t="s">
        <v>35</v>
      </c>
      <c r="M5" s="27" t="s">
        <v>38</v>
      </c>
      <c r="N5" s="9">
        <v>65.224859431168071</v>
      </c>
      <c r="O5" s="9">
        <v>69.285825155651281</v>
      </c>
      <c r="P5" s="9">
        <v>63.612885454332385</v>
      </c>
      <c r="Q5" s="9">
        <v>66.447736327105346</v>
      </c>
      <c r="R5" s="9">
        <v>67.698707134681925</v>
      </c>
      <c r="S5" s="1"/>
      <c r="T5" s="23">
        <v>1</v>
      </c>
      <c r="U5" s="28" t="s">
        <v>30</v>
      </c>
      <c r="V5" s="28" t="s">
        <v>35</v>
      </c>
      <c r="W5" s="28" t="s">
        <v>37</v>
      </c>
      <c r="X5" s="28" t="s">
        <v>38</v>
      </c>
      <c r="Y5" s="11">
        <v>37320</v>
      </c>
      <c r="Z5" s="9">
        <v>26010</v>
      </c>
      <c r="AA5" s="9">
        <v>36864</v>
      </c>
      <c r="AB5" s="9">
        <v>26622</v>
      </c>
      <c r="AC5" s="9">
        <v>31395</v>
      </c>
      <c r="AD5" s="1"/>
      <c r="AE5" s="48" t="s">
        <v>3</v>
      </c>
      <c r="AF5" s="29">
        <v>600</v>
      </c>
      <c r="AG5" s="29">
        <v>507</v>
      </c>
      <c r="AH5" s="48" t="s">
        <v>3</v>
      </c>
      <c r="AI5" s="29">
        <v>600</v>
      </c>
      <c r="AJ5" s="29">
        <v>540</v>
      </c>
      <c r="AK5" s="48" t="s">
        <v>3</v>
      </c>
      <c r="AL5" s="29">
        <v>600</v>
      </c>
      <c r="AM5" s="29">
        <v>502</v>
      </c>
      <c r="AN5" s="48" t="s">
        <v>3</v>
      </c>
      <c r="AO5" s="29">
        <v>600</v>
      </c>
      <c r="AP5" s="29">
        <v>547</v>
      </c>
      <c r="AQ5" s="48" t="s">
        <v>3</v>
      </c>
      <c r="AR5" s="29">
        <v>600</v>
      </c>
      <c r="AS5" s="29">
        <v>513</v>
      </c>
    </row>
    <row r="6" spans="1:45" ht="15.5">
      <c r="A6" s="24">
        <v>2</v>
      </c>
      <c r="B6" s="19" t="s">
        <v>30</v>
      </c>
      <c r="C6" s="19" t="s">
        <v>33</v>
      </c>
      <c r="D6" s="11">
        <v>436</v>
      </c>
      <c r="E6" s="9">
        <v>382</v>
      </c>
      <c r="F6" s="9">
        <v>426</v>
      </c>
      <c r="G6" s="9">
        <v>385</v>
      </c>
      <c r="H6" s="9">
        <v>419</v>
      </c>
      <c r="I6" s="1"/>
      <c r="J6" s="21">
        <v>2</v>
      </c>
      <c r="K6" s="27" t="s">
        <v>31</v>
      </c>
      <c r="L6" s="27" t="s">
        <v>41</v>
      </c>
      <c r="M6" s="27" t="s">
        <v>34</v>
      </c>
      <c r="N6" s="9">
        <v>88.354511379836538</v>
      </c>
      <c r="O6" s="9">
        <v>97.964733732338999</v>
      </c>
      <c r="P6" s="9">
        <v>84.485628249764176</v>
      </c>
      <c r="Q6" s="9">
        <v>91.241987844027847</v>
      </c>
      <c r="R6" s="9">
        <v>94.761082432196829</v>
      </c>
      <c r="S6" s="1"/>
      <c r="T6" s="23">
        <v>2</v>
      </c>
      <c r="U6" s="28" t="s">
        <v>31</v>
      </c>
      <c r="V6" s="28" t="s">
        <v>41</v>
      </c>
      <c r="W6" s="28" t="s">
        <v>34</v>
      </c>
      <c r="X6" s="28" t="s">
        <v>42</v>
      </c>
      <c r="Y6" s="11">
        <v>222090</v>
      </c>
      <c r="Z6" s="9">
        <v>165474</v>
      </c>
      <c r="AA6" s="9">
        <v>229164</v>
      </c>
      <c r="AB6" s="9">
        <v>185469</v>
      </c>
      <c r="AC6" s="9">
        <v>200100</v>
      </c>
      <c r="AD6" s="1"/>
      <c r="AE6" s="48" t="s">
        <v>4</v>
      </c>
      <c r="AF6" s="29">
        <v>480</v>
      </c>
      <c r="AG6" s="29">
        <v>767</v>
      </c>
      <c r="AH6" s="48" t="s">
        <v>4</v>
      </c>
      <c r="AI6" s="29">
        <v>510</v>
      </c>
      <c r="AJ6" s="29">
        <v>778</v>
      </c>
      <c r="AK6" s="48" t="s">
        <v>4</v>
      </c>
      <c r="AL6" s="29">
        <v>472</v>
      </c>
      <c r="AM6" s="29">
        <v>760</v>
      </c>
      <c r="AN6" s="48" t="s">
        <v>4</v>
      </c>
      <c r="AO6" s="29">
        <v>498</v>
      </c>
      <c r="AP6" s="29">
        <v>781</v>
      </c>
      <c r="AQ6" s="48" t="s">
        <v>4</v>
      </c>
      <c r="AR6" s="29">
        <v>495</v>
      </c>
      <c r="AS6" s="29">
        <v>769</v>
      </c>
    </row>
    <row r="7" spans="1:45" ht="15.5">
      <c r="A7" s="24">
        <v>3</v>
      </c>
      <c r="B7" s="19" t="s">
        <v>31</v>
      </c>
      <c r="C7" s="19" t="s">
        <v>34</v>
      </c>
      <c r="D7" s="11">
        <v>673</v>
      </c>
      <c r="E7" s="9">
        <v>634</v>
      </c>
      <c r="F7" s="9">
        <v>678</v>
      </c>
      <c r="G7" s="9">
        <v>633</v>
      </c>
      <c r="H7" s="9">
        <v>667</v>
      </c>
      <c r="I7" s="1"/>
      <c r="J7" s="21">
        <v>3</v>
      </c>
      <c r="K7" s="27" t="s">
        <v>31</v>
      </c>
      <c r="L7" s="27" t="s">
        <v>44</v>
      </c>
      <c r="M7" s="27" t="s">
        <v>37</v>
      </c>
      <c r="N7" s="9">
        <v>41.27907637620465</v>
      </c>
      <c r="O7" s="9">
        <v>42.434500916354359</v>
      </c>
      <c r="P7" s="9">
        <v>35.258782230105723</v>
      </c>
      <c r="Q7" s="9">
        <v>43.655608831181972</v>
      </c>
      <c r="R7" s="9">
        <v>44.54939901271463</v>
      </c>
      <c r="S7" s="1"/>
      <c r="T7" s="23">
        <v>3</v>
      </c>
      <c r="U7" s="28" t="s">
        <v>41</v>
      </c>
      <c r="V7" s="28" t="s">
        <v>39</v>
      </c>
      <c r="W7" s="28" t="s">
        <v>34</v>
      </c>
      <c r="X7" s="28" t="s">
        <v>42</v>
      </c>
      <c r="Y7" s="11">
        <v>83968.5</v>
      </c>
      <c r="Z7" s="9">
        <v>64222.5</v>
      </c>
      <c r="AA7" s="9">
        <v>69264</v>
      </c>
      <c r="AB7" s="9">
        <v>69449</v>
      </c>
      <c r="AC7" s="9">
        <v>89783</v>
      </c>
      <c r="AD7" s="1"/>
      <c r="AE7" s="48" t="s">
        <v>5</v>
      </c>
      <c r="AF7" s="29">
        <v>600</v>
      </c>
      <c r="AG7" s="29">
        <v>818</v>
      </c>
      <c r="AH7" s="48" t="s">
        <v>5</v>
      </c>
      <c r="AI7" s="29">
        <v>600</v>
      </c>
      <c r="AJ7" s="29">
        <v>829</v>
      </c>
      <c r="AK7" s="48" t="s">
        <v>5</v>
      </c>
      <c r="AL7" s="29">
        <v>600</v>
      </c>
      <c r="AM7" s="29">
        <v>790</v>
      </c>
      <c r="AN7" s="48" t="s">
        <v>5</v>
      </c>
      <c r="AO7" s="29">
        <v>600</v>
      </c>
      <c r="AP7" s="29">
        <v>808</v>
      </c>
      <c r="AQ7" s="48" t="s">
        <v>5</v>
      </c>
      <c r="AR7" s="29">
        <v>600</v>
      </c>
      <c r="AS7" s="29">
        <v>812</v>
      </c>
    </row>
    <row r="8" spans="1:45" ht="15.5">
      <c r="A8" s="24">
        <v>4</v>
      </c>
      <c r="B8" s="19" t="s">
        <v>35</v>
      </c>
      <c r="C8" s="19" t="s">
        <v>38</v>
      </c>
      <c r="D8" s="11">
        <v>240</v>
      </c>
      <c r="E8" s="9">
        <v>180</v>
      </c>
      <c r="F8" s="9">
        <v>256</v>
      </c>
      <c r="G8" s="9">
        <v>204</v>
      </c>
      <c r="H8" s="9">
        <v>210</v>
      </c>
      <c r="I8" s="1"/>
      <c r="J8" s="21">
        <v>4</v>
      </c>
      <c r="K8" s="27" t="s">
        <v>35</v>
      </c>
      <c r="L8" s="27" t="s">
        <v>37</v>
      </c>
      <c r="M8" s="27" t="s">
        <v>38</v>
      </c>
      <c r="N8" s="9">
        <v>133.94901598294391</v>
      </c>
      <c r="O8" s="9">
        <v>120.92243548088381</v>
      </c>
      <c r="P8" s="9">
        <v>153.6187785755863</v>
      </c>
      <c r="Q8" s="9">
        <v>150.3470400592887</v>
      </c>
      <c r="R8" s="9">
        <v>135.45946415988939</v>
      </c>
      <c r="S8" s="1"/>
      <c r="T8" s="23">
        <v>4</v>
      </c>
      <c r="U8" s="28" t="s">
        <v>46</v>
      </c>
      <c r="V8" s="28" t="s">
        <v>43</v>
      </c>
      <c r="W8" s="28" t="s">
        <v>33</v>
      </c>
      <c r="X8" s="28" t="s">
        <v>47</v>
      </c>
      <c r="Y8" s="11">
        <v>477042</v>
      </c>
      <c r="Z8" s="9">
        <v>332379</v>
      </c>
      <c r="AA8" s="9">
        <v>473397</v>
      </c>
      <c r="AB8" s="9">
        <v>351251.5</v>
      </c>
      <c r="AC8" s="9">
        <v>339558</v>
      </c>
      <c r="AD8" s="1"/>
      <c r="AE8" s="48" t="s">
        <v>6</v>
      </c>
      <c r="AF8" s="29">
        <f>AF7+(AF7-AF6)</f>
        <v>720</v>
      </c>
      <c r="AG8" s="29">
        <f>AG6</f>
        <v>767</v>
      </c>
      <c r="AH8" s="48" t="s">
        <v>6</v>
      </c>
      <c r="AI8" s="29">
        <f>AI7+(AI7-AI6)</f>
        <v>690</v>
      </c>
      <c r="AJ8" s="29">
        <f>AJ6</f>
        <v>778</v>
      </c>
      <c r="AK8" s="48" t="s">
        <v>6</v>
      </c>
      <c r="AL8" s="29">
        <f t="shared" ref="AL8" si="0">AL7+(AL7-AL6)</f>
        <v>728</v>
      </c>
      <c r="AM8" s="29">
        <f t="shared" ref="AM8" si="1">AM6</f>
        <v>760</v>
      </c>
      <c r="AN8" s="48" t="s">
        <v>6</v>
      </c>
      <c r="AO8" s="29">
        <f t="shared" ref="AO8" si="2">AO7+(AO7-AO6)</f>
        <v>702</v>
      </c>
      <c r="AP8" s="29">
        <f t="shared" ref="AP8" si="3">AP6</f>
        <v>781</v>
      </c>
      <c r="AQ8" s="48" t="s">
        <v>6</v>
      </c>
      <c r="AR8" s="29">
        <f t="shared" ref="AR8" si="4">AR7+(AR7-AR6)</f>
        <v>705</v>
      </c>
      <c r="AS8" s="29">
        <f t="shared" ref="AS8" si="5">AS6</f>
        <v>769</v>
      </c>
    </row>
    <row r="9" spans="1:45" ht="15.5">
      <c r="A9" s="24">
        <v>5</v>
      </c>
      <c r="B9" s="19" t="s">
        <v>36</v>
      </c>
      <c r="C9" s="19" t="s">
        <v>33</v>
      </c>
      <c r="D9" s="11">
        <v>125</v>
      </c>
      <c r="E9" s="9">
        <v>93</v>
      </c>
      <c r="F9" s="9">
        <v>138</v>
      </c>
      <c r="G9" s="9">
        <v>124</v>
      </c>
      <c r="H9" s="9">
        <v>120</v>
      </c>
      <c r="I9" s="1"/>
      <c r="J9" s="21">
        <v>5</v>
      </c>
      <c r="K9" s="27" t="s">
        <v>39</v>
      </c>
      <c r="L9" s="27" t="s">
        <v>34</v>
      </c>
      <c r="M9" s="27" t="s">
        <v>61</v>
      </c>
      <c r="N9" s="9">
        <v>149.48976259388445</v>
      </c>
      <c r="O9" s="9">
        <v>151.92751306414704</v>
      </c>
      <c r="P9" s="9">
        <v>154.010766416167</v>
      </c>
      <c r="Q9" s="9">
        <v>139.72739314350372</v>
      </c>
      <c r="R9" s="9">
        <v>154.34243425708917</v>
      </c>
      <c r="S9" s="1"/>
      <c r="T9" s="23">
        <v>5</v>
      </c>
      <c r="U9" s="28" t="s">
        <v>48</v>
      </c>
      <c r="V9" s="28" t="s">
        <v>43</v>
      </c>
      <c r="W9" s="28" t="s">
        <v>34</v>
      </c>
      <c r="X9" s="28" t="s">
        <v>44</v>
      </c>
      <c r="Y9" s="11">
        <v>407592</v>
      </c>
      <c r="Z9" s="9">
        <v>433008</v>
      </c>
      <c r="AA9" s="9">
        <v>465327</v>
      </c>
      <c r="AB9" s="9">
        <v>309434</v>
      </c>
      <c r="AC9" s="9">
        <v>346120</v>
      </c>
      <c r="AD9" s="1"/>
      <c r="AE9" s="48" t="s">
        <v>77</v>
      </c>
      <c r="AF9" s="29">
        <v>600</v>
      </c>
      <c r="AG9" s="29">
        <v>943</v>
      </c>
      <c r="AH9" s="48" t="s">
        <v>77</v>
      </c>
      <c r="AI9" s="29">
        <v>600</v>
      </c>
      <c r="AJ9" s="29">
        <v>922</v>
      </c>
      <c r="AK9" s="48" t="s">
        <v>77</v>
      </c>
      <c r="AL9" s="29">
        <v>600</v>
      </c>
      <c r="AM9" s="29">
        <v>928</v>
      </c>
      <c r="AN9" s="48" t="s">
        <v>77</v>
      </c>
      <c r="AO9" s="29">
        <v>600</v>
      </c>
      <c r="AP9" s="29">
        <v>932</v>
      </c>
      <c r="AQ9" s="48" t="s">
        <v>77</v>
      </c>
      <c r="AR9" s="29">
        <v>600</v>
      </c>
      <c r="AS9" s="29">
        <v>932</v>
      </c>
    </row>
    <row r="10" spans="1:45" ht="15.5">
      <c r="A10" s="24">
        <v>6</v>
      </c>
      <c r="B10" s="19" t="s">
        <v>37</v>
      </c>
      <c r="C10" s="19" t="s">
        <v>34</v>
      </c>
      <c r="D10" s="11">
        <v>362</v>
      </c>
      <c r="E10" s="9">
        <v>345</v>
      </c>
      <c r="F10" s="9">
        <v>390</v>
      </c>
      <c r="G10" s="9">
        <v>372</v>
      </c>
      <c r="H10" s="9">
        <v>368</v>
      </c>
      <c r="I10" s="1"/>
      <c r="J10" s="21">
        <v>6</v>
      </c>
      <c r="K10" s="27" t="s">
        <v>40</v>
      </c>
      <c r="L10" s="27" t="s">
        <v>34</v>
      </c>
      <c r="M10" s="27" t="s">
        <v>62</v>
      </c>
      <c r="N10" s="9">
        <v>15.255118703057835</v>
      </c>
      <c r="O10" s="9">
        <v>14.628937286543081</v>
      </c>
      <c r="P10" s="9">
        <v>12.994616791916515</v>
      </c>
      <c r="Q10" s="9">
        <v>20.136303428248144</v>
      </c>
      <c r="R10" s="9">
        <v>12.82878287145544</v>
      </c>
      <c r="S10" s="1"/>
      <c r="T10" s="23">
        <v>6</v>
      </c>
      <c r="U10" s="28" t="s">
        <v>52</v>
      </c>
      <c r="V10" s="28" t="s">
        <v>53</v>
      </c>
      <c r="W10" s="28" t="s">
        <v>54</v>
      </c>
      <c r="X10" s="28" t="s">
        <v>50</v>
      </c>
      <c r="Y10" s="11">
        <v>4890</v>
      </c>
      <c r="Z10" s="9">
        <v>4436</v>
      </c>
      <c r="AA10" s="9">
        <v>3334</v>
      </c>
      <c r="AB10" s="9">
        <v>4620</v>
      </c>
      <c r="AC10" s="9">
        <v>3625</v>
      </c>
      <c r="AD10" s="1"/>
      <c r="AE10" s="48" t="s">
        <v>8</v>
      </c>
      <c r="AF10" s="29">
        <v>501</v>
      </c>
      <c r="AG10" s="29">
        <v>1153</v>
      </c>
      <c r="AH10" s="48" t="s">
        <v>8</v>
      </c>
      <c r="AI10" s="29">
        <v>516</v>
      </c>
      <c r="AJ10" s="29">
        <v>1153</v>
      </c>
      <c r="AK10" s="48" t="s">
        <v>8</v>
      </c>
      <c r="AL10" s="29">
        <v>496</v>
      </c>
      <c r="AM10" s="29">
        <v>1156</v>
      </c>
      <c r="AN10" s="48" t="s">
        <v>8</v>
      </c>
      <c r="AO10" s="29">
        <v>480</v>
      </c>
      <c r="AP10" s="29">
        <v>1136</v>
      </c>
      <c r="AQ10" s="48" t="s">
        <v>8</v>
      </c>
      <c r="AR10" s="29">
        <v>499</v>
      </c>
      <c r="AS10" s="29">
        <v>1157</v>
      </c>
    </row>
    <row r="11" spans="1:45" ht="15.5">
      <c r="A11" s="24">
        <v>7</v>
      </c>
      <c r="B11" s="19" t="s">
        <v>39</v>
      </c>
      <c r="C11" s="19" t="s">
        <v>40</v>
      </c>
      <c r="D11" s="11">
        <v>198</v>
      </c>
      <c r="E11" s="9">
        <v>168</v>
      </c>
      <c r="F11" s="9">
        <v>208</v>
      </c>
      <c r="G11" s="9">
        <v>240</v>
      </c>
      <c r="H11" s="9">
        <v>202</v>
      </c>
      <c r="I11" s="1"/>
      <c r="J11" s="21">
        <v>7</v>
      </c>
      <c r="K11" s="27" t="s">
        <v>41</v>
      </c>
      <c r="L11" s="27" t="s">
        <v>34</v>
      </c>
      <c r="M11" s="27" t="s">
        <v>62</v>
      </c>
      <c r="N11" s="9">
        <v>144.77559097431944</v>
      </c>
      <c r="O11" s="9">
        <v>140.33665976165713</v>
      </c>
      <c r="P11" s="9">
        <v>150.91661851534013</v>
      </c>
      <c r="Q11" s="9">
        <v>143.72921084899269</v>
      </c>
      <c r="R11" s="9">
        <v>138.4376649923652</v>
      </c>
      <c r="S11" s="1"/>
      <c r="T11" s="23">
        <v>7</v>
      </c>
      <c r="U11" s="40" t="s">
        <v>76</v>
      </c>
      <c r="V11" s="40" t="s">
        <v>73</v>
      </c>
      <c r="W11" s="40" t="s">
        <v>75</v>
      </c>
      <c r="X11" s="40" t="s">
        <v>74</v>
      </c>
      <c r="Y11" s="11">
        <v>5260</v>
      </c>
      <c r="Z11" s="9">
        <v>3330.5</v>
      </c>
      <c r="AA11" s="9">
        <v>5912.5</v>
      </c>
      <c r="AB11" s="9">
        <v>2563</v>
      </c>
      <c r="AC11" s="9">
        <v>4289.5</v>
      </c>
      <c r="AD11" s="1"/>
      <c r="AE11" s="48" t="s">
        <v>9</v>
      </c>
      <c r="AF11" s="29">
        <v>600</v>
      </c>
      <c r="AG11" s="29">
        <v>1180</v>
      </c>
      <c r="AH11" s="48" t="s">
        <v>9</v>
      </c>
      <c r="AI11" s="29">
        <v>600</v>
      </c>
      <c r="AJ11" s="29">
        <v>1174</v>
      </c>
      <c r="AK11" s="48" t="s">
        <v>9</v>
      </c>
      <c r="AL11" s="29">
        <v>600</v>
      </c>
      <c r="AM11" s="29">
        <v>1180</v>
      </c>
      <c r="AN11" s="48" t="s">
        <v>9</v>
      </c>
      <c r="AO11" s="29">
        <v>600</v>
      </c>
      <c r="AP11" s="29">
        <v>1180</v>
      </c>
      <c r="AQ11" s="48" t="s">
        <v>9</v>
      </c>
      <c r="AR11" s="29">
        <v>600</v>
      </c>
      <c r="AS11" s="29">
        <v>1180</v>
      </c>
    </row>
    <row r="12" spans="1:45" ht="15.5">
      <c r="A12" s="24">
        <v>8</v>
      </c>
      <c r="B12" s="19" t="s">
        <v>41</v>
      </c>
      <c r="C12" s="19" t="s">
        <v>42</v>
      </c>
      <c r="D12" s="11">
        <v>660</v>
      </c>
      <c r="E12" s="9">
        <v>522</v>
      </c>
      <c r="F12" s="9">
        <v>676</v>
      </c>
      <c r="G12" s="9">
        <v>586</v>
      </c>
      <c r="H12" s="9">
        <v>600</v>
      </c>
      <c r="I12" s="1"/>
      <c r="J12" s="21">
        <v>8</v>
      </c>
      <c r="K12" s="27" t="s">
        <v>42</v>
      </c>
      <c r="L12" s="27" t="s">
        <v>34</v>
      </c>
      <c r="M12" s="27" t="s">
        <v>62</v>
      </c>
      <c r="N12" s="9">
        <v>35.224409025680565</v>
      </c>
      <c r="O12" s="9">
        <v>40.848727875576245</v>
      </c>
      <c r="P12" s="9">
        <v>29.083381484659839</v>
      </c>
      <c r="Q12" s="9">
        <v>36.270789151007314</v>
      </c>
      <c r="R12" s="9">
        <v>41.562335007634793</v>
      </c>
      <c r="S12" s="1"/>
      <c r="T12" s="23">
        <v>8</v>
      </c>
      <c r="U12" s="28"/>
      <c r="V12" s="28"/>
      <c r="W12" s="28"/>
      <c r="X12" s="28"/>
      <c r="Y12" s="11"/>
      <c r="Z12" s="9"/>
      <c r="AA12" s="9"/>
      <c r="AB12" s="9"/>
      <c r="AC12" s="9"/>
      <c r="AD12" s="1"/>
      <c r="AE12" s="48" t="s">
        <v>10</v>
      </c>
      <c r="AF12" s="29">
        <f>AF11+(AF11-AF10)</f>
        <v>699</v>
      </c>
      <c r="AG12" s="29">
        <f>AG10</f>
        <v>1153</v>
      </c>
      <c r="AH12" s="48" t="s">
        <v>10</v>
      </c>
      <c r="AI12" s="29">
        <f>AI11+(AI11-AI10)</f>
        <v>684</v>
      </c>
      <c r="AJ12" s="29">
        <f>AJ10</f>
        <v>1153</v>
      </c>
      <c r="AK12" s="48" t="s">
        <v>10</v>
      </c>
      <c r="AL12" s="29">
        <f t="shared" ref="AL12" si="6">AL11+(AL11-AL10)</f>
        <v>704</v>
      </c>
      <c r="AM12" s="29">
        <f t="shared" ref="AM12" si="7">AM10</f>
        <v>1156</v>
      </c>
      <c r="AN12" s="48" t="s">
        <v>10</v>
      </c>
      <c r="AO12" s="29">
        <f t="shared" ref="AO12" si="8">AO11+(AO11-AO10)</f>
        <v>720</v>
      </c>
      <c r="AP12" s="29">
        <f t="shared" ref="AP12" si="9">AP10</f>
        <v>1136</v>
      </c>
      <c r="AQ12" s="48" t="s">
        <v>10</v>
      </c>
      <c r="AR12" s="29">
        <f t="shared" ref="AR12" si="10">AR11+(AR11-AR10)</f>
        <v>701</v>
      </c>
      <c r="AS12" s="29">
        <f t="shared" ref="AS12" si="11">AS10</f>
        <v>1157</v>
      </c>
    </row>
    <row r="13" spans="1:45" ht="15.5">
      <c r="A13" s="24">
        <v>9</v>
      </c>
      <c r="B13" s="19" t="s">
        <v>43</v>
      </c>
      <c r="C13" s="19" t="s">
        <v>44</v>
      </c>
      <c r="D13" s="11">
        <v>816</v>
      </c>
      <c r="E13" s="9">
        <v>744</v>
      </c>
      <c r="F13" s="9">
        <v>894</v>
      </c>
      <c r="G13" s="9">
        <v>646</v>
      </c>
      <c r="H13" s="9">
        <v>680.07352543677212</v>
      </c>
      <c r="I13" s="1"/>
      <c r="J13" s="21">
        <v>9</v>
      </c>
      <c r="K13" s="27" t="s">
        <v>43</v>
      </c>
      <c r="L13" s="27" t="s">
        <v>41</v>
      </c>
      <c r="M13" s="27" t="s">
        <v>34</v>
      </c>
      <c r="N13" s="9">
        <v>143.4415042235054</v>
      </c>
      <c r="O13" s="9">
        <v>153.45462457060771</v>
      </c>
      <c r="P13" s="9">
        <v>139.61784637399711</v>
      </c>
      <c r="Q13" s="9">
        <v>132.98062595876425</v>
      </c>
      <c r="R13" s="9">
        <v>136.11610298679341</v>
      </c>
      <c r="S13" s="1"/>
      <c r="T13" s="23">
        <v>9</v>
      </c>
      <c r="U13" s="28"/>
      <c r="V13" s="28"/>
      <c r="W13" s="28"/>
      <c r="X13" s="28"/>
      <c r="Y13" s="11"/>
      <c r="Z13" s="9"/>
      <c r="AA13" s="9"/>
      <c r="AB13" s="9"/>
      <c r="AC13" s="9"/>
      <c r="AD13" s="1"/>
      <c r="AE13" s="48" t="s">
        <v>11</v>
      </c>
      <c r="AF13" s="29">
        <v>270</v>
      </c>
      <c r="AG13" s="29">
        <v>947</v>
      </c>
      <c r="AH13" s="48" t="s">
        <v>11</v>
      </c>
      <c r="AI13" s="29">
        <v>339</v>
      </c>
      <c r="AJ13" s="29">
        <v>953</v>
      </c>
      <c r="AK13" s="48" t="s">
        <v>11</v>
      </c>
      <c r="AL13" s="29">
        <v>262</v>
      </c>
      <c r="AM13" s="29">
        <v>992</v>
      </c>
      <c r="AN13" s="48" t="s">
        <v>11</v>
      </c>
      <c r="AO13" s="29">
        <v>307</v>
      </c>
      <c r="AP13" s="29">
        <v>965</v>
      </c>
      <c r="AQ13" s="48" t="s">
        <v>11</v>
      </c>
      <c r="AR13" s="29">
        <v>300</v>
      </c>
      <c r="AS13" s="29">
        <v>914</v>
      </c>
    </row>
    <row r="14" spans="1:45" ht="15.5">
      <c r="A14" s="24">
        <v>10</v>
      </c>
      <c r="B14" s="19" t="s">
        <v>45</v>
      </c>
      <c r="C14" s="19" t="s">
        <v>43</v>
      </c>
      <c r="D14" s="11">
        <v>86</v>
      </c>
      <c r="E14" s="9">
        <v>38.078865529319543</v>
      </c>
      <c r="F14" s="9">
        <v>105.23307464861035</v>
      </c>
      <c r="G14" s="9">
        <v>70.576199954375554</v>
      </c>
      <c r="H14" s="9">
        <v>37.696153649941529</v>
      </c>
      <c r="I14" s="1"/>
      <c r="J14" s="21">
        <v>10</v>
      </c>
      <c r="K14" s="27" t="s">
        <v>44</v>
      </c>
      <c r="L14" s="27" t="s">
        <v>32</v>
      </c>
      <c r="M14" s="27" t="s">
        <v>62</v>
      </c>
      <c r="N14" s="9">
        <v>46.796330916629593</v>
      </c>
      <c r="O14" s="9">
        <v>51.127167135327625</v>
      </c>
      <c r="P14" s="9">
        <v>45.178055123410061</v>
      </c>
      <c r="Q14" s="9">
        <v>49.553362295799509</v>
      </c>
      <c r="R14" s="9">
        <v>49.874530214665228</v>
      </c>
      <c r="S14" s="1"/>
      <c r="T14" s="23">
        <v>10</v>
      </c>
      <c r="U14" s="28"/>
      <c r="V14" s="28"/>
      <c r="W14" s="28"/>
      <c r="X14" s="28"/>
      <c r="Y14" s="11"/>
      <c r="Z14" s="9"/>
      <c r="AA14" s="9"/>
      <c r="AB14" s="9"/>
      <c r="AC14" s="9"/>
      <c r="AD14" s="1"/>
      <c r="AE14" s="48" t="s">
        <v>12</v>
      </c>
      <c r="AF14" s="29">
        <f>600+(600-AF13)</f>
        <v>930</v>
      </c>
      <c r="AG14" s="29">
        <f>AG13</f>
        <v>947</v>
      </c>
      <c r="AH14" s="48" t="s">
        <v>12</v>
      </c>
      <c r="AI14" s="29">
        <f>600+(600-AI13)</f>
        <v>861</v>
      </c>
      <c r="AJ14" s="29">
        <f>AJ13</f>
        <v>953</v>
      </c>
      <c r="AK14" s="48" t="s">
        <v>12</v>
      </c>
      <c r="AL14" s="29">
        <f t="shared" ref="AL14" si="12">600+(600-AL13)</f>
        <v>938</v>
      </c>
      <c r="AM14" s="29">
        <f t="shared" ref="AM14" si="13">AM13</f>
        <v>992</v>
      </c>
      <c r="AN14" s="48" t="s">
        <v>12</v>
      </c>
      <c r="AO14" s="29">
        <f t="shared" ref="AO14" si="14">600+(600-AO13)</f>
        <v>893</v>
      </c>
      <c r="AP14" s="29">
        <f t="shared" ref="AP14" si="15">AP13</f>
        <v>965</v>
      </c>
      <c r="AQ14" s="48" t="s">
        <v>12</v>
      </c>
      <c r="AR14" s="29">
        <f t="shared" ref="AR14" si="16">600+(600-AR13)</f>
        <v>900</v>
      </c>
      <c r="AS14" s="29">
        <f t="shared" ref="AS14" si="17">AS13</f>
        <v>914</v>
      </c>
    </row>
    <row r="15" spans="1:45" ht="15.5">
      <c r="A15" s="24">
        <v>11</v>
      </c>
      <c r="B15" s="19" t="s">
        <v>46</v>
      </c>
      <c r="C15" s="19" t="s">
        <v>47</v>
      </c>
      <c r="D15" s="11">
        <v>888</v>
      </c>
      <c r="E15" s="9">
        <v>550</v>
      </c>
      <c r="F15" s="9">
        <v>834</v>
      </c>
      <c r="G15" s="9">
        <v>672</v>
      </c>
      <c r="H15" s="9">
        <v>610</v>
      </c>
      <c r="I15" s="1"/>
      <c r="J15" s="21">
        <v>11</v>
      </c>
      <c r="K15" s="27" t="s">
        <v>44</v>
      </c>
      <c r="L15" s="27" t="s">
        <v>33</v>
      </c>
      <c r="M15" s="27" t="s">
        <v>62</v>
      </c>
      <c r="N15" s="9">
        <v>51.95569638365572</v>
      </c>
      <c r="O15" s="9">
        <v>55.485084477390387</v>
      </c>
      <c r="P15" s="9">
        <v>50.406940993680067</v>
      </c>
      <c r="Q15" s="9">
        <v>57.651877773300718</v>
      </c>
      <c r="R15" s="9">
        <v>56.029868344765802</v>
      </c>
      <c r="S15" s="1"/>
      <c r="T15" s="23">
        <v>11</v>
      </c>
      <c r="U15" s="28"/>
      <c r="V15" s="28"/>
      <c r="W15" s="28"/>
      <c r="X15" s="28"/>
      <c r="Y15" s="11"/>
      <c r="Z15" s="9"/>
      <c r="AA15" s="9"/>
      <c r="AB15" s="9"/>
      <c r="AC15" s="9"/>
      <c r="AD15" s="1"/>
      <c r="AE15" s="48" t="s">
        <v>13</v>
      </c>
      <c r="AF15" s="29">
        <v>192</v>
      </c>
      <c r="AG15" s="29">
        <v>710</v>
      </c>
      <c r="AH15" s="48" t="s">
        <v>13</v>
      </c>
      <c r="AI15" s="29">
        <v>228</v>
      </c>
      <c r="AJ15" s="29">
        <v>694</v>
      </c>
      <c r="AK15" s="48" t="s">
        <v>13</v>
      </c>
      <c r="AL15" s="29">
        <v>153</v>
      </c>
      <c r="AM15" s="29">
        <v>701</v>
      </c>
      <c r="AN15" s="48" t="s">
        <v>13</v>
      </c>
      <c r="AO15" s="29">
        <v>277</v>
      </c>
      <c r="AP15" s="29">
        <v>710</v>
      </c>
      <c r="AQ15" s="48" t="s">
        <v>13</v>
      </c>
      <c r="AR15" s="29">
        <v>282</v>
      </c>
      <c r="AS15" s="29">
        <v>688</v>
      </c>
    </row>
    <row r="16" spans="1:45" ht="15.5">
      <c r="A16" s="24">
        <v>12</v>
      </c>
      <c r="B16" s="19" t="s">
        <v>48</v>
      </c>
      <c r="C16" s="19" t="s">
        <v>31</v>
      </c>
      <c r="D16" s="11">
        <v>326.34490956655048</v>
      </c>
      <c r="E16" s="9">
        <v>530.0009433953868</v>
      </c>
      <c r="F16" s="9">
        <v>366.0300534109187</v>
      </c>
      <c r="G16" s="9">
        <v>325</v>
      </c>
      <c r="H16" s="9">
        <v>351</v>
      </c>
      <c r="I16" s="1"/>
      <c r="J16" s="21">
        <v>12</v>
      </c>
      <c r="K16" s="27" t="s">
        <v>47</v>
      </c>
      <c r="L16" s="27" t="s">
        <v>30</v>
      </c>
      <c r="M16" s="27" t="s">
        <v>62</v>
      </c>
      <c r="N16" s="9">
        <v>89.803575248674207</v>
      </c>
      <c r="O16" s="9">
        <v>103.76961932760956</v>
      </c>
      <c r="P16" s="9">
        <v>92.31751612676662</v>
      </c>
      <c r="Q16" s="9">
        <v>97.187751511923963</v>
      </c>
      <c r="R16" s="9">
        <v>101.17653850037293</v>
      </c>
      <c r="S16" s="1"/>
      <c r="T16" s="23">
        <v>12</v>
      </c>
      <c r="U16" s="28"/>
      <c r="V16" s="28"/>
      <c r="W16" s="28"/>
      <c r="X16" s="28"/>
      <c r="Y16" s="11"/>
      <c r="Z16" s="9"/>
      <c r="AA16" s="9"/>
      <c r="AB16" s="9"/>
      <c r="AC16" s="9"/>
      <c r="AD16" s="1"/>
      <c r="AE16" s="48" t="s">
        <v>14</v>
      </c>
      <c r="AF16" s="29">
        <f>600+(600-AF15)</f>
        <v>1008</v>
      </c>
      <c r="AG16" s="29">
        <f>AG15</f>
        <v>710</v>
      </c>
      <c r="AH16" s="48" t="s">
        <v>14</v>
      </c>
      <c r="AI16" s="29">
        <f>600+(600-AI15)</f>
        <v>972</v>
      </c>
      <c r="AJ16" s="29">
        <f>AJ15</f>
        <v>694</v>
      </c>
      <c r="AK16" s="48" t="s">
        <v>14</v>
      </c>
      <c r="AL16" s="29">
        <f t="shared" ref="AL16" si="18">600+(600-AL15)</f>
        <v>1047</v>
      </c>
      <c r="AM16" s="29">
        <f t="shared" ref="AM16" si="19">AM15</f>
        <v>701</v>
      </c>
      <c r="AN16" s="48" t="s">
        <v>14</v>
      </c>
      <c r="AO16" s="29">
        <f t="shared" ref="AO16" si="20">600+(600-AO15)</f>
        <v>923</v>
      </c>
      <c r="AP16" s="29">
        <f t="shared" ref="AP16" si="21">AP15</f>
        <v>710</v>
      </c>
      <c r="AQ16" s="48" t="s">
        <v>14</v>
      </c>
      <c r="AR16" s="29">
        <v>962</v>
      </c>
      <c r="AS16" s="29">
        <v>698</v>
      </c>
    </row>
    <row r="17" spans="1:45" ht="15.5">
      <c r="A17" s="24">
        <v>13</v>
      </c>
      <c r="B17" s="19" t="s">
        <v>49</v>
      </c>
      <c r="C17" s="19" t="s">
        <v>37</v>
      </c>
      <c r="D17" s="11">
        <v>637.17658462941029</v>
      </c>
      <c r="E17" s="9">
        <v>819.000610500383</v>
      </c>
      <c r="F17" s="9">
        <v>652.6944154809355</v>
      </c>
      <c r="G17" s="9">
        <v>586</v>
      </c>
      <c r="H17" s="9">
        <v>650</v>
      </c>
      <c r="I17" s="1"/>
      <c r="J17" s="21">
        <v>13</v>
      </c>
      <c r="K17" s="27" t="s">
        <v>47</v>
      </c>
      <c r="L17" s="27" t="s">
        <v>48</v>
      </c>
      <c r="M17" s="27" t="s">
        <v>62</v>
      </c>
      <c r="N17" s="9">
        <v>65.931995131932311</v>
      </c>
      <c r="O17" s="9">
        <v>39.571622631630234</v>
      </c>
      <c r="P17" s="9">
        <v>61.900150432334442</v>
      </c>
      <c r="Q17" s="9">
        <v>70.739735737624144</v>
      </c>
      <c r="R17" s="9">
        <v>68.168505290227927</v>
      </c>
      <c r="S17" s="1"/>
      <c r="T17" s="23">
        <v>13</v>
      </c>
      <c r="U17" s="28"/>
      <c r="V17" s="28"/>
      <c r="W17" s="28"/>
      <c r="X17" s="28"/>
      <c r="Y17" s="11"/>
      <c r="Z17" s="9"/>
      <c r="AA17" s="9"/>
      <c r="AB17" s="9"/>
      <c r="AC17" s="9"/>
      <c r="AD17" s="1"/>
      <c r="AE17" s="48" t="s">
        <v>15</v>
      </c>
      <c r="AF17" s="29">
        <v>106</v>
      </c>
      <c r="AG17" s="29">
        <v>710</v>
      </c>
      <c r="AH17" s="48" t="s">
        <v>15</v>
      </c>
      <c r="AI17" s="29">
        <v>193</v>
      </c>
      <c r="AJ17" s="29">
        <v>679</v>
      </c>
      <c r="AK17" s="48" t="s">
        <v>15</v>
      </c>
      <c r="AL17" s="29">
        <v>48</v>
      </c>
      <c r="AM17" s="29">
        <v>694</v>
      </c>
      <c r="AN17" s="48" t="s">
        <v>15</v>
      </c>
      <c r="AO17" s="29">
        <v>207</v>
      </c>
      <c r="AP17" s="29">
        <v>719</v>
      </c>
      <c r="AQ17" s="48" t="s">
        <v>15</v>
      </c>
      <c r="AR17" s="29">
        <v>247</v>
      </c>
      <c r="AS17" s="29">
        <v>674</v>
      </c>
    </row>
    <row r="18" spans="1:45" ht="15.5">
      <c r="A18" s="24">
        <v>14</v>
      </c>
      <c r="B18" s="19" t="s">
        <v>49</v>
      </c>
      <c r="C18" s="19" t="s">
        <v>33</v>
      </c>
      <c r="D18" s="11">
        <v>762.14762349560601</v>
      </c>
      <c r="E18" s="9">
        <v>912.00054824544929</v>
      </c>
      <c r="F18" s="9">
        <v>790.39863360205777</v>
      </c>
      <c r="G18" s="9">
        <v>710</v>
      </c>
      <c r="H18" s="9">
        <v>770</v>
      </c>
      <c r="I18" s="1"/>
      <c r="J18" s="21">
        <v>14</v>
      </c>
      <c r="K18" s="45" t="s">
        <v>48</v>
      </c>
      <c r="L18" s="45" t="s">
        <v>78</v>
      </c>
      <c r="M18" s="45" t="s">
        <v>79</v>
      </c>
      <c r="N18" s="11">
        <v>51.508600416070621</v>
      </c>
      <c r="O18" s="9">
        <v>70.331493422732976</v>
      </c>
      <c r="P18" s="9">
        <v>55.598666164573871</v>
      </c>
      <c r="Q18" s="9">
        <v>46.941486390914385</v>
      </c>
      <c r="R18" s="9">
        <v>52.442606989726755</v>
      </c>
      <c r="S18" s="1"/>
      <c r="T18" s="23">
        <v>14</v>
      </c>
      <c r="U18" s="28"/>
      <c r="V18" s="28"/>
      <c r="W18" s="28"/>
      <c r="X18" s="28"/>
      <c r="Y18" s="11"/>
      <c r="Z18" s="9"/>
      <c r="AA18" s="9"/>
      <c r="AB18" s="9"/>
      <c r="AC18" s="9"/>
      <c r="AD18" s="1"/>
      <c r="AE18" s="48" t="s">
        <v>16</v>
      </c>
      <c r="AF18" s="29">
        <v>1012</v>
      </c>
      <c r="AG18" s="29">
        <f>AG17</f>
        <v>710</v>
      </c>
      <c r="AH18" s="48" t="s">
        <v>16</v>
      </c>
      <c r="AI18" s="29">
        <f>600+(600-AI17)</f>
        <v>1007</v>
      </c>
      <c r="AJ18" s="29">
        <f>AJ17</f>
        <v>679</v>
      </c>
      <c r="AK18" s="48" t="s">
        <v>16</v>
      </c>
      <c r="AL18" s="29">
        <f t="shared" ref="AL18" si="22">600+(600-AL17)</f>
        <v>1152</v>
      </c>
      <c r="AM18" s="29">
        <f t="shared" ref="AM18" si="23">AM17</f>
        <v>694</v>
      </c>
      <c r="AN18" s="48" t="s">
        <v>16</v>
      </c>
      <c r="AO18" s="29">
        <f t="shared" ref="AO18" si="24">600+(600-AO17)</f>
        <v>993</v>
      </c>
      <c r="AP18" s="29">
        <f t="shared" ref="AP18" si="25">AP17</f>
        <v>719</v>
      </c>
      <c r="AQ18" s="48" t="s">
        <v>16</v>
      </c>
      <c r="AR18" s="29">
        <f t="shared" ref="AR18" si="26">600+(600-AR17)</f>
        <v>953</v>
      </c>
      <c r="AS18" s="29">
        <f t="shared" ref="AS18" si="27">AS17</f>
        <v>674</v>
      </c>
    </row>
    <row r="19" spans="1:45" ht="15.5">
      <c r="A19" s="24">
        <v>15</v>
      </c>
      <c r="B19" s="19" t="s">
        <v>48</v>
      </c>
      <c r="C19" s="19" t="s">
        <v>34</v>
      </c>
      <c r="D19" s="11">
        <v>999.11260626618059</v>
      </c>
      <c r="E19" s="9">
        <v>1164.0004295531853</v>
      </c>
      <c r="F19" s="9">
        <v>1042.0604588986189</v>
      </c>
      <c r="G19" s="9">
        <v>958</v>
      </c>
      <c r="H19" s="9">
        <v>1018</v>
      </c>
      <c r="I19" s="1"/>
      <c r="J19" s="21">
        <v>15</v>
      </c>
      <c r="K19" s="45" t="s">
        <v>80</v>
      </c>
      <c r="L19" s="45" t="s">
        <v>78</v>
      </c>
      <c r="M19" s="45" t="s">
        <v>79</v>
      </c>
      <c r="N19" s="11">
        <v>24.801804676843911</v>
      </c>
      <c r="O19" s="9">
        <v>23.550733663828765</v>
      </c>
      <c r="P19" s="9">
        <v>18.923870598411341</v>
      </c>
      <c r="Q19" s="9">
        <v>13.482533700426094</v>
      </c>
      <c r="R19" s="9">
        <v>23.323029973467314</v>
      </c>
      <c r="S19" s="1"/>
      <c r="T19" s="23">
        <v>15</v>
      </c>
      <c r="U19" s="28"/>
      <c r="V19" s="28"/>
      <c r="W19" s="28"/>
      <c r="X19" s="28"/>
      <c r="Y19" s="11"/>
      <c r="Z19" s="9"/>
      <c r="AA19" s="9"/>
      <c r="AB19" s="9"/>
      <c r="AC19" s="9"/>
      <c r="AD19" s="1"/>
      <c r="AE19" s="48" t="s">
        <v>17</v>
      </c>
      <c r="AF19" s="29">
        <v>156</v>
      </c>
      <c r="AG19" s="29">
        <v>127</v>
      </c>
      <c r="AH19" s="48" t="s">
        <v>17</v>
      </c>
      <c r="AI19" s="29">
        <v>325</v>
      </c>
      <c r="AJ19" s="29">
        <v>133</v>
      </c>
      <c r="AK19" s="48" t="s">
        <v>17</v>
      </c>
      <c r="AL19" s="29">
        <v>183</v>
      </c>
      <c r="AM19" s="29">
        <v>115</v>
      </c>
      <c r="AN19" s="48" t="s">
        <v>17</v>
      </c>
      <c r="AO19" s="29">
        <v>264</v>
      </c>
      <c r="AP19" s="29">
        <v>151</v>
      </c>
      <c r="AQ19" s="48" t="s">
        <v>17</v>
      </c>
      <c r="AR19" s="29">
        <v>295</v>
      </c>
      <c r="AS19" s="29">
        <v>120</v>
      </c>
    </row>
    <row r="20" spans="1:45" ht="15.5">
      <c r="A20" s="24">
        <v>16</v>
      </c>
      <c r="B20" s="19" t="s">
        <v>50</v>
      </c>
      <c r="C20" s="19" t="s">
        <v>51</v>
      </c>
      <c r="D20" s="11">
        <v>61.1310068623117</v>
      </c>
      <c r="E20" s="9">
        <v>62.032249677083293</v>
      </c>
      <c r="F20" s="9">
        <v>46.840153714521477</v>
      </c>
      <c r="G20" s="9">
        <v>54.589376255824725</v>
      </c>
      <c r="H20" s="9">
        <v>48.041648597857254</v>
      </c>
      <c r="I20" s="3"/>
      <c r="J20" s="21">
        <v>16</v>
      </c>
      <c r="K20" s="45" t="s">
        <v>48</v>
      </c>
      <c r="L20" s="45" t="s">
        <v>81</v>
      </c>
      <c r="M20" s="45" t="s">
        <v>79</v>
      </c>
      <c r="N20" s="11">
        <v>97.730090155610242</v>
      </c>
      <c r="O20" s="9">
        <v>97.097541034288327</v>
      </c>
      <c r="P20" s="9">
        <v>100.24716209811446</v>
      </c>
      <c r="Q20" s="9">
        <v>88.419393647312774</v>
      </c>
      <c r="R20" s="9">
        <v>105.8986286615613</v>
      </c>
      <c r="S20" s="1"/>
      <c r="T20" s="23">
        <v>16</v>
      </c>
      <c r="U20" s="28"/>
      <c r="V20" s="28"/>
      <c r="W20" s="28"/>
      <c r="X20" s="28"/>
      <c r="Y20" s="11"/>
      <c r="Z20" s="9"/>
      <c r="AA20" s="9"/>
      <c r="AB20" s="9"/>
      <c r="AC20" s="9"/>
      <c r="AD20" s="1"/>
      <c r="AE20" s="48" t="s">
        <v>18</v>
      </c>
      <c r="AF20" s="29">
        <v>585</v>
      </c>
      <c r="AG20" s="29">
        <v>181</v>
      </c>
      <c r="AH20" s="48" t="s">
        <v>18</v>
      </c>
      <c r="AI20" s="29">
        <v>599</v>
      </c>
      <c r="AJ20" s="29">
        <v>10</v>
      </c>
      <c r="AK20" s="48" t="s">
        <v>18</v>
      </c>
      <c r="AL20" s="29">
        <v>553</v>
      </c>
      <c r="AM20" s="29">
        <v>139</v>
      </c>
      <c r="AN20" s="48" t="s">
        <v>18</v>
      </c>
      <c r="AO20" s="29">
        <v>600</v>
      </c>
      <c r="AP20" s="29">
        <v>222</v>
      </c>
      <c r="AQ20" s="48" t="s">
        <v>18</v>
      </c>
      <c r="AR20" s="29">
        <v>600</v>
      </c>
      <c r="AS20" s="29">
        <v>162</v>
      </c>
    </row>
    <row r="21" spans="1:45" ht="15.5">
      <c r="A21" s="24">
        <v>17</v>
      </c>
      <c r="B21" s="19" t="s">
        <v>65</v>
      </c>
      <c r="C21" s="19" t="s">
        <v>66</v>
      </c>
      <c r="D21" s="11">
        <v>237</v>
      </c>
      <c r="E21" s="9">
        <v>252</v>
      </c>
      <c r="F21" s="9">
        <v>252</v>
      </c>
      <c r="G21" s="9">
        <v>248</v>
      </c>
      <c r="H21" s="9">
        <v>248</v>
      </c>
      <c r="I21" s="3"/>
      <c r="J21" s="21">
        <v>17</v>
      </c>
      <c r="K21" s="45" t="s">
        <v>80</v>
      </c>
      <c r="L21" s="45" t="s">
        <v>81</v>
      </c>
      <c r="M21" s="45" t="s">
        <v>79</v>
      </c>
      <c r="N21" s="11">
        <v>23.662851926746033</v>
      </c>
      <c r="O21" s="9">
        <v>23.063600706972068</v>
      </c>
      <c r="P21" s="9">
        <v>21.760745348741448</v>
      </c>
      <c r="Q21" s="9">
        <v>14.98123400359127</v>
      </c>
      <c r="R21" s="9">
        <v>22.039417258576464</v>
      </c>
      <c r="S21" s="1"/>
      <c r="T21" s="23">
        <v>17</v>
      </c>
      <c r="U21" s="28"/>
      <c r="V21" s="28"/>
      <c r="W21" s="28"/>
      <c r="X21" s="28"/>
      <c r="Y21" s="11"/>
      <c r="Z21" s="9"/>
      <c r="AA21" s="9"/>
      <c r="AB21" s="9"/>
      <c r="AC21" s="9"/>
      <c r="AD21" s="1"/>
      <c r="AE21" s="48" t="s">
        <v>19</v>
      </c>
      <c r="AF21" s="29">
        <f>600+(600-AF19)</f>
        <v>1044</v>
      </c>
      <c r="AG21" s="29">
        <f>AG19</f>
        <v>127</v>
      </c>
      <c r="AH21" s="48" t="s">
        <v>19</v>
      </c>
      <c r="AI21" s="29">
        <f>600+(600-AI19)</f>
        <v>875</v>
      </c>
      <c r="AJ21" s="29">
        <f>AJ19</f>
        <v>133</v>
      </c>
      <c r="AK21" s="48" t="s">
        <v>19</v>
      </c>
      <c r="AL21" s="29">
        <f t="shared" ref="AL21" si="28">600+(600-AL19)</f>
        <v>1017</v>
      </c>
      <c r="AM21" s="29">
        <f t="shared" ref="AM21" si="29">AM19</f>
        <v>115</v>
      </c>
      <c r="AN21" s="48" t="s">
        <v>19</v>
      </c>
      <c r="AO21" s="29">
        <f t="shared" ref="AO21" si="30">600+(600-AO19)</f>
        <v>936</v>
      </c>
      <c r="AP21" s="29">
        <f t="shared" ref="AP21" si="31">AP19</f>
        <v>151</v>
      </c>
      <c r="AQ21" s="48" t="s">
        <v>19</v>
      </c>
      <c r="AR21" s="29">
        <f t="shared" ref="AR21" si="32">600+(600-AR19)</f>
        <v>905</v>
      </c>
      <c r="AS21" s="29">
        <f t="shared" ref="AS21" si="33">AS19</f>
        <v>120</v>
      </c>
    </row>
    <row r="22" spans="1:45" ht="15.5">
      <c r="A22" s="24">
        <v>18</v>
      </c>
      <c r="B22" s="19" t="s">
        <v>76</v>
      </c>
      <c r="C22" s="19" t="s">
        <v>75</v>
      </c>
      <c r="D22" s="11">
        <v>49.648766349225639</v>
      </c>
      <c r="E22" s="9">
        <v>38.327535793473601</v>
      </c>
      <c r="F22" s="9">
        <v>46.529560496527367</v>
      </c>
      <c r="G22" s="9">
        <v>26.305892875931811</v>
      </c>
      <c r="H22" s="9">
        <v>42.01190307520001</v>
      </c>
      <c r="I22" s="3"/>
      <c r="J22" s="21">
        <v>18</v>
      </c>
      <c r="K22" s="27"/>
      <c r="L22" s="27"/>
      <c r="M22" s="27"/>
      <c r="N22" s="11"/>
      <c r="O22" s="9"/>
      <c r="P22" s="9"/>
      <c r="Q22" s="9"/>
      <c r="R22" s="9"/>
      <c r="S22" s="1"/>
      <c r="T22" s="23">
        <v>18</v>
      </c>
      <c r="U22" s="28"/>
      <c r="V22" s="28"/>
      <c r="W22" s="28"/>
      <c r="X22" s="28"/>
      <c r="Y22" s="11"/>
      <c r="Z22" s="9"/>
      <c r="AA22" s="9"/>
      <c r="AB22" s="9"/>
      <c r="AC22" s="9"/>
      <c r="AD22" s="1"/>
      <c r="AE22" s="48" t="s">
        <v>20</v>
      </c>
      <c r="AF22" s="29">
        <v>340</v>
      </c>
      <c r="AG22" s="29">
        <v>588</v>
      </c>
      <c r="AH22" s="48" t="s">
        <v>20</v>
      </c>
      <c r="AI22" s="29">
        <v>388</v>
      </c>
      <c r="AJ22" s="29">
        <v>590</v>
      </c>
      <c r="AK22" s="48" t="s">
        <v>20</v>
      </c>
      <c r="AL22" s="29">
        <v>318</v>
      </c>
      <c r="AM22" s="29">
        <v>573</v>
      </c>
      <c r="AN22" s="49" t="s">
        <v>20</v>
      </c>
      <c r="AO22" s="30">
        <v>350</v>
      </c>
      <c r="AP22" s="30">
        <v>603</v>
      </c>
      <c r="AQ22" s="48" t="s">
        <v>20</v>
      </c>
      <c r="AR22" s="29">
        <v>379</v>
      </c>
      <c r="AS22" s="29">
        <v>570</v>
      </c>
    </row>
    <row r="23" spans="1:45" ht="15.5">
      <c r="A23" s="24">
        <v>19</v>
      </c>
      <c r="B23" s="19" t="s">
        <v>73</v>
      </c>
      <c r="C23" s="19" t="s">
        <v>74</v>
      </c>
      <c r="D23" s="11">
        <v>216.14809737770074</v>
      </c>
      <c r="E23" s="9">
        <v>177.47675904185314</v>
      </c>
      <c r="F23" s="9">
        <v>256.09568524284043</v>
      </c>
      <c r="G23" s="9">
        <v>195.5019181491578</v>
      </c>
      <c r="H23" s="9">
        <v>204.29635336931494</v>
      </c>
      <c r="I23" s="3"/>
      <c r="J23" s="21">
        <v>19</v>
      </c>
      <c r="K23" s="27"/>
      <c r="L23" s="27"/>
      <c r="M23" s="27"/>
      <c r="N23" s="11"/>
      <c r="O23" s="9"/>
      <c r="P23" s="9"/>
      <c r="Q23" s="9"/>
      <c r="R23" s="9"/>
      <c r="S23" s="1"/>
      <c r="T23" s="23">
        <v>19</v>
      </c>
      <c r="U23" s="28"/>
      <c r="V23" s="28"/>
      <c r="W23" s="28"/>
      <c r="X23" s="28"/>
      <c r="Y23" s="11"/>
      <c r="Z23" s="9"/>
      <c r="AA23" s="9"/>
      <c r="AB23" s="9"/>
      <c r="AC23" s="9"/>
      <c r="AD23" s="1"/>
      <c r="AE23" s="48" t="s">
        <v>21</v>
      </c>
      <c r="AF23" s="29">
        <v>416</v>
      </c>
      <c r="AG23" s="29">
        <v>602</v>
      </c>
      <c r="AH23" s="49" t="s">
        <v>21</v>
      </c>
      <c r="AI23" s="30">
        <v>441</v>
      </c>
      <c r="AJ23" s="30">
        <v>611</v>
      </c>
      <c r="AK23" s="48" t="s">
        <v>21</v>
      </c>
      <c r="AL23" s="29">
        <v>389</v>
      </c>
      <c r="AM23" s="29">
        <v>582</v>
      </c>
      <c r="AN23" s="49" t="s">
        <v>21</v>
      </c>
      <c r="AO23" s="30">
        <v>437</v>
      </c>
      <c r="AP23" s="30">
        <v>622</v>
      </c>
      <c r="AQ23" s="48" t="s">
        <v>21</v>
      </c>
      <c r="AR23" s="29">
        <v>463</v>
      </c>
      <c r="AS23" s="29">
        <v>600</v>
      </c>
    </row>
    <row r="24" spans="1:45" ht="15.5">
      <c r="A24" s="24">
        <v>20</v>
      </c>
      <c r="B24" s="19"/>
      <c r="C24" s="19"/>
      <c r="D24" s="11"/>
      <c r="E24" s="9"/>
      <c r="F24" s="9"/>
      <c r="G24" s="9"/>
      <c r="H24" s="9"/>
      <c r="I24" s="3"/>
      <c r="J24" s="21">
        <v>20</v>
      </c>
      <c r="K24" s="27"/>
      <c r="L24" s="27"/>
      <c r="M24" s="27"/>
      <c r="N24" s="11"/>
      <c r="O24" s="9"/>
      <c r="P24" s="9"/>
      <c r="Q24" s="9"/>
      <c r="R24" s="9"/>
      <c r="S24" s="1"/>
      <c r="T24" s="23">
        <v>20</v>
      </c>
      <c r="U24" s="28"/>
      <c r="V24" s="28"/>
      <c r="W24" s="28"/>
      <c r="X24" s="28"/>
      <c r="Y24" s="11"/>
      <c r="Z24" s="9"/>
      <c r="AA24" s="9"/>
      <c r="AB24" s="9"/>
      <c r="AC24" s="9"/>
      <c r="AD24" s="1"/>
      <c r="AE24" s="48" t="s">
        <v>22</v>
      </c>
      <c r="AF24" s="29">
        <v>500</v>
      </c>
      <c r="AG24" s="29">
        <v>583</v>
      </c>
      <c r="AH24" s="49" t="s">
        <v>22</v>
      </c>
      <c r="AI24" s="30">
        <v>531</v>
      </c>
      <c r="AJ24" s="30">
        <v>593</v>
      </c>
      <c r="AK24" s="48" t="s">
        <v>22</v>
      </c>
      <c r="AL24" s="29">
        <v>463</v>
      </c>
      <c r="AM24" s="29">
        <v>562</v>
      </c>
      <c r="AN24" s="49" t="s">
        <v>22</v>
      </c>
      <c r="AO24" s="30">
        <v>522</v>
      </c>
      <c r="AP24" s="30">
        <v>609</v>
      </c>
      <c r="AQ24" s="48" t="s">
        <v>22</v>
      </c>
      <c r="AR24" s="29">
        <v>530</v>
      </c>
      <c r="AS24" s="29">
        <v>569</v>
      </c>
    </row>
    <row r="25" spans="1:45" ht="15.5">
      <c r="A25" s="24">
        <v>21</v>
      </c>
      <c r="B25" s="19"/>
      <c r="C25" s="19"/>
      <c r="D25" s="9"/>
      <c r="E25" s="9"/>
      <c r="F25" s="9"/>
      <c r="G25" s="9"/>
      <c r="H25" s="9"/>
      <c r="I25" s="3"/>
      <c r="J25" s="21">
        <v>21</v>
      </c>
      <c r="K25" s="27"/>
      <c r="L25" s="27"/>
      <c r="M25" s="27"/>
      <c r="N25" s="11"/>
      <c r="O25" s="9"/>
      <c r="P25" s="9"/>
      <c r="Q25" s="9"/>
      <c r="R25" s="9"/>
      <c r="S25" s="1"/>
      <c r="T25" s="23">
        <v>21</v>
      </c>
      <c r="U25" s="28"/>
      <c r="V25" s="28"/>
      <c r="W25" s="28"/>
      <c r="X25" s="28"/>
      <c r="Y25" s="11"/>
      <c r="Z25" s="9"/>
      <c r="AA25" s="9"/>
      <c r="AB25" s="9"/>
      <c r="AC25" s="9"/>
      <c r="AD25" s="1"/>
      <c r="AE25" s="48" t="s">
        <v>23</v>
      </c>
      <c r="AF25" s="29">
        <v>412</v>
      </c>
      <c r="AG25" s="29">
        <v>541</v>
      </c>
      <c r="AH25" s="49" t="s">
        <v>23</v>
      </c>
      <c r="AI25" s="30">
        <v>443</v>
      </c>
      <c r="AJ25" s="30">
        <v>549</v>
      </c>
      <c r="AK25" s="48" t="s">
        <v>23</v>
      </c>
      <c r="AL25" s="29">
        <v>376</v>
      </c>
      <c r="AM25" s="29">
        <v>537</v>
      </c>
      <c r="AN25" s="49" t="s">
        <v>23</v>
      </c>
      <c r="AO25" s="30">
        <v>429</v>
      </c>
      <c r="AP25" s="30">
        <v>568</v>
      </c>
      <c r="AQ25" s="48" t="s">
        <v>23</v>
      </c>
      <c r="AR25" s="29">
        <v>461</v>
      </c>
      <c r="AS25" s="29">
        <v>552</v>
      </c>
    </row>
    <row r="26" spans="1:45" ht="15.5">
      <c r="A26" s="24">
        <v>22</v>
      </c>
      <c r="B26" s="19"/>
      <c r="C26" s="19"/>
      <c r="D26" s="9"/>
      <c r="E26" s="9"/>
      <c r="F26" s="9"/>
      <c r="G26" s="9"/>
      <c r="H26" s="9"/>
      <c r="I26" s="3"/>
      <c r="J26" s="21">
        <v>22</v>
      </c>
      <c r="K26" s="27"/>
      <c r="L26" s="27"/>
      <c r="M26" s="27"/>
      <c r="N26" s="11"/>
      <c r="O26" s="9"/>
      <c r="P26" s="9"/>
      <c r="Q26" s="9"/>
      <c r="R26" s="9"/>
      <c r="S26" s="1"/>
      <c r="T26" s="23">
        <v>22</v>
      </c>
      <c r="U26" s="28"/>
      <c r="V26" s="28"/>
      <c r="W26" s="28"/>
      <c r="X26" s="28"/>
      <c r="Y26" s="11"/>
      <c r="Z26" s="9"/>
      <c r="AA26" s="9"/>
      <c r="AB26" s="9"/>
      <c r="AC26" s="9"/>
      <c r="AD26" s="1"/>
      <c r="AE26" s="48" t="s">
        <v>24</v>
      </c>
      <c r="AF26" s="31">
        <v>1180</v>
      </c>
      <c r="AG26" s="31">
        <v>1180</v>
      </c>
      <c r="AH26" s="49" t="s">
        <v>24</v>
      </c>
      <c r="AI26" s="30">
        <v>1180</v>
      </c>
      <c r="AJ26" s="30">
        <v>1180</v>
      </c>
      <c r="AK26" s="48" t="s">
        <v>24</v>
      </c>
      <c r="AL26" s="31">
        <v>1180</v>
      </c>
      <c r="AM26" s="31">
        <v>1180</v>
      </c>
      <c r="AN26" s="49" t="s">
        <v>24</v>
      </c>
      <c r="AO26" s="30">
        <v>1180</v>
      </c>
      <c r="AP26" s="30">
        <v>1180</v>
      </c>
      <c r="AQ26" s="32" t="s">
        <v>24</v>
      </c>
      <c r="AR26" s="31">
        <v>1180</v>
      </c>
      <c r="AS26" s="31">
        <v>1180</v>
      </c>
    </row>
    <row r="27" spans="1:45" ht="15.5">
      <c r="A27" s="24">
        <v>23</v>
      </c>
      <c r="B27" s="19"/>
      <c r="C27" s="19"/>
      <c r="D27" s="9"/>
      <c r="E27" s="9"/>
      <c r="F27" s="9"/>
      <c r="G27" s="9"/>
      <c r="H27" s="9"/>
      <c r="I27" s="1"/>
      <c r="J27" s="21">
        <v>23</v>
      </c>
      <c r="K27" s="27"/>
      <c r="L27" s="27"/>
      <c r="M27" s="27"/>
      <c r="N27" s="11"/>
      <c r="O27" s="9"/>
      <c r="P27" s="9"/>
      <c r="Q27" s="9"/>
      <c r="R27" s="9"/>
      <c r="S27" s="1"/>
      <c r="T27" s="23">
        <v>23</v>
      </c>
      <c r="U27" s="28"/>
      <c r="V27" s="28"/>
      <c r="W27" s="28"/>
      <c r="X27" s="28"/>
      <c r="Y27" s="11"/>
      <c r="Z27" s="9"/>
      <c r="AA27" s="9"/>
      <c r="AB27" s="9"/>
      <c r="AC27" s="9"/>
      <c r="AD27" s="1"/>
      <c r="AE27" s="46" t="s">
        <v>67</v>
      </c>
      <c r="AF27" s="8">
        <v>600</v>
      </c>
      <c r="AG27" s="37">
        <v>0</v>
      </c>
      <c r="AH27" s="46" t="s">
        <v>67</v>
      </c>
      <c r="AI27" s="9">
        <v>600</v>
      </c>
      <c r="AJ27" s="38">
        <v>0</v>
      </c>
      <c r="AK27" s="46" t="s">
        <v>67</v>
      </c>
      <c r="AL27" s="8">
        <v>600</v>
      </c>
      <c r="AM27" s="37">
        <v>0</v>
      </c>
      <c r="AN27" s="46" t="s">
        <v>67</v>
      </c>
      <c r="AO27" s="9">
        <v>600</v>
      </c>
      <c r="AP27" s="38">
        <v>0</v>
      </c>
      <c r="AQ27" s="46" t="s">
        <v>67</v>
      </c>
      <c r="AR27" s="8">
        <v>600</v>
      </c>
      <c r="AS27" s="37">
        <v>0</v>
      </c>
    </row>
    <row r="28" spans="1:45" ht="15.5">
      <c r="A28" s="24">
        <v>24</v>
      </c>
      <c r="B28" s="19"/>
      <c r="C28" s="19"/>
      <c r="D28" s="9"/>
      <c r="E28" s="12"/>
      <c r="F28" s="12"/>
      <c r="G28" s="12"/>
      <c r="H28" s="12"/>
      <c r="I28" s="7"/>
      <c r="J28" s="21">
        <v>24</v>
      </c>
      <c r="K28" s="27"/>
      <c r="L28" s="27"/>
      <c r="M28" s="27"/>
      <c r="N28" s="17"/>
      <c r="O28" s="12"/>
      <c r="P28" s="12"/>
      <c r="Q28" s="12"/>
      <c r="R28" s="12"/>
      <c r="S28" s="7"/>
      <c r="T28" s="23">
        <v>24</v>
      </c>
      <c r="U28" s="28"/>
      <c r="V28" s="28"/>
      <c r="W28" s="28"/>
      <c r="X28" s="28"/>
      <c r="Y28" s="17"/>
      <c r="Z28" s="12"/>
      <c r="AA28" s="12"/>
      <c r="AB28" s="12"/>
      <c r="AC28" s="12"/>
      <c r="AD28" s="7"/>
      <c r="AE28" s="46" t="s">
        <v>68</v>
      </c>
      <c r="AF28" s="8">
        <v>418</v>
      </c>
      <c r="AG28" s="37">
        <v>457</v>
      </c>
      <c r="AH28" s="46" t="s">
        <v>68</v>
      </c>
      <c r="AI28" s="9">
        <v>432</v>
      </c>
      <c r="AJ28" s="38">
        <v>500</v>
      </c>
      <c r="AK28" s="46" t="s">
        <v>68</v>
      </c>
      <c r="AL28" s="8">
        <v>408</v>
      </c>
      <c r="AM28" s="37">
        <v>473</v>
      </c>
      <c r="AN28" s="46" t="s">
        <v>68</v>
      </c>
      <c r="AO28" s="9">
        <v>445</v>
      </c>
      <c r="AP28" s="38">
        <v>509</v>
      </c>
      <c r="AQ28" s="46" t="s">
        <v>68</v>
      </c>
      <c r="AR28" s="8">
        <v>429</v>
      </c>
      <c r="AS28" s="37">
        <v>475</v>
      </c>
    </row>
    <row r="29" spans="1:45" ht="15.5">
      <c r="A29" s="24">
        <v>25</v>
      </c>
      <c r="B29" s="19"/>
      <c r="C29" s="19"/>
      <c r="D29" s="18"/>
      <c r="E29" s="13"/>
      <c r="F29" s="9"/>
      <c r="G29" s="9"/>
      <c r="H29" s="9"/>
      <c r="I29" s="1"/>
      <c r="J29" s="21">
        <v>25</v>
      </c>
      <c r="K29" s="27"/>
      <c r="L29" s="27"/>
      <c r="M29" s="27"/>
      <c r="N29" s="11"/>
      <c r="O29" s="9"/>
      <c r="P29" s="9"/>
      <c r="Q29" s="9"/>
      <c r="R29" s="9"/>
      <c r="S29" s="1"/>
      <c r="T29" s="23">
        <v>25</v>
      </c>
      <c r="U29" s="28"/>
      <c r="V29" s="28"/>
      <c r="W29" s="28"/>
      <c r="X29" s="28"/>
      <c r="Y29" s="11"/>
      <c r="Z29" s="9"/>
      <c r="AA29" s="9"/>
      <c r="AB29" s="9"/>
      <c r="AC29" s="9"/>
      <c r="AD29" s="1"/>
      <c r="AE29" s="46" t="s">
        <v>69</v>
      </c>
      <c r="AF29" s="8">
        <v>311</v>
      </c>
      <c r="AG29" s="37">
        <v>502</v>
      </c>
      <c r="AH29" s="46" t="s">
        <v>69</v>
      </c>
      <c r="AI29" s="9">
        <v>343</v>
      </c>
      <c r="AJ29" s="38">
        <v>527</v>
      </c>
      <c r="AK29" s="46" t="s">
        <v>69</v>
      </c>
      <c r="AL29" s="8">
        <v>273</v>
      </c>
      <c r="AM29" s="37">
        <v>513</v>
      </c>
      <c r="AN29" s="46" t="s">
        <v>69</v>
      </c>
      <c r="AO29" s="9">
        <v>340</v>
      </c>
      <c r="AP29" s="38">
        <v>542</v>
      </c>
      <c r="AQ29" s="46" t="s">
        <v>69</v>
      </c>
      <c r="AR29" s="8">
        <v>332</v>
      </c>
      <c r="AS29" s="37">
        <v>518</v>
      </c>
    </row>
    <row r="30" spans="1:45" ht="15.5">
      <c r="A30" s="24">
        <v>26</v>
      </c>
      <c r="B30" s="19"/>
      <c r="C30" s="19"/>
      <c r="D30" s="11"/>
      <c r="E30" s="9"/>
      <c r="F30" s="9"/>
      <c r="G30" s="9"/>
      <c r="H30" s="9"/>
      <c r="I30" s="1"/>
      <c r="J30" s="21">
        <v>26</v>
      </c>
      <c r="K30" s="27"/>
      <c r="L30" s="27"/>
      <c r="M30" s="27"/>
      <c r="N30" s="11"/>
      <c r="O30" s="9"/>
      <c r="P30" s="9"/>
      <c r="Q30" s="9"/>
      <c r="R30" s="9"/>
      <c r="S30" s="1"/>
      <c r="T30" s="23">
        <v>26</v>
      </c>
      <c r="U30" s="28"/>
      <c r="V30" s="28"/>
      <c r="W30" s="28"/>
      <c r="X30" s="28"/>
      <c r="Y30" s="11"/>
      <c r="Z30" s="9"/>
      <c r="AA30" s="9"/>
      <c r="AB30" s="9"/>
      <c r="AC30" s="9"/>
      <c r="AD30" s="1"/>
      <c r="AE30" s="46" t="s">
        <v>70</v>
      </c>
      <c r="AF30" s="8">
        <v>527</v>
      </c>
      <c r="AG30" s="37">
        <v>510</v>
      </c>
      <c r="AH30" s="46" t="s">
        <v>70</v>
      </c>
      <c r="AI30" s="9">
        <v>520</v>
      </c>
      <c r="AJ30" s="38">
        <v>540</v>
      </c>
      <c r="AK30" s="46" t="s">
        <v>70</v>
      </c>
      <c r="AL30" s="8">
        <v>529</v>
      </c>
      <c r="AM30" s="37">
        <v>506</v>
      </c>
      <c r="AN30" s="46" t="s">
        <v>70</v>
      </c>
      <c r="AO30" s="9">
        <v>535</v>
      </c>
      <c r="AP30" s="38">
        <v>556</v>
      </c>
      <c r="AQ30" s="46" t="s">
        <v>70</v>
      </c>
      <c r="AR30" s="8">
        <v>536</v>
      </c>
      <c r="AS30" s="37">
        <v>507</v>
      </c>
    </row>
    <row r="31" spans="1:45" ht="15.5">
      <c r="A31" s="24">
        <v>27</v>
      </c>
      <c r="B31" s="19"/>
      <c r="C31" s="19"/>
      <c r="D31" s="11"/>
      <c r="E31" s="9"/>
      <c r="F31" s="9"/>
      <c r="G31" s="9"/>
      <c r="H31" s="9"/>
      <c r="I31" s="1"/>
      <c r="J31" s="21">
        <v>27</v>
      </c>
      <c r="K31" s="27"/>
      <c r="L31" s="27"/>
      <c r="M31" s="27"/>
      <c r="N31" s="11"/>
      <c r="O31" s="9"/>
      <c r="P31" s="9"/>
      <c r="Q31" s="9"/>
      <c r="R31" s="9"/>
      <c r="S31" s="1"/>
      <c r="T31" s="23">
        <v>27</v>
      </c>
      <c r="U31" s="28"/>
      <c r="V31" s="28"/>
      <c r="W31" s="28"/>
      <c r="X31" s="28"/>
      <c r="Y31" s="11"/>
      <c r="Z31" s="9"/>
      <c r="AA31" s="9"/>
      <c r="AB31" s="9"/>
      <c r="AC31" s="9"/>
      <c r="AD31" s="1"/>
      <c r="AE31" s="46" t="s">
        <v>71</v>
      </c>
      <c r="AF31" s="8">
        <v>426</v>
      </c>
      <c r="AG31" s="37">
        <v>506</v>
      </c>
      <c r="AH31" s="46" t="s">
        <v>71</v>
      </c>
      <c r="AI31" s="9">
        <v>437</v>
      </c>
      <c r="AJ31" s="38">
        <v>538</v>
      </c>
      <c r="AK31" s="46" t="s">
        <v>71</v>
      </c>
      <c r="AL31" s="8">
        <v>415</v>
      </c>
      <c r="AM31" s="37">
        <v>519</v>
      </c>
      <c r="AN31" s="46" t="s">
        <v>71</v>
      </c>
      <c r="AO31" s="9">
        <v>441</v>
      </c>
      <c r="AP31" s="38">
        <v>535</v>
      </c>
      <c r="AQ31" s="46" t="s">
        <v>71</v>
      </c>
      <c r="AR31" s="8">
        <v>430</v>
      </c>
      <c r="AS31" s="37">
        <v>517</v>
      </c>
    </row>
    <row r="32" spans="1:45" ht="15.5">
      <c r="A32" s="24">
        <v>28</v>
      </c>
      <c r="B32" s="19"/>
      <c r="C32" s="19"/>
      <c r="D32" s="11"/>
      <c r="E32" s="9"/>
      <c r="F32" s="9"/>
      <c r="G32" s="9"/>
      <c r="H32" s="9"/>
      <c r="I32" s="1"/>
      <c r="J32" s="21">
        <v>28</v>
      </c>
      <c r="K32" s="27"/>
      <c r="L32" s="27"/>
      <c r="M32" s="27"/>
      <c r="N32" s="11"/>
      <c r="O32" s="9"/>
      <c r="P32" s="9"/>
      <c r="Q32" s="9"/>
      <c r="R32" s="9"/>
      <c r="S32" s="1"/>
      <c r="T32" s="23">
        <v>28</v>
      </c>
      <c r="U32" s="28"/>
      <c r="V32" s="28"/>
      <c r="W32" s="28"/>
      <c r="X32" s="28"/>
      <c r="Y32" s="11"/>
      <c r="Z32" s="9"/>
      <c r="AA32" s="9"/>
      <c r="AB32" s="9"/>
      <c r="AC32" s="9"/>
      <c r="AD32" s="1"/>
      <c r="AE32" s="46"/>
      <c r="AF32" s="8"/>
      <c r="AG32" s="37"/>
      <c r="AH32" s="46"/>
      <c r="AI32" s="9"/>
      <c r="AJ32" s="38"/>
      <c r="AK32" s="46"/>
      <c r="AL32" s="8"/>
      <c r="AM32" s="37"/>
      <c r="AN32" s="46"/>
      <c r="AO32" s="9"/>
      <c r="AP32" s="38"/>
      <c r="AQ32" s="46"/>
      <c r="AR32" s="8"/>
      <c r="AS32" s="37"/>
    </row>
    <row r="33" spans="1:45" ht="15.5">
      <c r="A33" s="24">
        <v>29</v>
      </c>
      <c r="B33" s="19"/>
      <c r="C33" s="19"/>
      <c r="D33" s="11"/>
      <c r="E33" s="9"/>
      <c r="F33" s="9"/>
      <c r="G33" s="9"/>
      <c r="H33" s="9"/>
      <c r="I33" s="1"/>
      <c r="J33" s="21">
        <v>29</v>
      </c>
      <c r="K33" s="27"/>
      <c r="L33" s="27"/>
      <c r="M33" s="27"/>
      <c r="N33" s="11"/>
      <c r="O33" s="9"/>
      <c r="P33" s="9"/>
      <c r="Q33" s="9"/>
      <c r="R33" s="9"/>
      <c r="S33" s="1"/>
      <c r="T33" s="23">
        <v>29</v>
      </c>
      <c r="U33" s="28"/>
      <c r="V33" s="28"/>
      <c r="W33" s="28"/>
      <c r="X33" s="28"/>
      <c r="Y33" s="11"/>
      <c r="Z33" s="9"/>
      <c r="AA33" s="9"/>
      <c r="AB33" s="9"/>
      <c r="AC33" s="9"/>
      <c r="AD33" s="1"/>
      <c r="AE33" s="46"/>
      <c r="AF33" s="8"/>
      <c r="AG33" s="37"/>
      <c r="AH33" s="47"/>
      <c r="AI33" s="9"/>
      <c r="AJ33" s="38"/>
      <c r="AK33" s="46"/>
      <c r="AL33" s="8"/>
      <c r="AM33" s="37"/>
      <c r="AN33" s="47"/>
      <c r="AO33" s="9"/>
      <c r="AP33" s="38"/>
      <c r="AQ33" s="46"/>
      <c r="AR33" s="8"/>
      <c r="AS33" s="37"/>
    </row>
    <row r="34" spans="1:45" ht="15.5">
      <c r="A34" s="24">
        <v>30</v>
      </c>
      <c r="B34" s="19"/>
      <c r="C34" s="19"/>
      <c r="D34" s="11"/>
      <c r="E34" s="9"/>
      <c r="F34" s="9"/>
      <c r="G34" s="9"/>
      <c r="H34" s="9"/>
      <c r="I34" s="1"/>
      <c r="J34" s="21">
        <v>30</v>
      </c>
      <c r="K34" s="27"/>
      <c r="L34" s="27"/>
      <c r="M34" s="27"/>
      <c r="N34" s="11"/>
      <c r="O34" s="9"/>
      <c r="P34" s="9"/>
      <c r="Q34" s="9"/>
      <c r="R34" s="9"/>
      <c r="S34" s="1"/>
      <c r="T34" s="23">
        <v>30</v>
      </c>
      <c r="U34" s="28"/>
      <c r="V34" s="28"/>
      <c r="W34" s="28"/>
      <c r="X34" s="28"/>
      <c r="Y34" s="11"/>
      <c r="Z34" s="9"/>
      <c r="AA34" s="9"/>
      <c r="AB34" s="9"/>
      <c r="AC34" s="9"/>
      <c r="AD34" s="1"/>
      <c r="AE34" s="26"/>
      <c r="AF34" s="8"/>
      <c r="AG34" s="6"/>
      <c r="AH34" s="5"/>
      <c r="AI34" s="9"/>
      <c r="AJ34" s="16"/>
      <c r="AK34" s="26"/>
      <c r="AL34" s="8"/>
      <c r="AM34" s="6"/>
      <c r="AN34" s="5"/>
      <c r="AO34" s="9"/>
      <c r="AP34" s="16"/>
      <c r="AQ34" s="26"/>
      <c r="AR34" s="8"/>
      <c r="AS34" s="6"/>
    </row>
  </sheetData>
  <mergeCells count="23">
    <mergeCell ref="A1:H1"/>
    <mergeCell ref="J1:R1"/>
    <mergeCell ref="T1:AC1"/>
    <mergeCell ref="AE1:AS1"/>
    <mergeCell ref="A2:C4"/>
    <mergeCell ref="D2:F3"/>
    <mergeCell ref="G2:H3"/>
    <mergeCell ref="J2:M4"/>
    <mergeCell ref="N2:P3"/>
    <mergeCell ref="Q2:R3"/>
    <mergeCell ref="T2:X4"/>
    <mergeCell ref="Y2:AA3"/>
    <mergeCell ref="AB2:AC3"/>
    <mergeCell ref="AE2:AG2"/>
    <mergeCell ref="AH2:AJ2"/>
    <mergeCell ref="AN2:AP2"/>
    <mergeCell ref="AQ2:AS2"/>
    <mergeCell ref="AF3:AG3"/>
    <mergeCell ref="AI3:AJ3"/>
    <mergeCell ref="AL3:AM3"/>
    <mergeCell ref="AO3:AP3"/>
    <mergeCell ref="AR3:AS3"/>
    <mergeCell ref="AK2:AM2"/>
  </mergeCells>
  <phoneticPr fontId="7" type="noConversion"/>
  <conditionalFormatting sqref="Y1:AC1 Y4:AC34 Y2">
    <cfRule type="cellIs" dxfId="11" priority="1" operator="lessThan">
      <formula>0</formula>
    </cfRule>
  </conditionalFormatting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工作表15"/>
  <dimension ref="A1:AS34"/>
  <sheetViews>
    <sheetView topLeftCell="O1" zoomScaleNormal="100" workbookViewId="0">
      <selection activeCell="AI3" sqref="AI3:AJ3"/>
    </sheetView>
  </sheetViews>
  <sheetFormatPr defaultRowHeight="15"/>
  <sheetData>
    <row r="1" spans="1:45" ht="23">
      <c r="A1" s="57" t="s">
        <v>58</v>
      </c>
      <c r="B1" s="57"/>
      <c r="C1" s="57"/>
      <c r="D1" s="57"/>
      <c r="E1" s="57"/>
      <c r="F1" s="57"/>
      <c r="G1" s="57"/>
      <c r="H1" s="58"/>
      <c r="I1" s="1"/>
      <c r="J1" s="59" t="s">
        <v>60</v>
      </c>
      <c r="K1" s="59"/>
      <c r="L1" s="59"/>
      <c r="M1" s="59"/>
      <c r="N1" s="59"/>
      <c r="O1" s="59"/>
      <c r="P1" s="59"/>
      <c r="Q1" s="59"/>
      <c r="R1" s="59"/>
      <c r="S1" s="1"/>
      <c r="T1" s="60" t="s">
        <v>59</v>
      </c>
      <c r="U1" s="60"/>
      <c r="V1" s="60"/>
      <c r="W1" s="60"/>
      <c r="X1" s="60"/>
      <c r="Y1" s="60"/>
      <c r="Z1" s="60"/>
      <c r="AA1" s="60"/>
      <c r="AB1" s="60"/>
      <c r="AC1" s="60"/>
      <c r="AD1" s="1"/>
      <c r="AE1" s="61" t="s">
        <v>180</v>
      </c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</row>
    <row r="2" spans="1:45" ht="18">
      <c r="A2" s="63" t="s">
        <v>55</v>
      </c>
      <c r="B2" s="63"/>
      <c r="C2" s="63"/>
      <c r="D2" s="65"/>
      <c r="E2" s="66"/>
      <c r="F2" s="67"/>
      <c r="G2" s="65"/>
      <c r="H2" s="67"/>
      <c r="I2" s="2"/>
      <c r="J2" s="71" t="s">
        <v>56</v>
      </c>
      <c r="K2" s="71"/>
      <c r="L2" s="71"/>
      <c r="M2" s="71"/>
      <c r="N2" s="73"/>
      <c r="O2" s="74"/>
      <c r="P2" s="75"/>
      <c r="Q2" s="73"/>
      <c r="R2" s="75"/>
      <c r="S2" s="2"/>
      <c r="T2" s="90" t="s">
        <v>57</v>
      </c>
      <c r="U2" s="90"/>
      <c r="V2" s="90"/>
      <c r="W2" s="90"/>
      <c r="X2" s="90"/>
      <c r="Y2" s="92"/>
      <c r="Z2" s="93"/>
      <c r="AA2" s="94"/>
      <c r="AB2" s="92"/>
      <c r="AC2" s="94"/>
      <c r="AD2" s="2"/>
      <c r="AE2" s="54" t="s">
        <v>104</v>
      </c>
      <c r="AF2" s="55"/>
      <c r="AG2" s="56"/>
      <c r="AH2" s="81" t="s">
        <v>105</v>
      </c>
      <c r="AI2" s="82"/>
      <c r="AJ2" s="83"/>
      <c r="AK2" s="54" t="s">
        <v>106</v>
      </c>
      <c r="AL2" s="55"/>
      <c r="AM2" s="56"/>
      <c r="AN2" s="81" t="s">
        <v>107</v>
      </c>
      <c r="AO2" s="82"/>
      <c r="AP2" s="83"/>
      <c r="AQ2" s="54" t="s">
        <v>108</v>
      </c>
      <c r="AR2" s="55"/>
      <c r="AS2" s="56"/>
    </row>
    <row r="3" spans="1:45" ht="15.5">
      <c r="A3" s="63"/>
      <c r="B3" s="63"/>
      <c r="C3" s="63"/>
      <c r="D3" s="68"/>
      <c r="E3" s="69"/>
      <c r="F3" s="70"/>
      <c r="G3" s="68"/>
      <c r="H3" s="70"/>
      <c r="I3" s="1"/>
      <c r="J3" s="71"/>
      <c r="K3" s="71"/>
      <c r="L3" s="71"/>
      <c r="M3" s="71"/>
      <c r="N3" s="76"/>
      <c r="O3" s="77"/>
      <c r="P3" s="78"/>
      <c r="Q3" s="76"/>
      <c r="R3" s="78"/>
      <c r="S3" s="1"/>
      <c r="T3" s="90"/>
      <c r="U3" s="90"/>
      <c r="V3" s="90"/>
      <c r="W3" s="90"/>
      <c r="X3" s="90"/>
      <c r="Y3" s="95"/>
      <c r="Z3" s="96"/>
      <c r="AA3" s="97"/>
      <c r="AB3" s="95"/>
      <c r="AC3" s="97"/>
      <c r="AD3" s="1"/>
      <c r="AE3" s="52" t="s">
        <v>178</v>
      </c>
      <c r="AF3" s="85" t="s">
        <v>177</v>
      </c>
      <c r="AG3" s="85"/>
      <c r="AH3" s="52" t="s">
        <v>178</v>
      </c>
      <c r="AI3" s="85" t="s">
        <v>177</v>
      </c>
      <c r="AJ3" s="85"/>
      <c r="AK3" s="52" t="s">
        <v>178</v>
      </c>
      <c r="AL3" s="85" t="s">
        <v>177</v>
      </c>
      <c r="AM3" s="85"/>
      <c r="AN3" s="52" t="s">
        <v>178</v>
      </c>
      <c r="AO3" s="85" t="s">
        <v>177</v>
      </c>
      <c r="AP3" s="85"/>
      <c r="AQ3" s="52" t="s">
        <v>178</v>
      </c>
      <c r="AR3" s="85" t="s">
        <v>177</v>
      </c>
      <c r="AS3" s="85"/>
    </row>
    <row r="4" spans="1:45" ht="49.25" customHeight="1">
      <c r="A4" s="63"/>
      <c r="B4" s="64"/>
      <c r="C4" s="64"/>
      <c r="D4" s="19" t="s">
        <v>25</v>
      </c>
      <c r="E4" s="19" t="s">
        <v>26</v>
      </c>
      <c r="F4" s="19" t="s">
        <v>27</v>
      </c>
      <c r="G4" s="19" t="s">
        <v>28</v>
      </c>
      <c r="H4" s="19" t="s">
        <v>29</v>
      </c>
      <c r="I4" s="4"/>
      <c r="J4" s="71"/>
      <c r="K4" s="72"/>
      <c r="L4" s="72"/>
      <c r="M4" s="72"/>
      <c r="N4" s="27" t="s">
        <v>25</v>
      </c>
      <c r="O4" s="27" t="s">
        <v>26</v>
      </c>
      <c r="P4" s="27" t="s">
        <v>27</v>
      </c>
      <c r="Q4" s="27" t="s">
        <v>28</v>
      </c>
      <c r="R4" s="27" t="s">
        <v>29</v>
      </c>
      <c r="S4" s="4"/>
      <c r="T4" s="90"/>
      <c r="U4" s="91"/>
      <c r="V4" s="91"/>
      <c r="W4" s="91"/>
      <c r="X4" s="91"/>
      <c r="Y4" s="28" t="s">
        <v>25</v>
      </c>
      <c r="Z4" s="28" t="s">
        <v>26</v>
      </c>
      <c r="AA4" s="28" t="s">
        <v>27</v>
      </c>
      <c r="AB4" s="28" t="s">
        <v>28</v>
      </c>
      <c r="AC4" s="28" t="s">
        <v>29</v>
      </c>
      <c r="AD4" s="4"/>
      <c r="AE4" s="48"/>
      <c r="AF4" s="48" t="s">
        <v>0</v>
      </c>
      <c r="AG4" s="48" t="s">
        <v>1</v>
      </c>
      <c r="AH4" s="48"/>
      <c r="AI4" s="48" t="s">
        <v>0</v>
      </c>
      <c r="AJ4" s="48" t="s">
        <v>1</v>
      </c>
      <c r="AK4" s="48" t="s">
        <v>2</v>
      </c>
      <c r="AL4" s="48" t="s">
        <v>0</v>
      </c>
      <c r="AM4" s="48" t="s">
        <v>1</v>
      </c>
      <c r="AN4" s="49" t="s">
        <v>2</v>
      </c>
      <c r="AO4" s="49" t="s">
        <v>0</v>
      </c>
      <c r="AP4" s="49" t="s">
        <v>1</v>
      </c>
      <c r="AQ4" s="48" t="s">
        <v>2</v>
      </c>
      <c r="AR4" s="48" t="s">
        <v>0</v>
      </c>
      <c r="AS4" s="48" t="s">
        <v>1</v>
      </c>
    </row>
    <row r="5" spans="1:45" ht="15.5">
      <c r="A5" s="24">
        <v>1</v>
      </c>
      <c r="B5" s="19" t="s">
        <v>30</v>
      </c>
      <c r="C5" s="19" t="s">
        <v>32</v>
      </c>
      <c r="D5" s="11">
        <v>307</v>
      </c>
      <c r="E5" s="9">
        <v>312.92171544972712</v>
      </c>
      <c r="F5" s="9">
        <v>319</v>
      </c>
      <c r="G5" s="9">
        <v>304</v>
      </c>
      <c r="H5" s="9">
        <v>300</v>
      </c>
      <c r="I5" s="1"/>
      <c r="J5" s="21">
        <v>1</v>
      </c>
      <c r="K5" s="27" t="s">
        <v>30</v>
      </c>
      <c r="L5" s="27" t="s">
        <v>35</v>
      </c>
      <c r="M5" s="27" t="s">
        <v>38</v>
      </c>
      <c r="N5" s="9">
        <v>68.738736742427449</v>
      </c>
      <c r="O5" s="9">
        <v>65.095231191904816</v>
      </c>
      <c r="P5" s="9">
        <v>66.988562556892376</v>
      </c>
      <c r="Q5" s="9">
        <v>63.788621982168472</v>
      </c>
      <c r="R5" s="9">
        <v>64.592281891051513</v>
      </c>
      <c r="S5" s="1"/>
      <c r="T5" s="23">
        <v>1</v>
      </c>
      <c r="U5" s="28" t="s">
        <v>30</v>
      </c>
      <c r="V5" s="28" t="s">
        <v>35</v>
      </c>
      <c r="W5" s="28" t="s">
        <v>37</v>
      </c>
      <c r="X5" s="28" t="s">
        <v>38</v>
      </c>
      <c r="Y5" s="11">
        <v>30700</v>
      </c>
      <c r="Z5" s="9">
        <v>29016</v>
      </c>
      <c r="AA5" s="9">
        <v>35090</v>
      </c>
      <c r="AB5" s="9">
        <v>38912</v>
      </c>
      <c r="AC5" s="9">
        <v>34200</v>
      </c>
      <c r="AD5" s="1"/>
      <c r="AE5" s="48" t="s">
        <v>3</v>
      </c>
      <c r="AF5" s="29">
        <v>600</v>
      </c>
      <c r="AG5" s="29">
        <v>546</v>
      </c>
      <c r="AH5" s="48" t="s">
        <v>3</v>
      </c>
      <c r="AI5" s="29">
        <v>600</v>
      </c>
      <c r="AJ5" s="29">
        <v>535</v>
      </c>
      <c r="AK5" s="48" t="s">
        <v>3</v>
      </c>
      <c r="AL5" s="29">
        <v>600</v>
      </c>
      <c r="AM5" s="29">
        <v>540</v>
      </c>
      <c r="AN5" s="48" t="s">
        <v>3</v>
      </c>
      <c r="AO5" s="29">
        <v>600</v>
      </c>
      <c r="AP5" s="29">
        <v>486</v>
      </c>
      <c r="AQ5" s="48" t="s">
        <v>3</v>
      </c>
      <c r="AR5" s="29">
        <v>600</v>
      </c>
      <c r="AS5" s="29">
        <v>529</v>
      </c>
    </row>
    <row r="6" spans="1:45" ht="15.5">
      <c r="A6" s="24">
        <v>2</v>
      </c>
      <c r="B6" s="19" t="s">
        <v>30</v>
      </c>
      <c r="C6" s="19" t="s">
        <v>33</v>
      </c>
      <c r="D6" s="11">
        <v>422</v>
      </c>
      <c r="E6" s="9">
        <v>402</v>
      </c>
      <c r="F6" s="9">
        <v>412</v>
      </c>
      <c r="G6" s="9">
        <v>404</v>
      </c>
      <c r="H6" s="9">
        <v>406</v>
      </c>
      <c r="I6" s="1"/>
      <c r="J6" s="21">
        <v>2</v>
      </c>
      <c r="K6" s="27" t="s">
        <v>31</v>
      </c>
      <c r="L6" s="27" t="s">
        <v>41</v>
      </c>
      <c r="M6" s="27" t="s">
        <v>34</v>
      </c>
      <c r="N6" s="9">
        <v>83.576366529422828</v>
      </c>
      <c r="O6" s="9">
        <v>91.851133368732633</v>
      </c>
      <c r="P6" s="9">
        <v>95.508749950144164</v>
      </c>
      <c r="Q6" s="9">
        <v>86.291746994330708</v>
      </c>
      <c r="R6" s="9">
        <v>87.839841757613399</v>
      </c>
      <c r="S6" s="1"/>
      <c r="T6" s="23">
        <v>2</v>
      </c>
      <c r="U6" s="28" t="s">
        <v>31</v>
      </c>
      <c r="V6" s="28" t="s">
        <v>41</v>
      </c>
      <c r="W6" s="28" t="s">
        <v>34</v>
      </c>
      <c r="X6" s="28" t="s">
        <v>42</v>
      </c>
      <c r="Y6" s="11">
        <v>220632</v>
      </c>
      <c r="Z6" s="9">
        <v>192855</v>
      </c>
      <c r="AA6" s="9">
        <v>176000</v>
      </c>
      <c r="AB6" s="9">
        <v>235266</v>
      </c>
      <c r="AC6" s="9">
        <v>210924</v>
      </c>
      <c r="AD6" s="1"/>
      <c r="AE6" s="48" t="s">
        <v>4</v>
      </c>
      <c r="AF6" s="29">
        <v>500</v>
      </c>
      <c r="AG6" s="29">
        <v>803</v>
      </c>
      <c r="AH6" s="48" t="s">
        <v>4</v>
      </c>
      <c r="AI6" s="29">
        <v>483</v>
      </c>
      <c r="AJ6" s="29">
        <v>787</v>
      </c>
      <c r="AK6" s="48" t="s">
        <v>4</v>
      </c>
      <c r="AL6" s="29">
        <v>490</v>
      </c>
      <c r="AM6" s="29">
        <v>799</v>
      </c>
      <c r="AN6" s="48" t="s">
        <v>4</v>
      </c>
      <c r="AO6" s="29">
        <v>472</v>
      </c>
      <c r="AP6" s="29">
        <v>746</v>
      </c>
      <c r="AQ6" s="48" t="s">
        <v>4</v>
      </c>
      <c r="AR6" s="29">
        <v>486</v>
      </c>
      <c r="AS6" s="29">
        <v>769</v>
      </c>
    </row>
    <row r="7" spans="1:45" ht="15.5">
      <c r="A7" s="24">
        <v>3</v>
      </c>
      <c r="B7" s="19" t="s">
        <v>31</v>
      </c>
      <c r="C7" s="19" t="s">
        <v>34</v>
      </c>
      <c r="D7" s="11">
        <v>634</v>
      </c>
      <c r="E7" s="9">
        <v>645</v>
      </c>
      <c r="F7" s="9">
        <v>640</v>
      </c>
      <c r="G7" s="9">
        <v>694</v>
      </c>
      <c r="H7" s="9">
        <v>651</v>
      </c>
      <c r="I7" s="1"/>
      <c r="J7" s="21">
        <v>3</v>
      </c>
      <c r="K7" s="27" t="s">
        <v>31</v>
      </c>
      <c r="L7" s="27" t="s">
        <v>44</v>
      </c>
      <c r="M7" s="27" t="s">
        <v>37</v>
      </c>
      <c r="N7" s="9">
        <v>43.359481099330587</v>
      </c>
      <c r="O7" s="9">
        <v>48.918761707588239</v>
      </c>
      <c r="P7" s="9">
        <v>51.149541480995005</v>
      </c>
      <c r="Q7" s="9">
        <v>36.133631180796392</v>
      </c>
      <c r="R7" s="9">
        <v>110.77437873122675</v>
      </c>
      <c r="S7" s="1"/>
      <c r="T7" s="23">
        <v>3</v>
      </c>
      <c r="U7" s="28" t="s">
        <v>41</v>
      </c>
      <c r="V7" s="28" t="s">
        <v>39</v>
      </c>
      <c r="W7" s="28" t="s">
        <v>34</v>
      </c>
      <c r="X7" s="28" t="s">
        <v>42</v>
      </c>
      <c r="Y7" s="11">
        <v>96858</v>
      </c>
      <c r="Z7" s="9">
        <v>75155.5</v>
      </c>
      <c r="AA7" s="9">
        <v>67447</v>
      </c>
      <c r="AB7" s="9">
        <v>119930.5</v>
      </c>
      <c r="AC7" s="9">
        <v>84790.5</v>
      </c>
      <c r="AD7" s="1"/>
      <c r="AE7" s="48" t="s">
        <v>5</v>
      </c>
      <c r="AF7" s="29">
        <v>600</v>
      </c>
      <c r="AG7" s="29">
        <v>853</v>
      </c>
      <c r="AH7" s="48" t="s">
        <v>5</v>
      </c>
      <c r="AI7" s="29">
        <v>576</v>
      </c>
      <c r="AJ7" s="29">
        <v>847</v>
      </c>
      <c r="AK7" s="48" t="s">
        <v>5</v>
      </c>
      <c r="AL7" s="29">
        <v>600</v>
      </c>
      <c r="AM7" s="29">
        <v>859</v>
      </c>
      <c r="AN7" s="48" t="s">
        <v>5</v>
      </c>
      <c r="AO7" s="29">
        <v>600</v>
      </c>
      <c r="AP7" s="29">
        <v>790</v>
      </c>
      <c r="AQ7" s="48" t="s">
        <v>5</v>
      </c>
      <c r="AR7" s="29">
        <v>600</v>
      </c>
      <c r="AS7" s="29">
        <v>829</v>
      </c>
    </row>
    <row r="8" spans="1:45" ht="15.5">
      <c r="A8" s="24">
        <v>4</v>
      </c>
      <c r="B8" s="19" t="s">
        <v>35</v>
      </c>
      <c r="C8" s="19" t="s">
        <v>38</v>
      </c>
      <c r="D8" s="11">
        <v>200</v>
      </c>
      <c r="E8" s="9">
        <v>186</v>
      </c>
      <c r="F8" s="9">
        <v>220</v>
      </c>
      <c r="G8" s="9">
        <v>256</v>
      </c>
      <c r="H8" s="9">
        <v>228</v>
      </c>
      <c r="I8" s="1"/>
      <c r="J8" s="21">
        <v>4</v>
      </c>
      <c r="K8" s="27" t="s">
        <v>35</v>
      </c>
      <c r="L8" s="27" t="s">
        <v>37</v>
      </c>
      <c r="M8" s="27" t="s">
        <v>38</v>
      </c>
      <c r="N8" s="9">
        <v>126.86989764584402</v>
      </c>
      <c r="O8" s="9">
        <v>114.34291641717493</v>
      </c>
      <c r="P8" s="9">
        <v>122.77908066806958</v>
      </c>
      <c r="Q8" s="9">
        <v>142.05918438302692</v>
      </c>
      <c r="R8" s="9">
        <v>124.48291879787998</v>
      </c>
      <c r="S8" s="1"/>
      <c r="T8" s="23">
        <v>4</v>
      </c>
      <c r="U8" s="28" t="s">
        <v>46</v>
      </c>
      <c r="V8" s="28" t="s">
        <v>43</v>
      </c>
      <c r="W8" s="28" t="s">
        <v>33</v>
      </c>
      <c r="X8" s="28" t="s">
        <v>47</v>
      </c>
      <c r="Y8" s="11">
        <v>440779</v>
      </c>
      <c r="Z8" s="9">
        <v>342794.5</v>
      </c>
      <c r="AA8" s="9">
        <v>436707</v>
      </c>
      <c r="AB8" s="9">
        <v>486461.5</v>
      </c>
      <c r="AC8" s="9">
        <v>384693.5</v>
      </c>
      <c r="AD8" s="1"/>
      <c r="AE8" s="48" t="s">
        <v>6</v>
      </c>
      <c r="AF8" s="29">
        <f>AF7+(AF7-AF6)</f>
        <v>700</v>
      </c>
      <c r="AG8" s="29">
        <f>AG6</f>
        <v>803</v>
      </c>
      <c r="AH8" s="48" t="s">
        <v>6</v>
      </c>
      <c r="AI8" s="29">
        <f>AI7+(AI7-AI6)</f>
        <v>669</v>
      </c>
      <c r="AJ8" s="29">
        <f>AJ6</f>
        <v>787</v>
      </c>
      <c r="AK8" s="48" t="s">
        <v>6</v>
      </c>
      <c r="AL8" s="29">
        <f t="shared" ref="AL8" si="0">AL7+(AL7-AL6)</f>
        <v>710</v>
      </c>
      <c r="AM8" s="29">
        <f t="shared" ref="AM8" si="1">AM6</f>
        <v>799</v>
      </c>
      <c r="AN8" s="48" t="s">
        <v>6</v>
      </c>
      <c r="AO8" s="29">
        <f t="shared" ref="AO8" si="2">AO7+(AO7-AO6)</f>
        <v>728</v>
      </c>
      <c r="AP8" s="29">
        <f t="shared" ref="AP8" si="3">AP6</f>
        <v>746</v>
      </c>
      <c r="AQ8" s="48" t="s">
        <v>6</v>
      </c>
      <c r="AR8" s="29">
        <f t="shared" ref="AR8" si="4">AR7+(AR7-AR6)</f>
        <v>714</v>
      </c>
      <c r="AS8" s="29">
        <f t="shared" ref="AS8" si="5">AS6</f>
        <v>769</v>
      </c>
    </row>
    <row r="9" spans="1:45" ht="15.5">
      <c r="A9" s="24">
        <v>5</v>
      </c>
      <c r="B9" s="19" t="s">
        <v>36</v>
      </c>
      <c r="C9" s="19" t="s">
        <v>33</v>
      </c>
      <c r="D9" s="11">
        <v>115</v>
      </c>
      <c r="E9" s="9">
        <v>93.145048177560142</v>
      </c>
      <c r="F9" s="9">
        <v>93</v>
      </c>
      <c r="G9" s="9">
        <v>100</v>
      </c>
      <c r="H9" s="9">
        <v>106</v>
      </c>
      <c r="I9" s="1"/>
      <c r="J9" s="21">
        <v>5</v>
      </c>
      <c r="K9" s="27" t="s">
        <v>39</v>
      </c>
      <c r="L9" s="27" t="s">
        <v>34</v>
      </c>
      <c r="M9" s="27" t="s">
        <v>61</v>
      </c>
      <c r="N9" s="9">
        <v>152.41826620527803</v>
      </c>
      <c r="O9" s="9">
        <v>140.69235188389339</v>
      </c>
      <c r="P9" s="9">
        <v>151.0204748122311</v>
      </c>
      <c r="Q9" s="9">
        <v>174.55733124407675</v>
      </c>
      <c r="R9" s="9">
        <v>152.54580684290042</v>
      </c>
      <c r="S9" s="1"/>
      <c r="T9" s="23">
        <v>5</v>
      </c>
      <c r="U9" s="28" t="s">
        <v>48</v>
      </c>
      <c r="V9" s="28" t="s">
        <v>43</v>
      </c>
      <c r="W9" s="28" t="s">
        <v>34</v>
      </c>
      <c r="X9" s="28" t="s">
        <v>44</v>
      </c>
      <c r="Y9" s="11">
        <v>387158</v>
      </c>
      <c r="Z9" s="9">
        <v>305312</v>
      </c>
      <c r="AA9" s="9">
        <v>334950</v>
      </c>
      <c r="AB9" s="9">
        <v>511896</v>
      </c>
      <c r="AC9" s="9">
        <v>231967.5</v>
      </c>
      <c r="AD9" s="1"/>
      <c r="AE9" s="48" t="s">
        <v>77</v>
      </c>
      <c r="AF9" s="29">
        <v>600</v>
      </c>
      <c r="AG9" s="29">
        <v>968</v>
      </c>
      <c r="AH9" s="48" t="s">
        <v>77</v>
      </c>
      <c r="AI9" s="29">
        <v>600</v>
      </c>
      <c r="AJ9" s="29">
        <v>937</v>
      </c>
      <c r="AK9" s="48" t="s">
        <v>77</v>
      </c>
      <c r="AL9" s="29">
        <v>600</v>
      </c>
      <c r="AM9" s="29">
        <v>952</v>
      </c>
      <c r="AN9" s="48" t="s">
        <v>77</v>
      </c>
      <c r="AO9" s="29">
        <v>600</v>
      </c>
      <c r="AP9" s="29">
        <v>890</v>
      </c>
      <c r="AQ9" s="48" t="s">
        <v>77</v>
      </c>
      <c r="AR9" s="29">
        <v>600</v>
      </c>
      <c r="AS9" s="29">
        <v>935</v>
      </c>
    </row>
    <row r="10" spans="1:45" ht="15.5">
      <c r="A10" s="24">
        <v>6</v>
      </c>
      <c r="B10" s="19" t="s">
        <v>37</v>
      </c>
      <c r="C10" s="19" t="s">
        <v>34</v>
      </c>
      <c r="D10" s="11">
        <v>327</v>
      </c>
      <c r="E10" s="9">
        <v>333.86374466239965</v>
      </c>
      <c r="F10" s="9">
        <v>321</v>
      </c>
      <c r="G10" s="9">
        <v>390</v>
      </c>
      <c r="H10" s="9">
        <v>351</v>
      </c>
      <c r="I10" s="1"/>
      <c r="J10" s="21">
        <v>6</v>
      </c>
      <c r="K10" s="27" t="s">
        <v>40</v>
      </c>
      <c r="L10" s="27" t="s">
        <v>34</v>
      </c>
      <c r="M10" s="27" t="s">
        <v>62</v>
      </c>
      <c r="N10" s="9">
        <v>13.790866897360994</v>
      </c>
      <c r="O10" s="9">
        <v>19.65382405805331</v>
      </c>
      <c r="P10" s="9">
        <v>14.489762593884393</v>
      </c>
      <c r="Q10" s="9">
        <v>2.7213343779617283</v>
      </c>
      <c r="R10" s="9">
        <v>13.727096578549745</v>
      </c>
      <c r="S10" s="1"/>
      <c r="T10" s="23">
        <v>6</v>
      </c>
      <c r="U10" s="28" t="s">
        <v>52</v>
      </c>
      <c r="V10" s="28" t="s">
        <v>53</v>
      </c>
      <c r="W10" s="28" t="s">
        <v>54</v>
      </c>
      <c r="X10" s="28" t="s">
        <v>50</v>
      </c>
      <c r="Y10" s="11">
        <v>3386</v>
      </c>
      <c r="Z10" s="9">
        <v>5064</v>
      </c>
      <c r="AA10" s="9">
        <v>4462.5</v>
      </c>
      <c r="AB10" s="9">
        <v>2572</v>
      </c>
      <c r="AC10" s="9">
        <v>3011.5</v>
      </c>
      <c r="AD10" s="1"/>
      <c r="AE10" s="48" t="s">
        <v>8</v>
      </c>
      <c r="AF10" s="29">
        <v>490</v>
      </c>
      <c r="AG10" s="29">
        <v>1153</v>
      </c>
      <c r="AH10" s="48" t="s">
        <v>8</v>
      </c>
      <c r="AI10" s="29">
        <v>502</v>
      </c>
      <c r="AJ10" s="29">
        <v>1145</v>
      </c>
      <c r="AK10" s="48" t="s">
        <v>8</v>
      </c>
      <c r="AL10" s="29">
        <v>511</v>
      </c>
      <c r="AM10" s="29">
        <v>1157</v>
      </c>
      <c r="AN10" s="48" t="s">
        <v>8</v>
      </c>
      <c r="AO10" s="29">
        <v>53</v>
      </c>
      <c r="AP10" s="29">
        <v>1154</v>
      </c>
      <c r="AQ10" s="48" t="s">
        <v>8</v>
      </c>
      <c r="AR10" s="29">
        <v>469</v>
      </c>
      <c r="AS10" s="29">
        <v>1148</v>
      </c>
    </row>
    <row r="11" spans="1:45" ht="15.5">
      <c r="A11" s="24">
        <v>7</v>
      </c>
      <c r="B11" s="19" t="s">
        <v>39</v>
      </c>
      <c r="C11" s="19" t="s">
        <v>40</v>
      </c>
      <c r="D11" s="11">
        <v>220</v>
      </c>
      <c r="E11" s="9">
        <v>196</v>
      </c>
      <c r="F11" s="9">
        <v>178</v>
      </c>
      <c r="G11" s="9">
        <v>1094</v>
      </c>
      <c r="H11" s="9">
        <v>262</v>
      </c>
      <c r="I11" s="1"/>
      <c r="J11" s="21">
        <v>7</v>
      </c>
      <c r="K11" s="27" t="s">
        <v>41</v>
      </c>
      <c r="L11" s="27" t="s">
        <v>34</v>
      </c>
      <c r="M11" s="27" t="s">
        <v>62</v>
      </c>
      <c r="N11" s="9">
        <v>144.09027692082233</v>
      </c>
      <c r="O11" s="9">
        <v>142.3112136769891</v>
      </c>
      <c r="P11" s="9">
        <v>141.21337526527836</v>
      </c>
      <c r="Q11" s="9">
        <v>149.08597937515037</v>
      </c>
      <c r="R11" s="9">
        <v>144.51253760227897</v>
      </c>
      <c r="S11" s="1"/>
      <c r="T11" s="23">
        <v>7</v>
      </c>
      <c r="U11" s="40" t="s">
        <v>76</v>
      </c>
      <c r="V11" s="40" t="s">
        <v>73</v>
      </c>
      <c r="W11" s="40" t="s">
        <v>75</v>
      </c>
      <c r="X11" s="40" t="s">
        <v>74</v>
      </c>
      <c r="Y11" s="11">
        <v>3927</v>
      </c>
      <c r="Z11" s="9">
        <v>3900</v>
      </c>
      <c r="AA11" s="9">
        <v>3831</v>
      </c>
      <c r="AB11" s="9">
        <v>4973</v>
      </c>
      <c r="AC11" s="9">
        <v>4222</v>
      </c>
      <c r="AD11" s="1"/>
      <c r="AE11" s="48" t="s">
        <v>9</v>
      </c>
      <c r="AF11" s="29">
        <v>600</v>
      </c>
      <c r="AG11" s="29">
        <v>1180</v>
      </c>
      <c r="AH11" s="48" t="s">
        <v>9</v>
      </c>
      <c r="AI11" s="29">
        <v>600</v>
      </c>
      <c r="AJ11" s="29">
        <v>1180</v>
      </c>
      <c r="AK11" s="48" t="s">
        <v>9</v>
      </c>
      <c r="AL11" s="29">
        <v>600</v>
      </c>
      <c r="AM11" s="29">
        <v>1180</v>
      </c>
      <c r="AN11" s="48" t="s">
        <v>9</v>
      </c>
      <c r="AO11" s="29">
        <v>600</v>
      </c>
      <c r="AP11" s="29">
        <v>1180</v>
      </c>
      <c r="AQ11" s="48" t="s">
        <v>9</v>
      </c>
      <c r="AR11" s="29">
        <v>600</v>
      </c>
      <c r="AS11" s="29">
        <v>1180</v>
      </c>
    </row>
    <row r="12" spans="1:45" ht="15.5">
      <c r="A12" s="24">
        <v>8</v>
      </c>
      <c r="B12" s="19" t="s">
        <v>41</v>
      </c>
      <c r="C12" s="19" t="s">
        <v>42</v>
      </c>
      <c r="D12" s="11">
        <v>696</v>
      </c>
      <c r="E12" s="9">
        <v>598</v>
      </c>
      <c r="F12" s="9">
        <v>550</v>
      </c>
      <c r="G12" s="9">
        <v>678</v>
      </c>
      <c r="H12" s="9">
        <v>648</v>
      </c>
      <c r="I12" s="1"/>
      <c r="J12" s="21">
        <v>8</v>
      </c>
      <c r="K12" s="27" t="s">
        <v>42</v>
      </c>
      <c r="L12" s="27" t="s">
        <v>34</v>
      </c>
      <c r="M12" s="27" t="s">
        <v>62</v>
      </c>
      <c r="N12" s="9">
        <v>35.909723079177674</v>
      </c>
      <c r="O12" s="9">
        <v>37.688786323010916</v>
      </c>
      <c r="P12" s="9">
        <v>38.78662473472162</v>
      </c>
      <c r="Q12" s="9">
        <v>30.914020624849627</v>
      </c>
      <c r="R12" s="9">
        <v>35.487462397721011</v>
      </c>
      <c r="S12" s="1"/>
      <c r="T12" s="23">
        <v>8</v>
      </c>
      <c r="U12" s="28"/>
      <c r="V12" s="28"/>
      <c r="W12" s="28"/>
      <c r="X12" s="28"/>
      <c r="Y12" s="11"/>
      <c r="Z12" s="9"/>
      <c r="AA12" s="9"/>
      <c r="AB12" s="9"/>
      <c r="AC12" s="9"/>
      <c r="AD12" s="1"/>
      <c r="AE12" s="48" t="s">
        <v>10</v>
      </c>
      <c r="AF12" s="29">
        <f>AF11+(AF11-AF10)</f>
        <v>710</v>
      </c>
      <c r="AG12" s="29">
        <f>AG10</f>
        <v>1153</v>
      </c>
      <c r="AH12" s="48" t="s">
        <v>10</v>
      </c>
      <c r="AI12" s="29">
        <f>AI11+(AI11-AI10)</f>
        <v>698</v>
      </c>
      <c r="AJ12" s="29">
        <f>AJ10</f>
        <v>1145</v>
      </c>
      <c r="AK12" s="48" t="s">
        <v>10</v>
      </c>
      <c r="AL12" s="29">
        <f t="shared" ref="AL12" si="6">AL11+(AL11-AL10)</f>
        <v>689</v>
      </c>
      <c r="AM12" s="29">
        <f t="shared" ref="AM12" si="7">AM10</f>
        <v>1157</v>
      </c>
      <c r="AN12" s="48" t="s">
        <v>10</v>
      </c>
      <c r="AO12" s="29">
        <f t="shared" ref="AO12" si="8">AO11+(AO11-AO10)</f>
        <v>1147</v>
      </c>
      <c r="AP12" s="29">
        <f t="shared" ref="AP12" si="9">AP10</f>
        <v>1154</v>
      </c>
      <c r="AQ12" s="48" t="s">
        <v>10</v>
      </c>
      <c r="AR12" s="29">
        <f t="shared" ref="AR12" si="10">AR11+(AR11-AR10)</f>
        <v>731</v>
      </c>
      <c r="AS12" s="29">
        <f t="shared" ref="AS12" si="11">AS10</f>
        <v>1148</v>
      </c>
    </row>
    <row r="13" spans="1:45" ht="15.5">
      <c r="A13" s="24">
        <v>9</v>
      </c>
      <c r="B13" s="19" t="s">
        <v>43</v>
      </c>
      <c r="C13" s="19" t="s">
        <v>44</v>
      </c>
      <c r="D13" s="11">
        <v>772</v>
      </c>
      <c r="E13" s="9">
        <v>658</v>
      </c>
      <c r="F13" s="9">
        <v>660</v>
      </c>
      <c r="G13" s="9">
        <v>924</v>
      </c>
      <c r="H13" s="9">
        <v>471</v>
      </c>
      <c r="I13" s="1"/>
      <c r="J13" s="21">
        <v>9</v>
      </c>
      <c r="K13" s="27" t="s">
        <v>43</v>
      </c>
      <c r="L13" s="27" t="s">
        <v>41</v>
      </c>
      <c r="M13" s="27" t="s">
        <v>34</v>
      </c>
      <c r="N13" s="9">
        <v>135.05680346405285</v>
      </c>
      <c r="O13" s="9">
        <v>135.63225813360131</v>
      </c>
      <c r="P13" s="9">
        <v>142.6413615885549</v>
      </c>
      <c r="Q13" s="9">
        <v>143.61686274806249</v>
      </c>
      <c r="R13" s="9">
        <v>135.20266471440578</v>
      </c>
      <c r="S13" s="1"/>
      <c r="T13" s="23">
        <v>9</v>
      </c>
      <c r="U13" s="28"/>
      <c r="V13" s="28"/>
      <c r="W13" s="28"/>
      <c r="X13" s="28"/>
      <c r="Y13" s="11"/>
      <c r="Z13" s="9"/>
      <c r="AA13" s="9"/>
      <c r="AB13" s="9"/>
      <c r="AC13" s="9"/>
      <c r="AD13" s="1"/>
      <c r="AE13" s="48" t="s">
        <v>11</v>
      </c>
      <c r="AF13" s="29">
        <v>252</v>
      </c>
      <c r="AG13" s="29">
        <v>928</v>
      </c>
      <c r="AH13" s="48" t="s">
        <v>11</v>
      </c>
      <c r="AI13" s="29">
        <v>301</v>
      </c>
      <c r="AJ13" s="29">
        <v>949</v>
      </c>
      <c r="AK13" s="48" t="s">
        <v>11</v>
      </c>
      <c r="AL13" s="29">
        <v>325</v>
      </c>
      <c r="AM13" s="29">
        <v>959</v>
      </c>
      <c r="AN13" s="48" t="s">
        <v>11</v>
      </c>
      <c r="AO13" s="29">
        <v>261</v>
      </c>
      <c r="AP13" s="29">
        <v>977</v>
      </c>
      <c r="AQ13" s="48" t="s">
        <v>11</v>
      </c>
      <c r="AR13" s="29">
        <v>276</v>
      </c>
      <c r="AS13" s="29">
        <v>949</v>
      </c>
    </row>
    <row r="14" spans="1:45" ht="15.5">
      <c r="A14" s="24">
        <v>10</v>
      </c>
      <c r="B14" s="19" t="s">
        <v>45</v>
      </c>
      <c r="C14" s="19" t="s">
        <v>43</v>
      </c>
      <c r="D14" s="11">
        <v>97.04638066409278</v>
      </c>
      <c r="E14" s="9">
        <v>85.094065598019228</v>
      </c>
      <c r="F14" s="9">
        <v>64.560049566275893</v>
      </c>
      <c r="G14" s="9">
        <v>94.831429389206193</v>
      </c>
      <c r="H14" s="9">
        <v>84.64632301523794</v>
      </c>
      <c r="I14" s="1"/>
      <c r="J14" s="21">
        <v>10</v>
      </c>
      <c r="K14" s="27" t="s">
        <v>44</v>
      </c>
      <c r="L14" s="27" t="s">
        <v>32</v>
      </c>
      <c r="M14" s="27" t="s">
        <v>62</v>
      </c>
      <c r="N14" s="9">
        <v>52.054945178053345</v>
      </c>
      <c r="O14" s="9">
        <v>46.619585639369589</v>
      </c>
      <c r="P14" s="9">
        <v>49.404055891351668</v>
      </c>
      <c r="Q14" s="9">
        <v>46.957326108391896</v>
      </c>
      <c r="R14" s="9">
        <v>84.244415439423918</v>
      </c>
      <c r="S14" s="1"/>
      <c r="T14" s="23">
        <v>10</v>
      </c>
      <c r="U14" s="28"/>
      <c r="V14" s="28"/>
      <c r="W14" s="28"/>
      <c r="X14" s="28"/>
      <c r="Y14" s="11"/>
      <c r="Z14" s="9"/>
      <c r="AA14" s="9"/>
      <c r="AB14" s="9"/>
      <c r="AC14" s="9"/>
      <c r="AD14" s="1"/>
      <c r="AE14" s="48" t="s">
        <v>12</v>
      </c>
      <c r="AF14" s="29">
        <f>600+(600-AF13)</f>
        <v>948</v>
      </c>
      <c r="AG14" s="29">
        <f>AG13</f>
        <v>928</v>
      </c>
      <c r="AH14" s="48" t="s">
        <v>12</v>
      </c>
      <c r="AI14" s="29">
        <f>600+(600-AI13)</f>
        <v>899</v>
      </c>
      <c r="AJ14" s="29">
        <f>AJ13</f>
        <v>949</v>
      </c>
      <c r="AK14" s="48" t="s">
        <v>12</v>
      </c>
      <c r="AL14" s="29">
        <f t="shared" ref="AL14" si="12">600+(600-AL13)</f>
        <v>875</v>
      </c>
      <c r="AM14" s="29">
        <f t="shared" ref="AM14" si="13">AM13</f>
        <v>959</v>
      </c>
      <c r="AN14" s="48" t="s">
        <v>12</v>
      </c>
      <c r="AO14" s="29">
        <f t="shared" ref="AO14" si="14">600+(600-AO13)</f>
        <v>939</v>
      </c>
      <c r="AP14" s="29">
        <f t="shared" ref="AP14" si="15">AP13</f>
        <v>977</v>
      </c>
      <c r="AQ14" s="48" t="s">
        <v>12</v>
      </c>
      <c r="AR14" s="29">
        <f t="shared" ref="AR14" si="16">600+(600-AR13)</f>
        <v>924</v>
      </c>
      <c r="AS14" s="29">
        <f t="shared" ref="AS14" si="17">AS13</f>
        <v>949</v>
      </c>
    </row>
    <row r="15" spans="1:45" ht="15.5">
      <c r="A15" s="24">
        <v>11</v>
      </c>
      <c r="B15" s="19" t="s">
        <v>46</v>
      </c>
      <c r="C15" s="19" t="s">
        <v>47</v>
      </c>
      <c r="D15" s="11">
        <v>744</v>
      </c>
      <c r="E15" s="9">
        <v>628</v>
      </c>
      <c r="F15" s="9">
        <v>768</v>
      </c>
      <c r="G15" s="9">
        <v>734</v>
      </c>
      <c r="H15" s="9">
        <v>642</v>
      </c>
      <c r="I15" s="1"/>
      <c r="J15" s="21">
        <v>11</v>
      </c>
      <c r="K15" s="27" t="s">
        <v>44</v>
      </c>
      <c r="L15" s="27" t="s">
        <v>33</v>
      </c>
      <c r="M15" s="27" t="s">
        <v>62</v>
      </c>
      <c r="N15" s="9">
        <v>55.643979672587761</v>
      </c>
      <c r="O15" s="9">
        <v>54.407472071675407</v>
      </c>
      <c r="P15" s="9">
        <v>54.66653104557524</v>
      </c>
      <c r="Q15" s="9">
        <v>50.699909606108804</v>
      </c>
      <c r="R15" s="9">
        <v>89.929317714206348</v>
      </c>
      <c r="S15" s="1"/>
      <c r="T15" s="23">
        <v>11</v>
      </c>
      <c r="U15" s="28"/>
      <c r="V15" s="28"/>
      <c r="W15" s="28"/>
      <c r="X15" s="28"/>
      <c r="Y15" s="11"/>
      <c r="Z15" s="9"/>
      <c r="AA15" s="9"/>
      <c r="AB15" s="9"/>
      <c r="AC15" s="9"/>
      <c r="AD15" s="1"/>
      <c r="AE15" s="48" t="s">
        <v>13</v>
      </c>
      <c r="AF15" s="29">
        <v>214</v>
      </c>
      <c r="AG15" s="29">
        <v>692</v>
      </c>
      <c r="AH15" s="48" t="s">
        <v>13</v>
      </c>
      <c r="AI15" s="29">
        <v>271</v>
      </c>
      <c r="AJ15" s="29">
        <v>734</v>
      </c>
      <c r="AK15" s="48" t="s">
        <v>13</v>
      </c>
      <c r="AL15" s="29">
        <v>270</v>
      </c>
      <c r="AM15" s="29">
        <v>736</v>
      </c>
      <c r="AN15" s="48" t="s">
        <v>13</v>
      </c>
      <c r="AO15" s="29">
        <v>138</v>
      </c>
      <c r="AP15" s="29">
        <v>683</v>
      </c>
      <c r="AQ15" s="48" t="s">
        <v>13</v>
      </c>
      <c r="AR15" s="29">
        <v>232</v>
      </c>
      <c r="AS15" s="29">
        <v>692</v>
      </c>
    </row>
    <row r="16" spans="1:45" ht="15.5">
      <c r="A16" s="24">
        <v>12</v>
      </c>
      <c r="B16" s="19" t="s">
        <v>48</v>
      </c>
      <c r="C16" s="19" t="s">
        <v>31</v>
      </c>
      <c r="D16" s="11">
        <v>369.39139134527755</v>
      </c>
      <c r="E16" s="9">
        <v>283</v>
      </c>
      <c r="F16" s="9">
        <v>375</v>
      </c>
      <c r="G16" s="9">
        <v>414</v>
      </c>
      <c r="H16" s="9">
        <v>334</v>
      </c>
      <c r="I16" s="1"/>
      <c r="J16" s="21">
        <v>12</v>
      </c>
      <c r="K16" s="27" t="s">
        <v>47</v>
      </c>
      <c r="L16" s="27" t="s">
        <v>30</v>
      </c>
      <c r="M16" s="27" t="s">
        <v>62</v>
      </c>
      <c r="N16" s="9">
        <v>97.904884738166146</v>
      </c>
      <c r="O16" s="9">
        <v>98.543797789405559</v>
      </c>
      <c r="P16" s="9">
        <v>97.899660093805664</v>
      </c>
      <c r="Q16" s="9">
        <v>102.30548578866484</v>
      </c>
      <c r="R16" s="9">
        <v>101.74997306792734</v>
      </c>
      <c r="S16" s="1"/>
      <c r="T16" s="23">
        <v>12</v>
      </c>
      <c r="U16" s="28"/>
      <c r="V16" s="28"/>
      <c r="W16" s="28"/>
      <c r="X16" s="28"/>
      <c r="Y16" s="11"/>
      <c r="Z16" s="9"/>
      <c r="AA16" s="9"/>
      <c r="AB16" s="9"/>
      <c r="AC16" s="9"/>
      <c r="AD16" s="1"/>
      <c r="AE16" s="48" t="s">
        <v>14</v>
      </c>
      <c r="AF16" s="29">
        <f>600+(600-AF15)</f>
        <v>986</v>
      </c>
      <c r="AG16" s="29">
        <f>AG15</f>
        <v>692</v>
      </c>
      <c r="AH16" s="48" t="s">
        <v>14</v>
      </c>
      <c r="AI16" s="29">
        <f>600+(600-AI15)</f>
        <v>929</v>
      </c>
      <c r="AJ16" s="29">
        <f>AJ15</f>
        <v>734</v>
      </c>
      <c r="AK16" s="48" t="s">
        <v>14</v>
      </c>
      <c r="AL16" s="29">
        <f t="shared" ref="AL16" si="18">600+(600-AL15)</f>
        <v>930</v>
      </c>
      <c r="AM16" s="29">
        <f t="shared" ref="AM16" si="19">AM15</f>
        <v>736</v>
      </c>
      <c r="AN16" s="48" t="s">
        <v>14</v>
      </c>
      <c r="AO16" s="29">
        <f t="shared" ref="AO16" si="20">600+(600-AO15)</f>
        <v>1062</v>
      </c>
      <c r="AP16" s="29">
        <f t="shared" ref="AP16" si="21">AP15</f>
        <v>683</v>
      </c>
      <c r="AQ16" s="48" t="s">
        <v>14</v>
      </c>
      <c r="AR16" s="29">
        <v>703</v>
      </c>
      <c r="AS16" s="29">
        <f t="shared" ref="AS16" si="22">AS15</f>
        <v>692</v>
      </c>
    </row>
    <row r="17" spans="1:45" ht="15.5">
      <c r="A17" s="24">
        <v>13</v>
      </c>
      <c r="B17" s="19" t="s">
        <v>49</v>
      </c>
      <c r="C17" s="19" t="s">
        <v>37</v>
      </c>
      <c r="D17" s="11">
        <v>676.21372361110798</v>
      </c>
      <c r="E17" s="9">
        <v>595.48383689232071</v>
      </c>
      <c r="F17" s="9">
        <v>694</v>
      </c>
      <c r="G17" s="9">
        <v>718</v>
      </c>
      <c r="H17" s="9">
        <v>634</v>
      </c>
      <c r="I17" s="1"/>
      <c r="J17" s="21">
        <v>13</v>
      </c>
      <c r="K17" s="27" t="s">
        <v>47</v>
      </c>
      <c r="L17" s="27" t="s">
        <v>48</v>
      </c>
      <c r="M17" s="27" t="s">
        <v>62</v>
      </c>
      <c r="N17" s="9">
        <v>70.859450502242268</v>
      </c>
      <c r="O17" s="9">
        <v>75.327859499632154</v>
      </c>
      <c r="P17" s="9">
        <v>72.594205981383965</v>
      </c>
      <c r="Q17" s="9">
        <v>71.502379022607272</v>
      </c>
      <c r="R17" s="9">
        <v>76.649390423995769</v>
      </c>
      <c r="S17" s="1"/>
      <c r="T17" s="23">
        <v>13</v>
      </c>
      <c r="U17" s="28"/>
      <c r="V17" s="28"/>
      <c r="W17" s="28"/>
      <c r="X17" s="28"/>
      <c r="Y17" s="11"/>
      <c r="Z17" s="9"/>
      <c r="AA17" s="9"/>
      <c r="AB17" s="9"/>
      <c r="AC17" s="9"/>
      <c r="AD17" s="1"/>
      <c r="AE17" s="48" t="s">
        <v>15</v>
      </c>
      <c r="AF17" s="29">
        <v>117</v>
      </c>
      <c r="AG17" s="29">
        <v>689</v>
      </c>
      <c r="AH17" s="48" t="s">
        <v>15</v>
      </c>
      <c r="AI17" s="29">
        <v>186</v>
      </c>
      <c r="AJ17" s="29">
        <v>730</v>
      </c>
      <c r="AK17" s="48" t="s">
        <v>15</v>
      </c>
      <c r="AL17" s="29">
        <v>208</v>
      </c>
      <c r="AM17" s="29">
        <v>754</v>
      </c>
      <c r="AN17" s="48" t="s">
        <v>15</v>
      </c>
      <c r="AO17" s="29">
        <v>46</v>
      </c>
      <c r="AP17" s="29">
        <v>706</v>
      </c>
      <c r="AQ17" s="48" t="s">
        <v>15</v>
      </c>
      <c r="AR17" s="29">
        <v>150</v>
      </c>
      <c r="AS17" s="29">
        <v>671</v>
      </c>
    </row>
    <row r="18" spans="1:45" ht="15.5">
      <c r="A18" s="24">
        <v>14</v>
      </c>
      <c r="B18" s="19" t="s">
        <v>49</v>
      </c>
      <c r="C18" s="19" t="s">
        <v>33</v>
      </c>
      <c r="D18" s="11">
        <v>791.18265906173656</v>
      </c>
      <c r="E18" s="9">
        <v>685</v>
      </c>
      <c r="F18" s="9">
        <v>787</v>
      </c>
      <c r="G18" s="9">
        <v>818</v>
      </c>
      <c r="H18" s="9">
        <v>740</v>
      </c>
      <c r="I18" s="1"/>
      <c r="J18" s="21">
        <v>14</v>
      </c>
      <c r="K18" s="44" t="s">
        <v>48</v>
      </c>
      <c r="L18" s="44" t="s">
        <v>78</v>
      </c>
      <c r="M18" s="44" t="s">
        <v>79</v>
      </c>
      <c r="N18" s="11">
        <v>50.939137849818124</v>
      </c>
      <c r="O18" s="9">
        <v>42.031670256602588</v>
      </c>
      <c r="P18" s="9">
        <v>54.828254985804705</v>
      </c>
      <c r="Q18" s="9">
        <v>51.160825247944956</v>
      </c>
      <c r="R18" s="9">
        <v>52.482404082256807</v>
      </c>
      <c r="S18" s="1"/>
      <c r="T18" s="23">
        <v>14</v>
      </c>
      <c r="U18" s="28"/>
      <c r="V18" s="28"/>
      <c r="W18" s="28"/>
      <c r="X18" s="28"/>
      <c r="Y18" s="11"/>
      <c r="Z18" s="9"/>
      <c r="AA18" s="9"/>
      <c r="AB18" s="9"/>
      <c r="AC18" s="9"/>
      <c r="AD18" s="1"/>
      <c r="AE18" s="48" t="s">
        <v>16</v>
      </c>
      <c r="AF18" s="29">
        <f>600+(600-AF17)</f>
        <v>1083</v>
      </c>
      <c r="AG18" s="29">
        <f>AG17</f>
        <v>689</v>
      </c>
      <c r="AH18" s="48" t="s">
        <v>16</v>
      </c>
      <c r="AI18" s="29">
        <f>600+(600-AI17)</f>
        <v>1014</v>
      </c>
      <c r="AJ18" s="29">
        <f>AJ17</f>
        <v>730</v>
      </c>
      <c r="AK18" s="48" t="s">
        <v>16</v>
      </c>
      <c r="AL18" s="29">
        <f t="shared" ref="AL18" si="23">600+(600-AL17)</f>
        <v>992</v>
      </c>
      <c r="AM18" s="29">
        <f t="shared" ref="AM18" si="24">AM17</f>
        <v>754</v>
      </c>
      <c r="AN18" s="48" t="s">
        <v>16</v>
      </c>
      <c r="AO18" s="29">
        <f t="shared" ref="AO18" si="25">600+(600-AO17)</f>
        <v>1154</v>
      </c>
      <c r="AP18" s="29">
        <f t="shared" ref="AP18" si="26">AP17</f>
        <v>706</v>
      </c>
      <c r="AQ18" s="48" t="s">
        <v>16</v>
      </c>
      <c r="AR18" s="29">
        <f t="shared" ref="AR18" si="27">600+(600-AR17)</f>
        <v>1050</v>
      </c>
      <c r="AS18" s="29">
        <f t="shared" ref="AS18" si="28">AS17</f>
        <v>671</v>
      </c>
    </row>
    <row r="19" spans="1:45" ht="15.5">
      <c r="A19" s="24">
        <v>15</v>
      </c>
      <c r="B19" s="19" t="s">
        <v>48</v>
      </c>
      <c r="C19" s="19" t="s">
        <v>34</v>
      </c>
      <c r="D19" s="11">
        <v>1003.1440574513713</v>
      </c>
      <c r="E19" s="9">
        <v>928</v>
      </c>
      <c r="F19" s="9">
        <v>1015</v>
      </c>
      <c r="G19" s="9">
        <v>1108</v>
      </c>
      <c r="H19" s="9">
        <v>985</v>
      </c>
      <c r="I19" s="1"/>
      <c r="J19" s="21">
        <v>15</v>
      </c>
      <c r="K19" s="44" t="s">
        <v>80</v>
      </c>
      <c r="L19" s="44" t="s">
        <v>78</v>
      </c>
      <c r="M19" s="44" t="s">
        <v>79</v>
      </c>
      <c r="N19" s="11">
        <v>16.257778925400437</v>
      </c>
      <c r="O19" s="9">
        <v>16.997923727282735</v>
      </c>
      <c r="P19" s="9">
        <v>19.384039076385594</v>
      </c>
      <c r="Q19" s="9">
        <v>18.956907528750524</v>
      </c>
      <c r="R19" s="9">
        <v>20.542253323881415</v>
      </c>
      <c r="S19" s="1"/>
      <c r="T19" s="23">
        <v>15</v>
      </c>
      <c r="U19" s="28"/>
      <c r="V19" s="28"/>
      <c r="W19" s="28"/>
      <c r="X19" s="28"/>
      <c r="Y19" s="11"/>
      <c r="Z19" s="9"/>
      <c r="AA19" s="9"/>
      <c r="AB19" s="9"/>
      <c r="AC19" s="9"/>
      <c r="AD19" s="1"/>
      <c r="AE19" s="48" t="s">
        <v>17</v>
      </c>
      <c r="AF19" s="29">
        <v>228</v>
      </c>
      <c r="AG19" s="29">
        <v>97</v>
      </c>
      <c r="AH19" s="48" t="s">
        <v>17</v>
      </c>
      <c r="AI19" s="29">
        <v>286</v>
      </c>
      <c r="AJ19" s="29">
        <v>154</v>
      </c>
      <c r="AK19" s="48" t="s">
        <v>17</v>
      </c>
      <c r="AL19" s="29">
        <v>216</v>
      </c>
      <c r="AM19" s="29">
        <v>81</v>
      </c>
      <c r="AN19" s="48" t="s">
        <v>17</v>
      </c>
      <c r="AO19" s="29">
        <v>233</v>
      </c>
      <c r="AP19" s="29">
        <v>13</v>
      </c>
      <c r="AQ19" s="48" t="s">
        <v>17</v>
      </c>
      <c r="AR19" s="29">
        <v>279</v>
      </c>
      <c r="AS19" s="29">
        <v>96</v>
      </c>
    </row>
    <row r="20" spans="1:45" ht="15.5">
      <c r="A20" s="24">
        <v>16</v>
      </c>
      <c r="B20" s="19" t="s">
        <v>50</v>
      </c>
      <c r="C20" s="19" t="s">
        <v>51</v>
      </c>
      <c r="D20" s="11">
        <v>68.359344642850402</v>
      </c>
      <c r="E20" s="9">
        <v>65.007691852580024</v>
      </c>
      <c r="F20" s="9">
        <v>61.846584384264908</v>
      </c>
      <c r="G20" s="9">
        <v>38.052595180880893</v>
      </c>
      <c r="H20" s="9">
        <v>43.289721643826724</v>
      </c>
      <c r="I20" s="3"/>
      <c r="J20" s="21">
        <v>16</v>
      </c>
      <c r="K20" s="44" t="s">
        <v>48</v>
      </c>
      <c r="L20" s="44" t="s">
        <v>81</v>
      </c>
      <c r="M20" s="44" t="s">
        <v>79</v>
      </c>
      <c r="N20" s="11">
        <v>101.85484467077134</v>
      </c>
      <c r="O20" s="9">
        <v>112.89654819768757</v>
      </c>
      <c r="P20" s="9">
        <v>100.45543767619985</v>
      </c>
      <c r="Q20" s="9">
        <v>101.75883822274005</v>
      </c>
      <c r="R20" s="9">
        <v>101.24763927714564</v>
      </c>
      <c r="S20" s="1"/>
      <c r="T20" s="23">
        <v>16</v>
      </c>
      <c r="U20" s="28"/>
      <c r="V20" s="28"/>
      <c r="W20" s="28"/>
      <c r="X20" s="28"/>
      <c r="Y20" s="11"/>
      <c r="Z20" s="9"/>
      <c r="AA20" s="9"/>
      <c r="AB20" s="9"/>
      <c r="AC20" s="9"/>
      <c r="AD20" s="1"/>
      <c r="AE20" s="48" t="s">
        <v>18</v>
      </c>
      <c r="AF20" s="29">
        <v>583</v>
      </c>
      <c r="AG20" s="29">
        <v>177</v>
      </c>
      <c r="AH20" s="48" t="s">
        <v>18</v>
      </c>
      <c r="AI20" s="29">
        <v>600</v>
      </c>
      <c r="AJ20" s="29">
        <v>252</v>
      </c>
      <c r="AK20" s="48" t="s">
        <v>18</v>
      </c>
      <c r="AL20" s="29">
        <v>600</v>
      </c>
      <c r="AM20" s="29">
        <v>165</v>
      </c>
      <c r="AN20" s="48" t="s">
        <v>18</v>
      </c>
      <c r="AO20" s="29">
        <v>600</v>
      </c>
      <c r="AP20" s="29">
        <v>72</v>
      </c>
      <c r="AQ20" s="48" t="s">
        <v>18</v>
      </c>
      <c r="AR20" s="29">
        <v>600</v>
      </c>
      <c r="AS20" s="29">
        <v>195</v>
      </c>
    </row>
    <row r="21" spans="1:45" ht="15.5">
      <c r="A21" s="24">
        <v>17</v>
      </c>
      <c r="B21" s="19" t="s">
        <v>65</v>
      </c>
      <c r="C21" s="19" t="s">
        <v>66</v>
      </c>
      <c r="D21" s="11">
        <v>212</v>
      </c>
      <c r="E21" s="9">
        <v>243</v>
      </c>
      <c r="F21" s="9">
        <v>228</v>
      </c>
      <c r="G21" s="9">
        <v>290</v>
      </c>
      <c r="H21" s="9">
        <v>245</v>
      </c>
      <c r="I21" s="3"/>
      <c r="J21" s="21">
        <v>17</v>
      </c>
      <c r="K21" s="44" t="s">
        <v>80</v>
      </c>
      <c r="L21" s="44" t="s">
        <v>81</v>
      </c>
      <c r="M21" s="44" t="s">
        <v>79</v>
      </c>
      <c r="N21" s="11">
        <v>20.291508233421144</v>
      </c>
      <c r="O21" s="9">
        <v>20.912056190080861</v>
      </c>
      <c r="P21" s="9">
        <v>25.457259800409378</v>
      </c>
      <c r="Q21" s="9">
        <v>28.326071287428778</v>
      </c>
      <c r="R21" s="9">
        <v>21.217288702713816</v>
      </c>
      <c r="S21" s="1"/>
      <c r="T21" s="23">
        <v>17</v>
      </c>
      <c r="U21" s="28"/>
      <c r="V21" s="28"/>
      <c r="W21" s="28"/>
      <c r="X21" s="28"/>
      <c r="Y21" s="11"/>
      <c r="Z21" s="9"/>
      <c r="AA21" s="9"/>
      <c r="AB21" s="9"/>
      <c r="AC21" s="9"/>
      <c r="AD21" s="1"/>
      <c r="AE21" s="48" t="s">
        <v>19</v>
      </c>
      <c r="AF21" s="29">
        <f>600+(600-AF19)</f>
        <v>972</v>
      </c>
      <c r="AG21" s="29">
        <f>AG19</f>
        <v>97</v>
      </c>
      <c r="AH21" s="48" t="s">
        <v>19</v>
      </c>
      <c r="AI21" s="29">
        <f>600+(600-AI19)</f>
        <v>914</v>
      </c>
      <c r="AJ21" s="29">
        <f>AJ19</f>
        <v>154</v>
      </c>
      <c r="AK21" s="48" t="s">
        <v>19</v>
      </c>
      <c r="AL21" s="29">
        <f t="shared" ref="AL21" si="29">600+(600-AL19)</f>
        <v>984</v>
      </c>
      <c r="AM21" s="29">
        <f t="shared" ref="AM21" si="30">AM19</f>
        <v>81</v>
      </c>
      <c r="AN21" s="48" t="s">
        <v>19</v>
      </c>
      <c r="AO21" s="29">
        <f t="shared" ref="AO21" si="31">600+(600-AO19)</f>
        <v>967</v>
      </c>
      <c r="AP21" s="29">
        <f t="shared" ref="AP21" si="32">AP19</f>
        <v>13</v>
      </c>
      <c r="AQ21" s="48" t="s">
        <v>19</v>
      </c>
      <c r="AR21" s="29">
        <f t="shared" ref="AR21" si="33">600+(600-AR19)</f>
        <v>921</v>
      </c>
      <c r="AS21" s="29">
        <f t="shared" ref="AS21" si="34">AS19</f>
        <v>96</v>
      </c>
    </row>
    <row r="22" spans="1:45" ht="15.5">
      <c r="A22" s="24">
        <v>18</v>
      </c>
      <c r="B22" s="19" t="s">
        <v>76</v>
      </c>
      <c r="C22" s="19" t="s">
        <v>75</v>
      </c>
      <c r="D22" s="11">
        <v>36.055512754639892</v>
      </c>
      <c r="E22" s="9">
        <v>36.221540552549669</v>
      </c>
      <c r="F22" s="9">
        <v>39.812058474788763</v>
      </c>
      <c r="G22" s="9">
        <v>47.074409183759279</v>
      </c>
      <c r="H22" s="9">
        <v>40.19950248448356</v>
      </c>
      <c r="I22" s="3"/>
      <c r="J22" s="21">
        <v>18</v>
      </c>
      <c r="K22" s="27"/>
      <c r="L22" s="27"/>
      <c r="M22" s="27"/>
      <c r="N22" s="11"/>
      <c r="O22" s="9"/>
      <c r="P22" s="9"/>
      <c r="Q22" s="9"/>
      <c r="R22" s="9"/>
      <c r="S22" s="1"/>
      <c r="T22" s="23">
        <v>18</v>
      </c>
      <c r="U22" s="28"/>
      <c r="V22" s="28"/>
      <c r="W22" s="28"/>
      <c r="X22" s="28"/>
      <c r="Y22" s="11"/>
      <c r="Z22" s="9"/>
      <c r="AA22" s="9"/>
      <c r="AB22" s="9"/>
      <c r="AC22" s="9"/>
      <c r="AD22" s="1"/>
      <c r="AE22" s="48" t="s">
        <v>20</v>
      </c>
      <c r="AF22" s="29">
        <v>369</v>
      </c>
      <c r="AG22" s="29">
        <v>61</v>
      </c>
      <c r="AH22" s="48" t="s">
        <v>20</v>
      </c>
      <c r="AI22" s="29">
        <v>364</v>
      </c>
      <c r="AJ22" s="29">
        <v>600</v>
      </c>
      <c r="AK22" s="48" t="s">
        <v>20</v>
      </c>
      <c r="AL22" s="29">
        <v>366</v>
      </c>
      <c r="AM22" s="29">
        <v>602</v>
      </c>
      <c r="AN22" s="49" t="s">
        <v>20</v>
      </c>
      <c r="AO22" s="30">
        <v>327</v>
      </c>
      <c r="AP22" s="30">
        <v>565</v>
      </c>
      <c r="AQ22" s="48" t="s">
        <v>20</v>
      </c>
      <c r="AR22" s="29">
        <v>367</v>
      </c>
      <c r="AS22" s="29">
        <v>585</v>
      </c>
    </row>
    <row r="23" spans="1:45" ht="15.5">
      <c r="A23" s="24">
        <v>19</v>
      </c>
      <c r="B23" s="19" t="s">
        <v>73</v>
      </c>
      <c r="C23" s="19" t="s">
        <v>74</v>
      </c>
      <c r="D23" s="11">
        <v>219.51309755912061</v>
      </c>
      <c r="E23" s="9">
        <v>215.34158910902465</v>
      </c>
      <c r="F23" s="9">
        <v>194.37077969694931</v>
      </c>
      <c r="G23" s="9">
        <v>216.00231480241132</v>
      </c>
      <c r="H23" s="9">
        <v>211.00236965494014</v>
      </c>
      <c r="I23" s="3"/>
      <c r="J23" s="21">
        <v>19</v>
      </c>
      <c r="K23" s="27"/>
      <c r="L23" s="27"/>
      <c r="M23" s="27"/>
      <c r="N23" s="11"/>
      <c r="O23" s="9"/>
      <c r="P23" s="9"/>
      <c r="Q23" s="9"/>
      <c r="R23" s="9"/>
      <c r="S23" s="1"/>
      <c r="T23" s="23">
        <v>19</v>
      </c>
      <c r="U23" s="28"/>
      <c r="V23" s="28"/>
      <c r="W23" s="28"/>
      <c r="X23" s="28"/>
      <c r="Y23" s="11"/>
      <c r="Z23" s="9"/>
      <c r="AA23" s="9"/>
      <c r="AB23" s="9"/>
      <c r="AC23" s="9"/>
      <c r="AD23" s="1"/>
      <c r="AE23" s="48" t="s">
        <v>21</v>
      </c>
      <c r="AF23" s="29">
        <v>443</v>
      </c>
      <c r="AG23" s="29">
        <v>632</v>
      </c>
      <c r="AH23" s="49" t="s">
        <v>21</v>
      </c>
      <c r="AI23" s="30">
        <v>444</v>
      </c>
      <c r="AJ23" s="30">
        <v>637</v>
      </c>
      <c r="AK23" s="48" t="s">
        <v>21</v>
      </c>
      <c r="AL23" s="29">
        <v>429</v>
      </c>
      <c r="AM23" s="29">
        <v>624</v>
      </c>
      <c r="AN23" s="49" t="s">
        <v>21</v>
      </c>
      <c r="AO23" s="30">
        <v>407</v>
      </c>
      <c r="AP23" s="30">
        <v>568</v>
      </c>
      <c r="AQ23" s="48" t="s">
        <v>21</v>
      </c>
      <c r="AR23" s="29">
        <v>433</v>
      </c>
      <c r="AS23" s="29">
        <v>602</v>
      </c>
    </row>
    <row r="24" spans="1:45" ht="15.5">
      <c r="A24" s="24">
        <v>20</v>
      </c>
      <c r="B24" s="19"/>
      <c r="C24" s="19"/>
      <c r="D24" s="11"/>
      <c r="E24" s="9"/>
      <c r="F24" s="9"/>
      <c r="G24" s="9"/>
      <c r="H24" s="9"/>
      <c r="I24" s="3"/>
      <c r="J24" s="21">
        <v>20</v>
      </c>
      <c r="K24" s="27"/>
      <c r="L24" s="27"/>
      <c r="M24" s="27"/>
      <c r="N24" s="11"/>
      <c r="O24" s="9"/>
      <c r="P24" s="9"/>
      <c r="Q24" s="9"/>
      <c r="R24" s="9"/>
      <c r="S24" s="1"/>
      <c r="T24" s="23">
        <v>20</v>
      </c>
      <c r="U24" s="28"/>
      <c r="V24" s="28"/>
      <c r="W24" s="28"/>
      <c r="X24" s="28"/>
      <c r="Y24" s="11"/>
      <c r="Z24" s="9"/>
      <c r="AA24" s="9"/>
      <c r="AB24" s="9"/>
      <c r="AC24" s="9"/>
      <c r="AD24" s="1"/>
      <c r="AE24" s="48" t="s">
        <v>22</v>
      </c>
      <c r="AF24" s="29">
        <v>525</v>
      </c>
      <c r="AG24" s="29">
        <v>609</v>
      </c>
      <c r="AH24" s="49" t="s">
        <v>22</v>
      </c>
      <c r="AI24" s="30">
        <v>520</v>
      </c>
      <c r="AJ24" s="30">
        <v>612</v>
      </c>
      <c r="AK24" s="48" t="s">
        <v>22</v>
      </c>
      <c r="AL24" s="29">
        <v>513</v>
      </c>
      <c r="AM24" s="29">
        <v>609</v>
      </c>
      <c r="AN24" s="49" t="s">
        <v>22</v>
      </c>
      <c r="AO24" s="30">
        <v>463</v>
      </c>
      <c r="AP24" s="30">
        <v>553</v>
      </c>
      <c r="AQ24" s="48" t="s">
        <v>22</v>
      </c>
      <c r="AR24" s="29">
        <v>508</v>
      </c>
      <c r="AS24" s="29">
        <v>593</v>
      </c>
    </row>
    <row r="25" spans="1:45" ht="15.5">
      <c r="A25" s="24">
        <v>21</v>
      </c>
      <c r="B25" s="19"/>
      <c r="C25" s="19"/>
      <c r="D25" s="9"/>
      <c r="E25" s="9"/>
      <c r="F25" s="9"/>
      <c r="G25" s="9"/>
      <c r="H25" s="9"/>
      <c r="I25" s="3"/>
      <c r="J25" s="21">
        <v>21</v>
      </c>
      <c r="K25" s="27"/>
      <c r="L25" s="27"/>
      <c r="M25" s="27"/>
      <c r="N25" s="11"/>
      <c r="O25" s="9"/>
      <c r="P25" s="9"/>
      <c r="Q25" s="9"/>
      <c r="R25" s="9"/>
      <c r="S25" s="1"/>
      <c r="T25" s="23">
        <v>21</v>
      </c>
      <c r="U25" s="28"/>
      <c r="V25" s="28"/>
      <c r="W25" s="28"/>
      <c r="X25" s="28"/>
      <c r="Y25" s="11"/>
      <c r="Z25" s="9"/>
      <c r="AA25" s="9"/>
      <c r="AB25" s="9"/>
      <c r="AC25" s="9"/>
      <c r="AD25" s="1"/>
      <c r="AE25" s="48" t="s">
        <v>23</v>
      </c>
      <c r="AF25" s="29">
        <v>436</v>
      </c>
      <c r="AG25" s="29">
        <v>564</v>
      </c>
      <c r="AH25" s="49" t="s">
        <v>23</v>
      </c>
      <c r="AI25" s="30">
        <v>443</v>
      </c>
      <c r="AJ25" s="30">
        <v>572</v>
      </c>
      <c r="AK25" s="48" t="s">
        <v>23</v>
      </c>
      <c r="AL25" s="29">
        <v>444</v>
      </c>
      <c r="AM25" s="29">
        <v>564</v>
      </c>
      <c r="AN25" s="49" t="s">
        <v>23</v>
      </c>
      <c r="AO25" s="30">
        <v>409</v>
      </c>
      <c r="AP25" s="30">
        <v>530</v>
      </c>
      <c r="AQ25" s="48" t="s">
        <v>23</v>
      </c>
      <c r="AR25" s="29">
        <v>428</v>
      </c>
      <c r="AS25" s="29">
        <v>559</v>
      </c>
    </row>
    <row r="26" spans="1:45" ht="15.5">
      <c r="A26" s="24">
        <v>22</v>
      </c>
      <c r="B26" s="19"/>
      <c r="C26" s="19"/>
      <c r="D26" s="9"/>
      <c r="E26" s="9"/>
      <c r="F26" s="9"/>
      <c r="G26" s="9"/>
      <c r="H26" s="9"/>
      <c r="I26" s="3"/>
      <c r="J26" s="21">
        <v>22</v>
      </c>
      <c r="K26" s="27"/>
      <c r="L26" s="27"/>
      <c r="M26" s="27"/>
      <c r="N26" s="11"/>
      <c r="O26" s="9"/>
      <c r="P26" s="9"/>
      <c r="Q26" s="9"/>
      <c r="R26" s="9"/>
      <c r="S26" s="1"/>
      <c r="T26" s="23">
        <v>22</v>
      </c>
      <c r="U26" s="28"/>
      <c r="V26" s="28"/>
      <c r="W26" s="28"/>
      <c r="X26" s="28"/>
      <c r="Y26" s="11"/>
      <c r="Z26" s="9"/>
      <c r="AA26" s="9"/>
      <c r="AB26" s="9"/>
      <c r="AC26" s="9"/>
      <c r="AD26" s="1"/>
      <c r="AE26" s="48" t="s">
        <v>24</v>
      </c>
      <c r="AF26" s="31">
        <v>1180</v>
      </c>
      <c r="AG26" s="31">
        <v>1180</v>
      </c>
      <c r="AH26" s="49" t="s">
        <v>24</v>
      </c>
      <c r="AI26" s="30">
        <v>1180</v>
      </c>
      <c r="AJ26" s="30">
        <v>1180</v>
      </c>
      <c r="AK26" s="48" t="s">
        <v>24</v>
      </c>
      <c r="AL26" s="31">
        <v>1180</v>
      </c>
      <c r="AM26" s="31">
        <v>1180</v>
      </c>
      <c r="AN26" s="49" t="s">
        <v>24</v>
      </c>
      <c r="AO26" s="30">
        <v>1180</v>
      </c>
      <c r="AP26" s="30">
        <v>1180</v>
      </c>
      <c r="AQ26" s="32" t="s">
        <v>24</v>
      </c>
      <c r="AR26" s="31">
        <v>1180</v>
      </c>
      <c r="AS26" s="31">
        <v>1180</v>
      </c>
    </row>
    <row r="27" spans="1:45" ht="15.5">
      <c r="A27" s="24">
        <v>23</v>
      </c>
      <c r="B27" s="19"/>
      <c r="C27" s="19"/>
      <c r="D27" s="9"/>
      <c r="E27" s="9"/>
      <c r="F27" s="9"/>
      <c r="G27" s="9"/>
      <c r="H27" s="9"/>
      <c r="I27" s="1"/>
      <c r="J27" s="21">
        <v>23</v>
      </c>
      <c r="K27" s="27"/>
      <c r="L27" s="27"/>
      <c r="M27" s="27"/>
      <c r="N27" s="11"/>
      <c r="O27" s="9"/>
      <c r="P27" s="9"/>
      <c r="Q27" s="9"/>
      <c r="R27" s="9"/>
      <c r="S27" s="1"/>
      <c r="T27" s="23">
        <v>23</v>
      </c>
      <c r="U27" s="28"/>
      <c r="V27" s="28"/>
      <c r="W27" s="28"/>
      <c r="X27" s="28"/>
      <c r="Y27" s="11"/>
      <c r="Z27" s="9"/>
      <c r="AA27" s="9"/>
      <c r="AB27" s="9"/>
      <c r="AC27" s="9"/>
      <c r="AD27" s="1"/>
      <c r="AE27" s="46" t="s">
        <v>67</v>
      </c>
      <c r="AF27" s="8">
        <v>600</v>
      </c>
      <c r="AG27" s="37">
        <v>0</v>
      </c>
      <c r="AH27" s="46" t="s">
        <v>67</v>
      </c>
      <c r="AI27" s="9">
        <v>600</v>
      </c>
      <c r="AJ27" s="38">
        <v>0</v>
      </c>
      <c r="AK27" s="46" t="s">
        <v>67</v>
      </c>
      <c r="AL27" s="8">
        <v>600</v>
      </c>
      <c r="AM27" s="37">
        <v>0</v>
      </c>
      <c r="AN27" s="46" t="s">
        <v>67</v>
      </c>
      <c r="AO27" s="9">
        <v>600</v>
      </c>
      <c r="AP27" s="38">
        <v>0</v>
      </c>
      <c r="AQ27" s="46" t="s">
        <v>67</v>
      </c>
      <c r="AR27" s="8">
        <v>600</v>
      </c>
      <c r="AS27" s="37">
        <v>0</v>
      </c>
    </row>
    <row r="28" spans="1:45" ht="15.5">
      <c r="A28" s="24">
        <v>24</v>
      </c>
      <c r="B28" s="19"/>
      <c r="C28" s="19"/>
      <c r="D28" s="9"/>
      <c r="E28" s="12"/>
      <c r="F28" s="12"/>
      <c r="G28" s="12"/>
      <c r="H28" s="12"/>
      <c r="I28" s="7"/>
      <c r="J28" s="21">
        <v>24</v>
      </c>
      <c r="K28" s="27"/>
      <c r="L28" s="27"/>
      <c r="M28" s="27"/>
      <c r="N28" s="17"/>
      <c r="O28" s="12"/>
      <c r="P28" s="12"/>
      <c r="Q28" s="12"/>
      <c r="R28" s="12"/>
      <c r="S28" s="7"/>
      <c r="T28" s="23">
        <v>24</v>
      </c>
      <c r="U28" s="28"/>
      <c r="V28" s="28"/>
      <c r="W28" s="28"/>
      <c r="X28" s="28"/>
      <c r="Y28" s="17"/>
      <c r="Z28" s="12"/>
      <c r="AA28" s="12"/>
      <c r="AB28" s="12"/>
      <c r="AC28" s="12"/>
      <c r="AD28" s="7"/>
      <c r="AE28" s="46" t="s">
        <v>68</v>
      </c>
      <c r="AF28" s="8">
        <v>433</v>
      </c>
      <c r="AG28" s="37">
        <v>516</v>
      </c>
      <c r="AH28" s="46" t="s">
        <v>68</v>
      </c>
      <c r="AI28" s="9">
        <v>428</v>
      </c>
      <c r="AJ28" s="38">
        <v>512</v>
      </c>
      <c r="AK28" s="46" t="s">
        <v>68</v>
      </c>
      <c r="AL28" s="8">
        <v>423</v>
      </c>
      <c r="AM28" s="37">
        <v>499</v>
      </c>
      <c r="AN28" s="46" t="s">
        <v>68</v>
      </c>
      <c r="AO28" s="9">
        <v>409</v>
      </c>
      <c r="AP28" s="38">
        <v>445</v>
      </c>
      <c r="AQ28" s="46" t="s">
        <v>68</v>
      </c>
      <c r="AR28" s="8">
        <v>434</v>
      </c>
      <c r="AS28" s="37">
        <v>505</v>
      </c>
    </row>
    <row r="29" spans="1:45" ht="15.5">
      <c r="A29" s="24">
        <v>25</v>
      </c>
      <c r="B29" s="19"/>
      <c r="C29" s="19"/>
      <c r="D29" s="18"/>
      <c r="E29" s="13"/>
      <c r="F29" s="9"/>
      <c r="G29" s="9"/>
      <c r="H29" s="9"/>
      <c r="I29" s="1"/>
      <c r="J29" s="21">
        <v>25</v>
      </c>
      <c r="K29" s="27"/>
      <c r="L29" s="27"/>
      <c r="M29" s="27"/>
      <c r="N29" s="11"/>
      <c r="O29" s="9"/>
      <c r="P29" s="9"/>
      <c r="Q29" s="9"/>
      <c r="R29" s="9"/>
      <c r="S29" s="1"/>
      <c r="T29" s="23">
        <v>25</v>
      </c>
      <c r="U29" s="28"/>
      <c r="V29" s="28"/>
      <c r="W29" s="28"/>
      <c r="X29" s="28"/>
      <c r="Y29" s="11"/>
      <c r="Z29" s="9"/>
      <c r="AA29" s="9"/>
      <c r="AB29" s="9"/>
      <c r="AC29" s="9"/>
      <c r="AD29" s="1"/>
      <c r="AE29" s="46" t="s">
        <v>69</v>
      </c>
      <c r="AF29" s="8">
        <v>313</v>
      </c>
      <c r="AG29" s="37">
        <v>560</v>
      </c>
      <c r="AH29" s="46" t="s">
        <v>69</v>
      </c>
      <c r="AI29" s="9">
        <v>313</v>
      </c>
      <c r="AJ29" s="38">
        <v>558</v>
      </c>
      <c r="AK29" s="46" t="s">
        <v>69</v>
      </c>
      <c r="AL29" s="8">
        <v>309</v>
      </c>
      <c r="AM29" s="37">
        <v>532</v>
      </c>
      <c r="AN29" s="46" t="s">
        <v>69</v>
      </c>
      <c r="AO29" s="9">
        <v>277</v>
      </c>
      <c r="AP29" s="38">
        <v>494</v>
      </c>
      <c r="AQ29" s="46" t="s">
        <v>69</v>
      </c>
      <c r="AR29" s="8">
        <v>327</v>
      </c>
      <c r="AS29" s="37">
        <v>544</v>
      </c>
    </row>
    <row r="30" spans="1:45" ht="15.5">
      <c r="A30" s="24">
        <v>26</v>
      </c>
      <c r="B30" s="19"/>
      <c r="C30" s="19"/>
      <c r="D30" s="11"/>
      <c r="E30" s="9"/>
      <c r="F30" s="9"/>
      <c r="G30" s="9"/>
      <c r="H30" s="9"/>
      <c r="I30" s="1"/>
      <c r="J30" s="21">
        <v>26</v>
      </c>
      <c r="K30" s="27"/>
      <c r="L30" s="27"/>
      <c r="M30" s="27"/>
      <c r="N30" s="11"/>
      <c r="O30" s="9"/>
      <c r="P30" s="9"/>
      <c r="Q30" s="9"/>
      <c r="R30" s="9"/>
      <c r="S30" s="1"/>
      <c r="T30" s="23">
        <v>26</v>
      </c>
      <c r="U30" s="28"/>
      <c r="V30" s="28"/>
      <c r="W30" s="28"/>
      <c r="X30" s="28"/>
      <c r="Y30" s="11"/>
      <c r="Z30" s="9"/>
      <c r="AA30" s="9"/>
      <c r="AB30" s="9"/>
      <c r="AC30" s="9"/>
      <c r="AD30" s="1"/>
      <c r="AE30" s="46" t="s">
        <v>70</v>
      </c>
      <c r="AF30" s="8">
        <v>532</v>
      </c>
      <c r="AG30" s="37">
        <v>545</v>
      </c>
      <c r="AH30" s="46" t="s">
        <v>70</v>
      </c>
      <c r="AI30" s="9">
        <v>527</v>
      </c>
      <c r="AJ30" s="38">
        <v>534</v>
      </c>
      <c r="AK30" s="46" t="s">
        <v>70</v>
      </c>
      <c r="AL30" s="8">
        <v>503</v>
      </c>
      <c r="AM30" s="37">
        <v>544</v>
      </c>
      <c r="AN30" s="46" t="s">
        <v>70</v>
      </c>
      <c r="AO30" s="9">
        <v>493</v>
      </c>
      <c r="AP30" s="38">
        <v>495</v>
      </c>
      <c r="AQ30" s="46" t="s">
        <v>70</v>
      </c>
      <c r="AR30" s="8">
        <v>538</v>
      </c>
      <c r="AS30" s="37">
        <v>543</v>
      </c>
    </row>
    <row r="31" spans="1:45" ht="15.5">
      <c r="A31" s="24">
        <v>27</v>
      </c>
      <c r="B31" s="19"/>
      <c r="C31" s="19"/>
      <c r="D31" s="11"/>
      <c r="E31" s="9"/>
      <c r="F31" s="9"/>
      <c r="G31" s="9"/>
      <c r="H31" s="9"/>
      <c r="I31" s="1"/>
      <c r="J31" s="21">
        <v>27</v>
      </c>
      <c r="K31" s="27"/>
      <c r="L31" s="27"/>
      <c r="M31" s="27"/>
      <c r="N31" s="11"/>
      <c r="O31" s="9"/>
      <c r="P31" s="9"/>
      <c r="Q31" s="9"/>
      <c r="R31" s="9"/>
      <c r="S31" s="1"/>
      <c r="T31" s="23">
        <v>27</v>
      </c>
      <c r="U31" s="28"/>
      <c r="V31" s="28"/>
      <c r="W31" s="28"/>
      <c r="X31" s="28"/>
      <c r="Y31" s="11"/>
      <c r="Z31" s="9"/>
      <c r="AA31" s="9"/>
      <c r="AB31" s="9"/>
      <c r="AC31" s="9"/>
      <c r="AD31" s="1"/>
      <c r="AE31" s="46" t="s">
        <v>71</v>
      </c>
      <c r="AF31" s="8">
        <v>431</v>
      </c>
      <c r="AG31" s="37">
        <v>552</v>
      </c>
      <c r="AH31" s="46" t="s">
        <v>71</v>
      </c>
      <c r="AI31" s="9">
        <v>432</v>
      </c>
      <c r="AJ31" s="38">
        <v>548</v>
      </c>
      <c r="AK31" s="46" t="s">
        <v>71</v>
      </c>
      <c r="AL31" s="8">
        <v>415</v>
      </c>
      <c r="AM31" s="37">
        <v>538</v>
      </c>
      <c r="AN31" s="46" t="s">
        <v>71</v>
      </c>
      <c r="AO31" s="9">
        <v>399</v>
      </c>
      <c r="AP31" s="38">
        <v>491</v>
      </c>
      <c r="AQ31" s="46" t="s">
        <v>71</v>
      </c>
      <c r="AR31" s="8">
        <v>438</v>
      </c>
      <c r="AS31" s="37">
        <v>545</v>
      </c>
    </row>
    <row r="32" spans="1:45" ht="15.5">
      <c r="A32" s="24">
        <v>28</v>
      </c>
      <c r="B32" s="19"/>
      <c r="C32" s="19"/>
      <c r="D32" s="11"/>
      <c r="E32" s="9"/>
      <c r="F32" s="9"/>
      <c r="G32" s="9"/>
      <c r="H32" s="9"/>
      <c r="I32" s="1"/>
      <c r="J32" s="21">
        <v>28</v>
      </c>
      <c r="K32" s="27"/>
      <c r="L32" s="27"/>
      <c r="M32" s="27"/>
      <c r="N32" s="11"/>
      <c r="O32" s="9"/>
      <c r="P32" s="9"/>
      <c r="Q32" s="9"/>
      <c r="R32" s="9"/>
      <c r="S32" s="1"/>
      <c r="T32" s="23">
        <v>28</v>
      </c>
      <c r="U32" s="28"/>
      <c r="V32" s="28"/>
      <c r="W32" s="28"/>
      <c r="X32" s="28"/>
      <c r="Y32" s="11"/>
      <c r="Z32" s="9"/>
      <c r="AA32" s="9"/>
      <c r="AB32" s="9"/>
      <c r="AC32" s="9"/>
      <c r="AD32" s="1"/>
      <c r="AE32" s="46"/>
      <c r="AF32" s="8"/>
      <c r="AG32" s="37"/>
      <c r="AH32" s="46"/>
      <c r="AI32" s="9"/>
      <c r="AJ32" s="38"/>
      <c r="AK32" s="46"/>
      <c r="AL32" s="8"/>
      <c r="AM32" s="37"/>
      <c r="AN32" s="46"/>
      <c r="AO32" s="9"/>
      <c r="AP32" s="38"/>
      <c r="AQ32" s="46"/>
      <c r="AR32" s="8"/>
      <c r="AS32" s="37"/>
    </row>
    <row r="33" spans="1:45" ht="15.5">
      <c r="A33" s="24">
        <v>29</v>
      </c>
      <c r="B33" s="19"/>
      <c r="C33" s="19"/>
      <c r="D33" s="11"/>
      <c r="E33" s="9"/>
      <c r="F33" s="9"/>
      <c r="G33" s="9"/>
      <c r="H33" s="9"/>
      <c r="I33" s="1"/>
      <c r="J33" s="21">
        <v>29</v>
      </c>
      <c r="K33" s="27"/>
      <c r="L33" s="27"/>
      <c r="M33" s="27"/>
      <c r="N33" s="11"/>
      <c r="O33" s="9"/>
      <c r="P33" s="9"/>
      <c r="Q33" s="9"/>
      <c r="R33" s="9"/>
      <c r="S33" s="1"/>
      <c r="T33" s="23">
        <v>29</v>
      </c>
      <c r="U33" s="28"/>
      <c r="V33" s="28"/>
      <c r="W33" s="28"/>
      <c r="X33" s="28"/>
      <c r="Y33" s="11"/>
      <c r="Z33" s="9"/>
      <c r="AA33" s="9"/>
      <c r="AB33" s="9"/>
      <c r="AC33" s="9"/>
      <c r="AD33" s="1"/>
      <c r="AE33" s="26"/>
      <c r="AF33" s="8"/>
      <c r="AG33" s="6"/>
      <c r="AH33" s="5"/>
      <c r="AI33" s="9"/>
      <c r="AJ33" s="16"/>
      <c r="AK33" s="26"/>
      <c r="AL33" s="8"/>
      <c r="AM33" s="6"/>
      <c r="AN33" s="5"/>
      <c r="AO33" s="9"/>
      <c r="AP33" s="16"/>
      <c r="AQ33" s="26"/>
      <c r="AR33" s="8"/>
      <c r="AS33" s="6"/>
    </row>
    <row r="34" spans="1:45" ht="15.5">
      <c r="A34" s="24">
        <v>30</v>
      </c>
      <c r="B34" s="19"/>
      <c r="C34" s="19"/>
      <c r="D34" s="11"/>
      <c r="E34" s="9"/>
      <c r="F34" s="9"/>
      <c r="G34" s="9"/>
      <c r="H34" s="9"/>
      <c r="I34" s="1"/>
      <c r="J34" s="21">
        <v>30</v>
      </c>
      <c r="K34" s="27"/>
      <c r="L34" s="27"/>
      <c r="M34" s="27"/>
      <c r="N34" s="11"/>
      <c r="O34" s="9"/>
      <c r="P34" s="9"/>
      <c r="Q34" s="9"/>
      <c r="R34" s="9"/>
      <c r="S34" s="1"/>
      <c r="T34" s="23">
        <v>30</v>
      </c>
      <c r="U34" s="28"/>
      <c r="V34" s="28"/>
      <c r="W34" s="28"/>
      <c r="X34" s="28"/>
      <c r="Y34" s="11"/>
      <c r="Z34" s="9"/>
      <c r="AA34" s="9"/>
      <c r="AB34" s="9"/>
      <c r="AC34" s="9"/>
      <c r="AD34" s="1"/>
      <c r="AE34" s="26"/>
      <c r="AF34" s="8"/>
      <c r="AG34" s="6"/>
      <c r="AH34" s="5"/>
      <c r="AI34" s="9"/>
      <c r="AJ34" s="16"/>
      <c r="AK34" s="26"/>
      <c r="AL34" s="8"/>
      <c r="AM34" s="6"/>
      <c r="AN34" s="5"/>
      <c r="AO34" s="9"/>
      <c r="AP34" s="16"/>
      <c r="AQ34" s="26"/>
      <c r="AR34" s="8"/>
      <c r="AS34" s="6"/>
    </row>
  </sheetData>
  <mergeCells count="23">
    <mergeCell ref="A1:H1"/>
    <mergeCell ref="J1:R1"/>
    <mergeCell ref="T1:AC1"/>
    <mergeCell ref="AE1:AS1"/>
    <mergeCell ref="A2:C4"/>
    <mergeCell ref="D2:F3"/>
    <mergeCell ref="G2:H3"/>
    <mergeCell ref="J2:M4"/>
    <mergeCell ref="N2:P3"/>
    <mergeCell ref="Q2:R3"/>
    <mergeCell ref="T2:X4"/>
    <mergeCell ref="Y2:AA3"/>
    <mergeCell ref="AB2:AC3"/>
    <mergeCell ref="AE2:AG2"/>
    <mergeCell ref="AH2:AJ2"/>
    <mergeCell ref="AN2:AP2"/>
    <mergeCell ref="AQ2:AS2"/>
    <mergeCell ref="AF3:AG3"/>
    <mergeCell ref="AI3:AJ3"/>
    <mergeCell ref="AL3:AM3"/>
    <mergeCell ref="AO3:AP3"/>
    <mergeCell ref="AR3:AS3"/>
    <mergeCell ref="AK2:AM2"/>
  </mergeCells>
  <phoneticPr fontId="7" type="noConversion"/>
  <conditionalFormatting sqref="Y1:AC1 Y4:AC34 Y2">
    <cfRule type="cellIs" dxfId="10" priority="1" operator="lessThan">
      <formula>0</formula>
    </cfRule>
  </conditionalFormatting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工作表16"/>
  <dimension ref="A1:AS34"/>
  <sheetViews>
    <sheetView topLeftCell="O1" zoomScaleNormal="100" workbookViewId="0">
      <selection activeCell="AI3" sqref="AI3:AJ3"/>
    </sheetView>
  </sheetViews>
  <sheetFormatPr defaultRowHeight="15"/>
  <sheetData>
    <row r="1" spans="1:45" ht="23">
      <c r="A1" s="57" t="s">
        <v>58</v>
      </c>
      <c r="B1" s="57"/>
      <c r="C1" s="57"/>
      <c r="D1" s="57"/>
      <c r="E1" s="57"/>
      <c r="F1" s="57"/>
      <c r="G1" s="57"/>
      <c r="H1" s="58"/>
      <c r="I1" s="1"/>
      <c r="J1" s="59" t="s">
        <v>60</v>
      </c>
      <c r="K1" s="59"/>
      <c r="L1" s="59"/>
      <c r="M1" s="59"/>
      <c r="N1" s="59"/>
      <c r="O1" s="59"/>
      <c r="P1" s="59"/>
      <c r="Q1" s="59"/>
      <c r="R1" s="59"/>
      <c r="S1" s="1"/>
      <c r="T1" s="60" t="s">
        <v>59</v>
      </c>
      <c r="U1" s="60"/>
      <c r="V1" s="60"/>
      <c r="W1" s="60"/>
      <c r="X1" s="60"/>
      <c r="Y1" s="60"/>
      <c r="Z1" s="60"/>
      <c r="AA1" s="60"/>
      <c r="AB1" s="60"/>
      <c r="AC1" s="60"/>
      <c r="AD1" s="1"/>
      <c r="AE1" s="61" t="s">
        <v>180</v>
      </c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</row>
    <row r="2" spans="1:45" ht="18">
      <c r="A2" s="63" t="s">
        <v>55</v>
      </c>
      <c r="B2" s="63"/>
      <c r="C2" s="63"/>
      <c r="D2" s="65"/>
      <c r="E2" s="66"/>
      <c r="F2" s="67"/>
      <c r="G2" s="65"/>
      <c r="H2" s="67"/>
      <c r="I2" s="2"/>
      <c r="J2" s="71" t="s">
        <v>56</v>
      </c>
      <c r="K2" s="71"/>
      <c r="L2" s="71"/>
      <c r="M2" s="71"/>
      <c r="N2" s="73"/>
      <c r="O2" s="74"/>
      <c r="P2" s="75"/>
      <c r="Q2" s="73"/>
      <c r="R2" s="75"/>
      <c r="S2" s="2"/>
      <c r="T2" s="90" t="s">
        <v>57</v>
      </c>
      <c r="U2" s="90"/>
      <c r="V2" s="90"/>
      <c r="W2" s="90"/>
      <c r="X2" s="90"/>
      <c r="Y2" s="92"/>
      <c r="Z2" s="93"/>
      <c r="AA2" s="94"/>
      <c r="AB2" s="92"/>
      <c r="AC2" s="94"/>
      <c r="AD2" s="2"/>
      <c r="AE2" s="54" t="s">
        <v>110</v>
      </c>
      <c r="AF2" s="55"/>
      <c r="AG2" s="56"/>
      <c r="AH2" s="81" t="s">
        <v>111</v>
      </c>
      <c r="AI2" s="82"/>
      <c r="AJ2" s="83"/>
      <c r="AK2" s="54" t="s">
        <v>112</v>
      </c>
      <c r="AL2" s="55"/>
      <c r="AM2" s="56"/>
      <c r="AN2" s="81" t="s">
        <v>113</v>
      </c>
      <c r="AO2" s="82"/>
      <c r="AP2" s="83"/>
      <c r="AQ2" s="54" t="s">
        <v>165</v>
      </c>
      <c r="AR2" s="55"/>
      <c r="AS2" s="56"/>
    </row>
    <row r="3" spans="1:45" ht="15.5">
      <c r="A3" s="63"/>
      <c r="B3" s="63"/>
      <c r="C3" s="63"/>
      <c r="D3" s="68"/>
      <c r="E3" s="69"/>
      <c r="F3" s="70"/>
      <c r="G3" s="68"/>
      <c r="H3" s="70"/>
      <c r="I3" s="1"/>
      <c r="J3" s="71"/>
      <c r="K3" s="71"/>
      <c r="L3" s="71"/>
      <c r="M3" s="71"/>
      <c r="N3" s="76"/>
      <c r="O3" s="77"/>
      <c r="P3" s="78"/>
      <c r="Q3" s="76"/>
      <c r="R3" s="78"/>
      <c r="S3" s="1"/>
      <c r="T3" s="90"/>
      <c r="U3" s="90"/>
      <c r="V3" s="90"/>
      <c r="W3" s="90"/>
      <c r="X3" s="90"/>
      <c r="Y3" s="95"/>
      <c r="Z3" s="96"/>
      <c r="AA3" s="97"/>
      <c r="AB3" s="95"/>
      <c r="AC3" s="97"/>
      <c r="AD3" s="1"/>
      <c r="AE3" s="52" t="s">
        <v>178</v>
      </c>
      <c r="AF3" s="85" t="s">
        <v>177</v>
      </c>
      <c r="AG3" s="85"/>
      <c r="AH3" s="52" t="s">
        <v>178</v>
      </c>
      <c r="AI3" s="85" t="s">
        <v>177</v>
      </c>
      <c r="AJ3" s="85"/>
      <c r="AK3" s="52" t="s">
        <v>178</v>
      </c>
      <c r="AL3" s="85" t="s">
        <v>177</v>
      </c>
      <c r="AM3" s="85"/>
      <c r="AN3" s="52" t="s">
        <v>178</v>
      </c>
      <c r="AO3" s="85" t="s">
        <v>177</v>
      </c>
      <c r="AP3" s="85"/>
      <c r="AQ3" s="52" t="s">
        <v>178</v>
      </c>
      <c r="AR3" s="85" t="s">
        <v>177</v>
      </c>
      <c r="AS3" s="85"/>
    </row>
    <row r="4" spans="1:45" ht="42" customHeight="1">
      <c r="A4" s="63"/>
      <c r="B4" s="64"/>
      <c r="C4" s="64"/>
      <c r="D4" s="19" t="s">
        <v>25</v>
      </c>
      <c r="E4" s="19" t="s">
        <v>26</v>
      </c>
      <c r="F4" s="19" t="s">
        <v>27</v>
      </c>
      <c r="G4" s="19" t="s">
        <v>28</v>
      </c>
      <c r="H4" s="19" t="s">
        <v>29</v>
      </c>
      <c r="I4" s="4"/>
      <c r="J4" s="71"/>
      <c r="K4" s="72"/>
      <c r="L4" s="72"/>
      <c r="M4" s="72"/>
      <c r="N4" s="27" t="s">
        <v>25</v>
      </c>
      <c r="O4" s="27" t="s">
        <v>26</v>
      </c>
      <c r="P4" s="27" t="s">
        <v>27</v>
      </c>
      <c r="Q4" s="27" t="s">
        <v>28</v>
      </c>
      <c r="R4" s="27" t="s">
        <v>29</v>
      </c>
      <c r="S4" s="4"/>
      <c r="T4" s="90"/>
      <c r="U4" s="91"/>
      <c r="V4" s="91"/>
      <c r="W4" s="91"/>
      <c r="X4" s="91"/>
      <c r="Y4" s="28" t="s">
        <v>25</v>
      </c>
      <c r="Z4" s="28" t="s">
        <v>26</v>
      </c>
      <c r="AA4" s="28" t="s">
        <v>27</v>
      </c>
      <c r="AB4" s="28" t="s">
        <v>28</v>
      </c>
      <c r="AC4" s="28" t="s">
        <v>29</v>
      </c>
      <c r="AD4" s="4"/>
      <c r="AE4" s="48"/>
      <c r="AF4" s="48" t="s">
        <v>0</v>
      </c>
      <c r="AG4" s="48" t="s">
        <v>1</v>
      </c>
      <c r="AH4" s="48"/>
      <c r="AI4" s="48" t="s">
        <v>0</v>
      </c>
      <c r="AJ4" s="48" t="s">
        <v>1</v>
      </c>
      <c r="AK4" s="48" t="s">
        <v>2</v>
      </c>
      <c r="AL4" s="48" t="s">
        <v>0</v>
      </c>
      <c r="AM4" s="48" t="s">
        <v>1</v>
      </c>
      <c r="AN4" s="49" t="s">
        <v>2</v>
      </c>
      <c r="AO4" s="49" t="s">
        <v>0</v>
      </c>
      <c r="AP4" s="49" t="s">
        <v>1</v>
      </c>
      <c r="AQ4" s="48" t="s">
        <v>2</v>
      </c>
      <c r="AR4" s="48" t="s">
        <v>0</v>
      </c>
      <c r="AS4" s="48" t="s">
        <v>1</v>
      </c>
    </row>
    <row r="5" spans="1:45" ht="15.5">
      <c r="A5" s="24">
        <v>1</v>
      </c>
      <c r="B5" s="19" t="s">
        <v>30</v>
      </c>
      <c r="C5" s="19" t="s">
        <v>32</v>
      </c>
      <c r="D5" s="11">
        <v>300</v>
      </c>
      <c r="E5" s="9">
        <v>313</v>
      </c>
      <c r="F5" s="9">
        <v>281</v>
      </c>
      <c r="G5" s="9">
        <v>263.75936002348806</v>
      </c>
      <c r="H5" s="9">
        <v>338</v>
      </c>
      <c r="I5" s="1"/>
      <c r="J5" s="21">
        <v>1</v>
      </c>
      <c r="K5" s="27" t="s">
        <v>30</v>
      </c>
      <c r="L5" s="27" t="s">
        <v>35</v>
      </c>
      <c r="M5" s="27" t="s">
        <v>38</v>
      </c>
      <c r="N5" s="9">
        <v>65.792277669003923</v>
      </c>
      <c r="O5" s="9">
        <v>67.52056560289688</v>
      </c>
      <c r="P5" s="9">
        <v>62.945253229792783</v>
      </c>
      <c r="Q5" s="9">
        <v>62.24145939893998</v>
      </c>
      <c r="R5" s="9">
        <v>63.434948822921996</v>
      </c>
      <c r="S5" s="1"/>
      <c r="T5" s="23">
        <v>1</v>
      </c>
      <c r="U5" s="28" t="s">
        <v>30</v>
      </c>
      <c r="V5" s="28" t="s">
        <v>35</v>
      </c>
      <c r="W5" s="28" t="s">
        <v>37</v>
      </c>
      <c r="X5" s="28" t="s">
        <v>38</v>
      </c>
      <c r="Y5" s="11">
        <v>32100</v>
      </c>
      <c r="Z5" s="9">
        <v>33804</v>
      </c>
      <c r="AA5" s="9">
        <v>33439</v>
      </c>
      <c r="AB5" s="9">
        <v>31560</v>
      </c>
      <c r="AC5" s="9">
        <v>48334</v>
      </c>
      <c r="AD5" s="1"/>
      <c r="AE5" s="48" t="s">
        <v>3</v>
      </c>
      <c r="AF5" s="29">
        <v>600</v>
      </c>
      <c r="AG5" s="29">
        <v>508</v>
      </c>
      <c r="AH5" s="48" t="s">
        <v>3</v>
      </c>
      <c r="AI5" s="29">
        <v>600</v>
      </c>
      <c r="AJ5" s="29">
        <v>512</v>
      </c>
      <c r="AK5" s="48" t="s">
        <v>3</v>
      </c>
      <c r="AL5" s="29">
        <v>600</v>
      </c>
      <c r="AM5" s="29">
        <v>456</v>
      </c>
      <c r="AN5" s="48" t="s">
        <v>3</v>
      </c>
      <c r="AO5" s="29">
        <v>600</v>
      </c>
      <c r="AP5" s="29">
        <v>474</v>
      </c>
      <c r="AQ5" s="48" t="s">
        <v>3</v>
      </c>
      <c r="AR5" s="29">
        <v>600</v>
      </c>
      <c r="AS5" s="29">
        <v>478</v>
      </c>
    </row>
    <row r="6" spans="1:45" ht="15.5">
      <c r="A6" s="24">
        <v>2</v>
      </c>
      <c r="B6" s="19" t="s">
        <v>30</v>
      </c>
      <c r="C6" s="19" t="s">
        <v>33</v>
      </c>
      <c r="D6" s="11">
        <v>403</v>
      </c>
      <c r="E6" s="9">
        <v>413</v>
      </c>
      <c r="F6" s="9">
        <v>416</v>
      </c>
      <c r="G6" s="9">
        <v>419</v>
      </c>
      <c r="H6" s="9">
        <v>450</v>
      </c>
      <c r="I6" s="1"/>
      <c r="J6" s="21">
        <v>2</v>
      </c>
      <c r="K6" s="27" t="s">
        <v>31</v>
      </c>
      <c r="L6" s="27" t="s">
        <v>41</v>
      </c>
      <c r="M6" s="27" t="s">
        <v>34</v>
      </c>
      <c r="N6" s="9">
        <v>85.690385511163626</v>
      </c>
      <c r="O6" s="9">
        <v>96.500745143866538</v>
      </c>
      <c r="P6" s="9">
        <v>102.47999597540972</v>
      </c>
      <c r="Q6" s="9">
        <v>81.823440383563749</v>
      </c>
      <c r="R6" s="9">
        <v>79.811447115424187</v>
      </c>
      <c r="S6" s="1"/>
      <c r="T6" s="23">
        <v>2</v>
      </c>
      <c r="U6" s="28" t="s">
        <v>31</v>
      </c>
      <c r="V6" s="28" t="s">
        <v>41</v>
      </c>
      <c r="W6" s="28" t="s">
        <v>34</v>
      </c>
      <c r="X6" s="28" t="s">
        <v>42</v>
      </c>
      <c r="Y6" s="11">
        <v>221088</v>
      </c>
      <c r="Z6" s="9">
        <v>186303</v>
      </c>
      <c r="AA6" s="9">
        <v>197652</v>
      </c>
      <c r="AB6" s="9">
        <v>252748</v>
      </c>
      <c r="AC6" s="9">
        <v>272376</v>
      </c>
      <c r="AD6" s="1"/>
      <c r="AE6" s="48" t="s">
        <v>4</v>
      </c>
      <c r="AF6" s="29">
        <v>493</v>
      </c>
      <c r="AG6" s="29">
        <v>746</v>
      </c>
      <c r="AH6" s="48" t="s">
        <v>4</v>
      </c>
      <c r="AI6" s="29">
        <v>492</v>
      </c>
      <c r="AJ6" s="29">
        <v>773</v>
      </c>
      <c r="AK6" s="48" t="s">
        <v>4</v>
      </c>
      <c r="AL6" s="29">
        <v>481</v>
      </c>
      <c r="AM6" s="29">
        <v>689</v>
      </c>
      <c r="AN6" s="48" t="s">
        <v>4</v>
      </c>
      <c r="AO6" s="29">
        <v>460</v>
      </c>
      <c r="AP6" s="29">
        <v>740</v>
      </c>
      <c r="AQ6" s="48" t="s">
        <v>4</v>
      </c>
      <c r="AR6" s="29">
        <v>457</v>
      </c>
      <c r="AS6" s="29">
        <v>764</v>
      </c>
    </row>
    <row r="7" spans="1:45" ht="15.5">
      <c r="A7" s="24">
        <v>3</v>
      </c>
      <c r="B7" s="19" t="s">
        <v>31</v>
      </c>
      <c r="C7" s="19" t="s">
        <v>34</v>
      </c>
      <c r="D7" s="11">
        <v>672</v>
      </c>
      <c r="E7" s="9">
        <v>663</v>
      </c>
      <c r="F7" s="9">
        <v>724</v>
      </c>
      <c r="G7" s="9">
        <v>706</v>
      </c>
      <c r="H7" s="9">
        <v>702</v>
      </c>
      <c r="I7" s="1"/>
      <c r="J7" s="21">
        <v>3</v>
      </c>
      <c r="K7" s="27" t="s">
        <v>31</v>
      </c>
      <c r="L7" s="27" t="s">
        <v>44</v>
      </c>
      <c r="M7" s="27" t="s">
        <v>37</v>
      </c>
      <c r="N7" s="9">
        <v>42.083461349432909</v>
      </c>
      <c r="O7" s="9">
        <v>52.122957053373327</v>
      </c>
      <c r="P7" s="9">
        <v>45.550184263916343</v>
      </c>
      <c r="Q7" s="9">
        <v>31.934847298383957</v>
      </c>
      <c r="R7" s="9">
        <v>39.913959255789152</v>
      </c>
      <c r="S7" s="1"/>
      <c r="T7" s="23">
        <v>3</v>
      </c>
      <c r="U7" s="28" t="s">
        <v>41</v>
      </c>
      <c r="V7" s="28" t="s">
        <v>39</v>
      </c>
      <c r="W7" s="28" t="s">
        <v>34</v>
      </c>
      <c r="X7" s="28" t="s">
        <v>42</v>
      </c>
      <c r="Y7" s="11">
        <v>68671.5</v>
      </c>
      <c r="Z7" s="9">
        <v>73141</v>
      </c>
      <c r="AA7" s="9">
        <v>80364</v>
      </c>
      <c r="AB7" s="9">
        <v>68746</v>
      </c>
      <c r="AC7" s="9">
        <v>88918</v>
      </c>
      <c r="AD7" s="1"/>
      <c r="AE7" s="48" t="s">
        <v>5</v>
      </c>
      <c r="AF7" s="29">
        <v>600</v>
      </c>
      <c r="AG7" s="29">
        <v>808</v>
      </c>
      <c r="AH7" s="48" t="s">
        <v>5</v>
      </c>
      <c r="AI7" s="29">
        <v>600</v>
      </c>
      <c r="AJ7" s="29">
        <v>825</v>
      </c>
      <c r="AK7" s="48" t="s">
        <v>5</v>
      </c>
      <c r="AL7" s="29">
        <v>600</v>
      </c>
      <c r="AM7" s="29">
        <v>737</v>
      </c>
      <c r="AN7" s="48" t="s">
        <v>5</v>
      </c>
      <c r="AO7" s="29">
        <v>580</v>
      </c>
      <c r="AP7" s="29">
        <v>737</v>
      </c>
      <c r="AQ7" s="48" t="s">
        <v>5</v>
      </c>
      <c r="AR7" s="29">
        <v>600</v>
      </c>
      <c r="AS7" s="29">
        <v>816</v>
      </c>
    </row>
    <row r="8" spans="1:45" ht="15.5">
      <c r="A8" s="24">
        <v>4</v>
      </c>
      <c r="B8" s="19" t="s">
        <v>35</v>
      </c>
      <c r="C8" s="19" t="s">
        <v>38</v>
      </c>
      <c r="D8" s="11">
        <v>214</v>
      </c>
      <c r="E8" s="9">
        <v>216</v>
      </c>
      <c r="F8" s="9">
        <v>238</v>
      </c>
      <c r="G8" s="9">
        <v>240</v>
      </c>
      <c r="H8" s="9">
        <v>286</v>
      </c>
      <c r="I8" s="1"/>
      <c r="J8" s="21">
        <v>4</v>
      </c>
      <c r="K8" s="27" t="s">
        <v>35</v>
      </c>
      <c r="L8" s="27" t="s">
        <v>37</v>
      </c>
      <c r="M8" s="27" t="s">
        <v>38</v>
      </c>
      <c r="N8" s="9">
        <v>119.82062752244669</v>
      </c>
      <c r="O8" s="9">
        <v>128.58009243837748</v>
      </c>
      <c r="P8" s="9">
        <v>136.06551318637423</v>
      </c>
      <c r="Q8" s="9">
        <v>177.13580763167045</v>
      </c>
      <c r="R8" s="9">
        <v>140.03378695620003</v>
      </c>
      <c r="S8" s="1"/>
      <c r="T8" s="23">
        <v>4</v>
      </c>
      <c r="U8" s="28" t="s">
        <v>46</v>
      </c>
      <c r="V8" s="28" t="s">
        <v>43</v>
      </c>
      <c r="W8" s="28" t="s">
        <v>33</v>
      </c>
      <c r="X8" s="28" t="s">
        <v>47</v>
      </c>
      <c r="Y8" s="11">
        <v>390262.5</v>
      </c>
      <c r="Z8" s="9">
        <v>305827</v>
      </c>
      <c r="AA8" s="9">
        <v>348870</v>
      </c>
      <c r="AB8" s="9">
        <v>464824.5</v>
      </c>
      <c r="AC8" s="9">
        <v>443787</v>
      </c>
      <c r="AD8" s="1"/>
      <c r="AE8" s="48" t="s">
        <v>6</v>
      </c>
      <c r="AF8" s="29">
        <f>AF7+(AF7-AF6)</f>
        <v>707</v>
      </c>
      <c r="AG8" s="29">
        <f>AG6</f>
        <v>746</v>
      </c>
      <c r="AH8" s="48" t="s">
        <v>6</v>
      </c>
      <c r="AI8" s="29">
        <f>AI7+(AI7-AI6)</f>
        <v>708</v>
      </c>
      <c r="AJ8" s="29">
        <f>AJ6</f>
        <v>773</v>
      </c>
      <c r="AK8" s="48" t="s">
        <v>6</v>
      </c>
      <c r="AL8" s="29">
        <f t="shared" ref="AL8" si="0">AL7+(AL7-AL6)</f>
        <v>719</v>
      </c>
      <c r="AM8" s="29">
        <f t="shared" ref="AM8" si="1">AM6</f>
        <v>689</v>
      </c>
      <c r="AN8" s="48" t="s">
        <v>6</v>
      </c>
      <c r="AO8" s="29">
        <f t="shared" ref="AO8" si="2">AO7+(AO7-AO6)</f>
        <v>700</v>
      </c>
      <c r="AP8" s="29">
        <f t="shared" ref="AP8" si="3">AP6</f>
        <v>740</v>
      </c>
      <c r="AQ8" s="48" t="s">
        <v>6</v>
      </c>
      <c r="AR8" s="29">
        <f t="shared" ref="AR8" si="4">AR7+(AR7-AR6)</f>
        <v>743</v>
      </c>
      <c r="AS8" s="29">
        <f t="shared" ref="AS8" si="5">AS6</f>
        <v>764</v>
      </c>
    </row>
    <row r="9" spans="1:45" ht="15.5">
      <c r="A9" s="24">
        <v>5</v>
      </c>
      <c r="B9" s="19" t="s">
        <v>36</v>
      </c>
      <c r="C9" s="19" t="s">
        <v>33</v>
      </c>
      <c r="D9" s="11">
        <v>103</v>
      </c>
      <c r="E9" s="9">
        <v>100</v>
      </c>
      <c r="F9" s="9">
        <v>135</v>
      </c>
      <c r="G9" s="9">
        <v>157.27682601070001</v>
      </c>
      <c r="H9" s="9">
        <v>112</v>
      </c>
      <c r="I9" s="1"/>
      <c r="J9" s="21">
        <v>5</v>
      </c>
      <c r="K9" s="27" t="s">
        <v>39</v>
      </c>
      <c r="L9" s="27" t="s">
        <v>34</v>
      </c>
      <c r="M9" s="27" t="s">
        <v>61</v>
      </c>
      <c r="N9" s="9">
        <v>149.72832899250389</v>
      </c>
      <c r="O9" s="9">
        <v>147.22091933193047</v>
      </c>
      <c r="P9" s="9">
        <v>157.03601729050382</v>
      </c>
      <c r="Q9" s="9">
        <v>161.81944615835533</v>
      </c>
      <c r="R9" s="9">
        <v>158.71425851059286</v>
      </c>
      <c r="S9" s="1"/>
      <c r="T9" s="23">
        <v>5</v>
      </c>
      <c r="U9" s="28" t="s">
        <v>48</v>
      </c>
      <c r="V9" s="28" t="s">
        <v>43</v>
      </c>
      <c r="W9" s="28" t="s">
        <v>34</v>
      </c>
      <c r="X9" s="28" t="s">
        <v>44</v>
      </c>
      <c r="Y9" s="11">
        <v>440019</v>
      </c>
      <c r="Z9" s="9">
        <v>335360</v>
      </c>
      <c r="AA9" s="9">
        <v>340560</v>
      </c>
      <c r="AB9" s="9">
        <v>463491</v>
      </c>
      <c r="AC9" s="9">
        <v>498802</v>
      </c>
      <c r="AD9" s="1"/>
      <c r="AE9" s="48" t="s">
        <v>77</v>
      </c>
      <c r="AF9" s="29">
        <v>600</v>
      </c>
      <c r="AG9" s="29">
        <v>911</v>
      </c>
      <c r="AH9" s="48" t="s">
        <v>77</v>
      </c>
      <c r="AI9" s="29">
        <v>600</v>
      </c>
      <c r="AJ9" s="29">
        <v>925</v>
      </c>
      <c r="AK9" s="48" t="s">
        <v>77</v>
      </c>
      <c r="AL9" s="29">
        <v>600</v>
      </c>
      <c r="AM9" s="29">
        <v>872</v>
      </c>
      <c r="AN9" s="48" t="s">
        <v>77</v>
      </c>
      <c r="AO9" s="29">
        <v>600</v>
      </c>
      <c r="AP9" s="29">
        <v>893</v>
      </c>
      <c r="AQ9" s="48" t="s">
        <v>77</v>
      </c>
      <c r="AR9" s="29">
        <v>600</v>
      </c>
      <c r="AS9" s="29">
        <v>928</v>
      </c>
    </row>
    <row r="10" spans="1:45" ht="15.5">
      <c r="A10" s="24">
        <v>6</v>
      </c>
      <c r="B10" s="19" t="s">
        <v>37</v>
      </c>
      <c r="C10" s="19" t="s">
        <v>34</v>
      </c>
      <c r="D10" s="11">
        <v>372</v>
      </c>
      <c r="E10" s="9">
        <v>350</v>
      </c>
      <c r="F10" s="9">
        <v>443</v>
      </c>
      <c r="G10" s="9">
        <v>443.45123745458193</v>
      </c>
      <c r="H10" s="9">
        <v>364</v>
      </c>
      <c r="I10" s="1"/>
      <c r="J10" s="21">
        <v>6</v>
      </c>
      <c r="K10" s="27" t="s">
        <v>40</v>
      </c>
      <c r="L10" s="27" t="s">
        <v>34</v>
      </c>
      <c r="M10" s="27" t="s">
        <v>62</v>
      </c>
      <c r="N10" s="9">
        <v>15.13583550374805</v>
      </c>
      <c r="O10" s="9">
        <v>16.883457232653566</v>
      </c>
      <c r="P10" s="9">
        <v>11.481991354748137</v>
      </c>
      <c r="Q10" s="9">
        <v>9.0902769208223138</v>
      </c>
      <c r="R10" s="9">
        <v>10.642870744703508</v>
      </c>
      <c r="S10" s="1"/>
      <c r="T10" s="23">
        <v>6</v>
      </c>
      <c r="U10" s="28" t="s">
        <v>52</v>
      </c>
      <c r="V10" s="28" t="s">
        <v>53</v>
      </c>
      <c r="W10" s="28" t="s">
        <v>54</v>
      </c>
      <c r="X10" s="28" t="s">
        <v>50</v>
      </c>
      <c r="Y10" s="11">
        <v>4740.5</v>
      </c>
      <c r="Z10" s="9">
        <v>3429</v>
      </c>
      <c r="AA10" s="9">
        <v>4203</v>
      </c>
      <c r="AB10" s="9">
        <v>3618.5</v>
      </c>
      <c r="AC10" s="9">
        <v>4852.5</v>
      </c>
      <c r="AD10" s="1"/>
      <c r="AE10" s="48" t="s">
        <v>8</v>
      </c>
      <c r="AF10" s="29">
        <v>478</v>
      </c>
      <c r="AG10" s="29">
        <v>1147</v>
      </c>
      <c r="AH10" s="48" t="s">
        <v>8</v>
      </c>
      <c r="AI10" s="29">
        <v>498</v>
      </c>
      <c r="AJ10" s="29">
        <v>1145</v>
      </c>
      <c r="AK10" s="48" t="s">
        <v>8</v>
      </c>
      <c r="AL10" s="29">
        <v>472</v>
      </c>
      <c r="AM10" s="29">
        <v>1154</v>
      </c>
      <c r="AN10" s="48" t="s">
        <v>8</v>
      </c>
      <c r="AO10" s="29">
        <v>475</v>
      </c>
      <c r="AP10" s="29">
        <v>1160</v>
      </c>
      <c r="AQ10" s="48" t="s">
        <v>8</v>
      </c>
      <c r="AR10" s="29">
        <v>451</v>
      </c>
      <c r="AS10" s="29">
        <v>1152</v>
      </c>
    </row>
    <row r="11" spans="1:45" ht="15.5">
      <c r="A11" s="24">
        <v>7</v>
      </c>
      <c r="B11" s="19" t="s">
        <v>39</v>
      </c>
      <c r="C11" s="19" t="s">
        <v>40</v>
      </c>
      <c r="D11" s="11">
        <v>244</v>
      </c>
      <c r="E11" s="9">
        <v>204</v>
      </c>
      <c r="F11" s="9">
        <v>256</v>
      </c>
      <c r="G11" s="9">
        <v>250</v>
      </c>
      <c r="H11" s="9">
        <v>298</v>
      </c>
      <c r="I11" s="1"/>
      <c r="J11" s="21">
        <v>7</v>
      </c>
      <c r="K11" s="27" t="s">
        <v>41</v>
      </c>
      <c r="L11" s="27" t="s">
        <v>34</v>
      </c>
      <c r="M11" s="27" t="s">
        <v>62</v>
      </c>
      <c r="N11" s="9">
        <v>149.99323971925938</v>
      </c>
      <c r="O11" s="9">
        <v>140.82902263927448</v>
      </c>
      <c r="P11" s="9">
        <v>137.63243486898651</v>
      </c>
      <c r="Q11" s="9">
        <v>154.33818583104463</v>
      </c>
      <c r="R11" s="9">
        <v>152.26580949501459</v>
      </c>
      <c r="S11" s="1"/>
      <c r="T11" s="23">
        <v>7</v>
      </c>
      <c r="U11" s="40" t="s">
        <v>76</v>
      </c>
      <c r="V11" s="40" t="s">
        <v>73</v>
      </c>
      <c r="W11" s="40" t="s">
        <v>75</v>
      </c>
      <c r="X11" s="40" t="s">
        <v>74</v>
      </c>
      <c r="Y11" s="11">
        <v>5748.5</v>
      </c>
      <c r="Z11" s="9">
        <v>4209</v>
      </c>
      <c r="AA11" s="9">
        <v>3006</v>
      </c>
      <c r="AB11" s="9">
        <v>3621</v>
      </c>
      <c r="AC11" s="9">
        <v>9372</v>
      </c>
      <c r="AD11" s="1"/>
      <c r="AE11" s="48" t="s">
        <v>9</v>
      </c>
      <c r="AF11" s="29">
        <v>600</v>
      </c>
      <c r="AG11" s="29">
        <v>1180</v>
      </c>
      <c r="AH11" s="48" t="s">
        <v>9</v>
      </c>
      <c r="AI11" s="29">
        <v>600</v>
      </c>
      <c r="AJ11" s="29">
        <v>1175</v>
      </c>
      <c r="AK11" s="48" t="s">
        <v>9</v>
      </c>
      <c r="AL11" s="29">
        <v>600</v>
      </c>
      <c r="AM11" s="29">
        <v>1180</v>
      </c>
      <c r="AN11" s="48" t="s">
        <v>9</v>
      </c>
      <c r="AO11" s="29">
        <v>600</v>
      </c>
      <c r="AP11" s="29">
        <v>1180</v>
      </c>
      <c r="AQ11" s="48" t="s">
        <v>9</v>
      </c>
      <c r="AR11" s="29">
        <v>600</v>
      </c>
      <c r="AS11" s="29">
        <v>1180</v>
      </c>
    </row>
    <row r="12" spans="1:45" ht="15.5">
      <c r="A12" s="24">
        <v>8</v>
      </c>
      <c r="B12" s="19" t="s">
        <v>41</v>
      </c>
      <c r="C12" s="19" t="s">
        <v>42</v>
      </c>
      <c r="D12" s="11">
        <v>658</v>
      </c>
      <c r="E12" s="9">
        <v>562</v>
      </c>
      <c r="F12" s="9">
        <v>546</v>
      </c>
      <c r="G12" s="9">
        <v>716</v>
      </c>
      <c r="H12" s="9">
        <v>776</v>
      </c>
      <c r="I12" s="1"/>
      <c r="J12" s="21">
        <v>8</v>
      </c>
      <c r="K12" s="27" t="s">
        <v>42</v>
      </c>
      <c r="L12" s="27" t="s">
        <v>34</v>
      </c>
      <c r="M12" s="27" t="s">
        <v>62</v>
      </c>
      <c r="N12" s="9">
        <v>30.006760280740632</v>
      </c>
      <c r="O12" s="9">
        <v>40.158811157963029</v>
      </c>
      <c r="P12" s="9">
        <v>42.367565131013521</v>
      </c>
      <c r="Q12" s="9">
        <v>25.661814168955395</v>
      </c>
      <c r="R12" s="9">
        <v>27.734190504985403</v>
      </c>
      <c r="S12" s="1"/>
      <c r="T12" s="23">
        <v>8</v>
      </c>
      <c r="U12" s="28"/>
      <c r="V12" s="28"/>
      <c r="W12" s="28"/>
      <c r="X12" s="28"/>
      <c r="Y12" s="11"/>
      <c r="Z12" s="9"/>
      <c r="AA12" s="9"/>
      <c r="AB12" s="9"/>
      <c r="AC12" s="9"/>
      <c r="AD12" s="1"/>
      <c r="AE12" s="48" t="s">
        <v>10</v>
      </c>
      <c r="AF12" s="29">
        <f>AF11+(AF11-AF10)</f>
        <v>722</v>
      </c>
      <c r="AG12" s="29">
        <f>AG10</f>
        <v>1147</v>
      </c>
      <c r="AH12" s="48" t="s">
        <v>10</v>
      </c>
      <c r="AI12" s="29">
        <f>AI11+(AI11-AI10)</f>
        <v>702</v>
      </c>
      <c r="AJ12" s="29">
        <f>AJ10</f>
        <v>1145</v>
      </c>
      <c r="AK12" s="48" t="s">
        <v>10</v>
      </c>
      <c r="AL12" s="29">
        <f t="shared" ref="AL12" si="6">AL11+(AL11-AL10)</f>
        <v>728</v>
      </c>
      <c r="AM12" s="29">
        <f t="shared" ref="AM12" si="7">AM10</f>
        <v>1154</v>
      </c>
      <c r="AN12" s="48" t="s">
        <v>10</v>
      </c>
      <c r="AO12" s="29">
        <f t="shared" ref="AO12" si="8">AO11+(AO11-AO10)</f>
        <v>725</v>
      </c>
      <c r="AP12" s="29">
        <f t="shared" ref="AP12" si="9">AP10</f>
        <v>1160</v>
      </c>
      <c r="AQ12" s="48" t="s">
        <v>10</v>
      </c>
      <c r="AR12" s="29">
        <f t="shared" ref="AR12" si="10">AR11+(AR11-AR10)</f>
        <v>749</v>
      </c>
      <c r="AS12" s="29">
        <f t="shared" ref="AS12" si="11">AS10</f>
        <v>1152</v>
      </c>
    </row>
    <row r="13" spans="1:45" ht="15.5">
      <c r="A13" s="24">
        <v>9</v>
      </c>
      <c r="B13" s="19" t="s">
        <v>43</v>
      </c>
      <c r="C13" s="19" t="s">
        <v>44</v>
      </c>
      <c r="D13" s="11">
        <v>774</v>
      </c>
      <c r="E13" s="9">
        <v>640</v>
      </c>
      <c r="F13" s="9">
        <v>660</v>
      </c>
      <c r="G13" s="9">
        <v>882</v>
      </c>
      <c r="H13" s="9">
        <v>922</v>
      </c>
      <c r="I13" s="1"/>
      <c r="J13" s="21">
        <v>9</v>
      </c>
      <c r="K13" s="27" t="s">
        <v>43</v>
      </c>
      <c r="L13" s="27" t="s">
        <v>41</v>
      </c>
      <c r="M13" s="27" t="s">
        <v>34</v>
      </c>
      <c r="N13" s="9">
        <v>131.09317329240028</v>
      </c>
      <c r="O13" s="9">
        <v>137.79499661350025</v>
      </c>
      <c r="P13" s="9">
        <v>143.41311552853946</v>
      </c>
      <c r="Q13" s="9">
        <v>130.24612416796666</v>
      </c>
      <c r="R13" s="9">
        <v>132.29694678327968</v>
      </c>
      <c r="S13" s="1"/>
      <c r="T13" s="23">
        <v>9</v>
      </c>
      <c r="U13" s="28"/>
      <c r="V13" s="28"/>
      <c r="W13" s="28"/>
      <c r="X13" s="28"/>
      <c r="Y13" s="11"/>
      <c r="Z13" s="9"/>
      <c r="AA13" s="9"/>
      <c r="AB13" s="9"/>
      <c r="AC13" s="9"/>
      <c r="AD13" s="1"/>
      <c r="AE13" s="48" t="s">
        <v>11</v>
      </c>
      <c r="AF13" s="29">
        <v>271</v>
      </c>
      <c r="AG13" s="29">
        <v>990</v>
      </c>
      <c r="AH13" s="48" t="s">
        <v>11</v>
      </c>
      <c r="AI13" s="29">
        <v>319</v>
      </c>
      <c r="AJ13" s="29">
        <v>942</v>
      </c>
      <c r="AK13" s="48" t="s">
        <v>11</v>
      </c>
      <c r="AL13" s="29">
        <v>327</v>
      </c>
      <c r="AM13" s="29">
        <v>931</v>
      </c>
      <c r="AN13" s="48" t="s">
        <v>11</v>
      </c>
      <c r="AO13" s="29">
        <v>242</v>
      </c>
      <c r="AP13" s="29">
        <v>1008</v>
      </c>
      <c r="AQ13" s="48" t="s">
        <v>11</v>
      </c>
      <c r="AR13" s="29">
        <v>212</v>
      </c>
      <c r="AS13" s="29">
        <v>976</v>
      </c>
    </row>
    <row r="14" spans="1:45" ht="15.5">
      <c r="A14" s="24">
        <v>10</v>
      </c>
      <c r="B14" s="19" t="s">
        <v>45</v>
      </c>
      <c r="C14" s="19" t="s">
        <v>43</v>
      </c>
      <c r="D14" s="11">
        <v>113.1591799192624</v>
      </c>
      <c r="E14" s="9">
        <v>62.128898268036266</v>
      </c>
      <c r="F14" s="9">
        <v>63.007936008093459</v>
      </c>
      <c r="G14" s="9">
        <v>80.324342512092812</v>
      </c>
      <c r="H14" s="9">
        <v>92.69843580125827</v>
      </c>
      <c r="I14" s="1"/>
      <c r="J14" s="21">
        <v>10</v>
      </c>
      <c r="K14" s="27" t="s">
        <v>44</v>
      </c>
      <c r="L14" s="27" t="s">
        <v>32</v>
      </c>
      <c r="M14" s="27" t="s">
        <v>62</v>
      </c>
      <c r="N14" s="9">
        <v>49.088856448428629</v>
      </c>
      <c r="O14" s="9">
        <v>57.458740481510119</v>
      </c>
      <c r="P14" s="9">
        <v>53.912165589513975</v>
      </c>
      <c r="Q14" s="9">
        <v>42.383989572105897</v>
      </c>
      <c r="R14" s="9">
        <v>46.818665340987877</v>
      </c>
      <c r="S14" s="1"/>
      <c r="T14" s="23">
        <v>10</v>
      </c>
      <c r="U14" s="28"/>
      <c r="V14" s="28"/>
      <c r="W14" s="28"/>
      <c r="X14" s="28"/>
      <c r="Y14" s="11"/>
      <c r="Z14" s="9"/>
      <c r="AA14" s="9"/>
      <c r="AB14" s="9"/>
      <c r="AC14" s="9"/>
      <c r="AD14" s="1"/>
      <c r="AE14" s="48" t="s">
        <v>12</v>
      </c>
      <c r="AF14" s="29">
        <f>600+(600-AF13)</f>
        <v>929</v>
      </c>
      <c r="AG14" s="29">
        <f>AG13</f>
        <v>990</v>
      </c>
      <c r="AH14" s="48" t="s">
        <v>12</v>
      </c>
      <c r="AI14" s="29">
        <f>600+(600-AI13)</f>
        <v>881</v>
      </c>
      <c r="AJ14" s="29">
        <f>AJ13</f>
        <v>942</v>
      </c>
      <c r="AK14" s="48" t="s">
        <v>12</v>
      </c>
      <c r="AL14" s="29">
        <f t="shared" ref="AL14" si="12">600+(600-AL13)</f>
        <v>873</v>
      </c>
      <c r="AM14" s="29">
        <f t="shared" ref="AM14" si="13">AM13</f>
        <v>931</v>
      </c>
      <c r="AN14" s="48" t="s">
        <v>12</v>
      </c>
      <c r="AO14" s="29">
        <f t="shared" ref="AO14" si="14">600+(600-AO13)</f>
        <v>958</v>
      </c>
      <c r="AP14" s="29">
        <f t="shared" ref="AP14" si="15">AP13</f>
        <v>1008</v>
      </c>
      <c r="AQ14" s="48" t="s">
        <v>12</v>
      </c>
      <c r="AR14" s="29">
        <f t="shared" ref="AR14" si="16">600+(600-AR13)</f>
        <v>988</v>
      </c>
      <c r="AS14" s="29">
        <f t="shared" ref="AS14" si="17">AS13</f>
        <v>976</v>
      </c>
    </row>
    <row r="15" spans="1:45" ht="15.5">
      <c r="A15" s="24">
        <v>11</v>
      </c>
      <c r="B15" s="19" t="s">
        <v>46</v>
      </c>
      <c r="C15" s="19" t="s">
        <v>47</v>
      </c>
      <c r="D15" s="11">
        <v>624</v>
      </c>
      <c r="E15" s="9">
        <v>546</v>
      </c>
      <c r="F15" s="9">
        <v>636</v>
      </c>
      <c r="G15" s="9">
        <v>786</v>
      </c>
      <c r="H15" s="9">
        <v>726</v>
      </c>
      <c r="I15" s="1"/>
      <c r="J15" s="21">
        <v>11</v>
      </c>
      <c r="K15" s="27" t="s">
        <v>44</v>
      </c>
      <c r="L15" s="27" t="s">
        <v>33</v>
      </c>
      <c r="M15" s="27" t="s">
        <v>62</v>
      </c>
      <c r="N15" s="9">
        <v>54.161919496844796</v>
      </c>
      <c r="O15" s="9">
        <v>62.392748058162091</v>
      </c>
      <c r="P15" s="9">
        <v>63.194252252793497</v>
      </c>
      <c r="Q15" s="9">
        <v>51.152029783950596</v>
      </c>
      <c r="R15" s="9">
        <v>50.29719859573936</v>
      </c>
      <c r="S15" s="1"/>
      <c r="T15" s="23">
        <v>11</v>
      </c>
      <c r="U15" s="28"/>
      <c r="V15" s="28"/>
      <c r="W15" s="28"/>
      <c r="X15" s="28"/>
      <c r="Y15" s="11"/>
      <c r="Z15" s="9"/>
      <c r="AA15" s="9"/>
      <c r="AB15" s="9"/>
      <c r="AC15" s="9"/>
      <c r="AD15" s="1"/>
      <c r="AE15" s="48" t="s">
        <v>13</v>
      </c>
      <c r="AF15" s="29">
        <v>213</v>
      </c>
      <c r="AG15" s="29">
        <v>694</v>
      </c>
      <c r="AH15" s="48" t="s">
        <v>13</v>
      </c>
      <c r="AI15" s="29">
        <v>280</v>
      </c>
      <c r="AJ15" s="29">
        <v>669</v>
      </c>
      <c r="AK15" s="48" t="s">
        <v>13</v>
      </c>
      <c r="AL15" s="29">
        <v>270</v>
      </c>
      <c r="AM15" s="29">
        <v>639</v>
      </c>
      <c r="AN15" s="48" t="s">
        <v>13</v>
      </c>
      <c r="AO15" s="29">
        <v>159</v>
      </c>
      <c r="AP15" s="29">
        <v>689</v>
      </c>
      <c r="AQ15" s="48" t="s">
        <v>13</v>
      </c>
      <c r="AR15" s="29">
        <v>139</v>
      </c>
      <c r="AS15" s="29">
        <v>695</v>
      </c>
    </row>
    <row r="16" spans="1:45" ht="15.5">
      <c r="A16" s="24">
        <v>12</v>
      </c>
      <c r="B16" s="19" t="s">
        <v>48</v>
      </c>
      <c r="C16" s="19" t="s">
        <v>31</v>
      </c>
      <c r="D16" s="11">
        <v>465</v>
      </c>
      <c r="E16" s="9">
        <v>385</v>
      </c>
      <c r="F16" s="9">
        <v>308</v>
      </c>
      <c r="G16" s="9">
        <v>345.57922391254948</v>
      </c>
      <c r="H16" s="9">
        <v>380</v>
      </c>
      <c r="I16" s="1"/>
      <c r="J16" s="21">
        <v>12</v>
      </c>
      <c r="K16" s="27" t="s">
        <v>47</v>
      </c>
      <c r="L16" s="27" t="s">
        <v>30</v>
      </c>
      <c r="M16" s="27" t="s">
        <v>62</v>
      </c>
      <c r="N16" s="9">
        <v>103.61530894058551</v>
      </c>
      <c r="O16" s="9">
        <v>102.90596577058673</v>
      </c>
      <c r="P16" s="9">
        <v>101.59919351314409</v>
      </c>
      <c r="Q16" s="9">
        <v>96.386610388824252</v>
      </c>
      <c r="R16" s="9">
        <v>95.905740852991428</v>
      </c>
      <c r="S16" s="1"/>
      <c r="T16" s="23">
        <v>12</v>
      </c>
      <c r="U16" s="28"/>
      <c r="V16" s="28"/>
      <c r="W16" s="28"/>
      <c r="X16" s="28"/>
      <c r="Y16" s="11"/>
      <c r="Z16" s="9"/>
      <c r="AA16" s="9"/>
      <c r="AB16" s="9"/>
      <c r="AC16" s="9"/>
      <c r="AD16" s="1"/>
      <c r="AE16" s="48" t="s">
        <v>14</v>
      </c>
      <c r="AF16" s="29">
        <f>600+(600-AF15)</f>
        <v>987</v>
      </c>
      <c r="AG16" s="29">
        <f>AG15</f>
        <v>694</v>
      </c>
      <c r="AH16" s="48" t="s">
        <v>14</v>
      </c>
      <c r="AI16" s="29">
        <f>600+(600-AI15)</f>
        <v>920</v>
      </c>
      <c r="AJ16" s="29">
        <f>AJ15</f>
        <v>669</v>
      </c>
      <c r="AK16" s="48" t="s">
        <v>14</v>
      </c>
      <c r="AL16" s="29">
        <f t="shared" ref="AL16" si="18">600+(600-AL15)</f>
        <v>930</v>
      </c>
      <c r="AM16" s="29">
        <f t="shared" ref="AM16" si="19">AM15</f>
        <v>639</v>
      </c>
      <c r="AN16" s="48" t="s">
        <v>14</v>
      </c>
      <c r="AO16" s="29">
        <f t="shared" ref="AO16" si="20">600+(600-AO15)</f>
        <v>1041</v>
      </c>
      <c r="AP16" s="29">
        <f t="shared" ref="AP16" si="21">AP15</f>
        <v>689</v>
      </c>
      <c r="AQ16" s="48" t="s">
        <v>14</v>
      </c>
      <c r="AR16" s="29">
        <f t="shared" ref="AR16" si="22">600+(600-AR15)</f>
        <v>1061</v>
      </c>
      <c r="AS16" s="29">
        <f t="shared" ref="AS16" si="23">AS15</f>
        <v>695</v>
      </c>
    </row>
    <row r="17" spans="1:45" ht="15.5">
      <c r="A17" s="24">
        <v>13</v>
      </c>
      <c r="B17" s="19" t="s">
        <v>49</v>
      </c>
      <c r="C17" s="19" t="s">
        <v>37</v>
      </c>
      <c r="D17" s="11">
        <v>765</v>
      </c>
      <c r="E17" s="9">
        <v>698</v>
      </c>
      <c r="F17" s="9">
        <v>589</v>
      </c>
      <c r="G17" s="9">
        <v>608</v>
      </c>
      <c r="H17" s="9">
        <v>718</v>
      </c>
      <c r="I17" s="1"/>
      <c r="J17" s="21">
        <v>13</v>
      </c>
      <c r="K17" s="27" t="s">
        <v>47</v>
      </c>
      <c r="L17" s="27" t="s">
        <v>48</v>
      </c>
      <c r="M17" s="27" t="s">
        <v>62</v>
      </c>
      <c r="N17" s="9">
        <v>57.66290830603419</v>
      </c>
      <c r="O17" s="9">
        <v>58.846336608202328</v>
      </c>
      <c r="P17" s="9">
        <v>73.933982097619392</v>
      </c>
      <c r="Q17" s="9">
        <v>68.408710152756726</v>
      </c>
      <c r="R17" s="9">
        <v>60.071012568971419</v>
      </c>
      <c r="S17" s="1"/>
      <c r="T17" s="23">
        <v>13</v>
      </c>
      <c r="U17" s="28"/>
      <c r="V17" s="28"/>
      <c r="W17" s="28"/>
      <c r="X17" s="28"/>
      <c r="Y17" s="11"/>
      <c r="Z17" s="9"/>
      <c r="AA17" s="9"/>
      <c r="AB17" s="9"/>
      <c r="AC17" s="9"/>
      <c r="AD17" s="1"/>
      <c r="AE17" s="48" t="s">
        <v>15</v>
      </c>
      <c r="AF17" s="29">
        <v>100</v>
      </c>
      <c r="AG17" s="29">
        <v>700</v>
      </c>
      <c r="AH17" s="48" t="s">
        <v>15</v>
      </c>
      <c r="AI17" s="29">
        <v>218</v>
      </c>
      <c r="AJ17" s="29">
        <v>665</v>
      </c>
      <c r="AK17" s="48" t="s">
        <v>15</v>
      </c>
      <c r="AL17" s="29">
        <v>207</v>
      </c>
      <c r="AM17" s="29">
        <v>640</v>
      </c>
      <c r="AN17" s="48" t="s">
        <v>15</v>
      </c>
      <c r="AO17" s="29">
        <v>83</v>
      </c>
      <c r="AP17" s="29">
        <v>715</v>
      </c>
      <c r="AQ17" s="48" t="s">
        <v>15</v>
      </c>
      <c r="AR17" s="29">
        <v>52</v>
      </c>
      <c r="AS17" s="29">
        <v>663</v>
      </c>
    </row>
    <row r="18" spans="1:45" ht="15.5">
      <c r="A18" s="24">
        <v>14</v>
      </c>
      <c r="B18" s="19" t="s">
        <v>49</v>
      </c>
      <c r="C18" s="19" t="s">
        <v>33</v>
      </c>
      <c r="D18" s="11">
        <v>868</v>
      </c>
      <c r="E18" s="9">
        <v>798</v>
      </c>
      <c r="F18" s="9">
        <v>724</v>
      </c>
      <c r="G18" s="9">
        <v>764.26173527136632</v>
      </c>
      <c r="H18" s="9">
        <v>830</v>
      </c>
      <c r="I18" s="1"/>
      <c r="J18" s="21">
        <v>14</v>
      </c>
      <c r="K18" s="44" t="s">
        <v>48</v>
      </c>
      <c r="L18" s="44" t="s">
        <v>78</v>
      </c>
      <c r="M18" s="44" t="s">
        <v>79</v>
      </c>
      <c r="N18" s="11">
        <v>47.037673133255396</v>
      </c>
      <c r="O18" s="9">
        <v>51.180889711040194</v>
      </c>
      <c r="P18" s="9">
        <v>40.946673957294827</v>
      </c>
      <c r="Q18" s="9">
        <v>47.892884625257224</v>
      </c>
      <c r="R18" s="9">
        <v>47.392582401291001</v>
      </c>
      <c r="S18" s="1"/>
      <c r="T18" s="23">
        <v>14</v>
      </c>
      <c r="U18" s="28"/>
      <c r="V18" s="28"/>
      <c r="W18" s="28"/>
      <c r="X18" s="28"/>
      <c r="Y18" s="11"/>
      <c r="Z18" s="9"/>
      <c r="AA18" s="9"/>
      <c r="AB18" s="9"/>
      <c r="AC18" s="9"/>
      <c r="AD18" s="1"/>
      <c r="AE18" s="48" t="s">
        <v>16</v>
      </c>
      <c r="AF18" s="29">
        <f>600+(600-AF17)</f>
        <v>1100</v>
      </c>
      <c r="AG18" s="29">
        <f>AG17</f>
        <v>700</v>
      </c>
      <c r="AH18" s="48" t="s">
        <v>16</v>
      </c>
      <c r="AI18" s="29">
        <f>600+(600-AI17)</f>
        <v>982</v>
      </c>
      <c r="AJ18" s="29">
        <f>AJ17</f>
        <v>665</v>
      </c>
      <c r="AK18" s="48" t="s">
        <v>16</v>
      </c>
      <c r="AL18" s="29">
        <f t="shared" ref="AL18" si="24">600+(600-AL17)</f>
        <v>993</v>
      </c>
      <c r="AM18" s="29">
        <f t="shared" ref="AM18" si="25">AM17</f>
        <v>640</v>
      </c>
      <c r="AN18" s="48" t="s">
        <v>16</v>
      </c>
      <c r="AO18" s="29">
        <f t="shared" ref="AO18" si="26">600+(600-AO17)</f>
        <v>1117</v>
      </c>
      <c r="AP18" s="29">
        <f t="shared" ref="AP18" si="27">AP17</f>
        <v>715</v>
      </c>
      <c r="AQ18" s="48" t="s">
        <v>16</v>
      </c>
      <c r="AR18" s="29">
        <f t="shared" ref="AR18" si="28">600+(600-AR17)</f>
        <v>1148</v>
      </c>
      <c r="AS18" s="29">
        <f t="shared" ref="AS18" si="29">AS17</f>
        <v>663</v>
      </c>
    </row>
    <row r="19" spans="1:45" ht="15.5">
      <c r="A19" s="24">
        <v>15</v>
      </c>
      <c r="B19" s="19" t="s">
        <v>48</v>
      </c>
      <c r="C19" s="19" t="s">
        <v>34</v>
      </c>
      <c r="D19" s="11">
        <v>1137</v>
      </c>
      <c r="E19" s="9">
        <v>1048</v>
      </c>
      <c r="F19" s="9">
        <v>1032</v>
      </c>
      <c r="G19" s="9">
        <v>1051.1902777328185</v>
      </c>
      <c r="H19" s="9">
        <v>1082</v>
      </c>
      <c r="I19" s="1"/>
      <c r="J19" s="21">
        <v>15</v>
      </c>
      <c r="K19" s="44" t="s">
        <v>80</v>
      </c>
      <c r="L19" s="44" t="s">
        <v>78</v>
      </c>
      <c r="M19" s="44" t="s">
        <v>79</v>
      </c>
      <c r="N19" s="11">
        <v>18.206819819057667</v>
      </c>
      <c r="O19" s="9">
        <v>21.021778481923761</v>
      </c>
      <c r="P19" s="9">
        <v>13.96820433649226</v>
      </c>
      <c r="Q19" s="9">
        <v>16.029498502517814</v>
      </c>
      <c r="R19" s="9">
        <v>21.801409486351812</v>
      </c>
      <c r="S19" s="1"/>
      <c r="T19" s="23">
        <v>15</v>
      </c>
      <c r="U19" s="28"/>
      <c r="V19" s="28"/>
      <c r="W19" s="28"/>
      <c r="X19" s="28"/>
      <c r="Y19" s="11"/>
      <c r="Z19" s="9"/>
      <c r="AA19" s="9"/>
      <c r="AB19" s="9"/>
      <c r="AC19" s="9"/>
      <c r="AD19" s="1"/>
      <c r="AE19" s="48" t="s">
        <v>17</v>
      </c>
      <c r="AF19" s="29">
        <v>288</v>
      </c>
      <c r="AG19" s="29">
        <v>72</v>
      </c>
      <c r="AH19" s="48" t="s">
        <v>17</v>
      </c>
      <c r="AI19" s="29">
        <v>327</v>
      </c>
      <c r="AJ19" s="29">
        <v>138</v>
      </c>
      <c r="AK19" s="48" t="s">
        <v>17</v>
      </c>
      <c r="AL19" s="29">
        <v>282</v>
      </c>
      <c r="AM19" s="29">
        <v>73</v>
      </c>
      <c r="AN19" s="48" t="s">
        <v>17</v>
      </c>
      <c r="AO19" s="29">
        <v>207</v>
      </c>
      <c r="AP19" s="29">
        <v>70</v>
      </c>
      <c r="AQ19" s="48" t="s">
        <v>17</v>
      </c>
      <c r="AR19" s="29">
        <v>237</v>
      </c>
      <c r="AS19" s="29">
        <v>109</v>
      </c>
    </row>
    <row r="20" spans="1:45" ht="15.5">
      <c r="A20" s="24">
        <v>16</v>
      </c>
      <c r="B20" s="19" t="s">
        <v>50</v>
      </c>
      <c r="C20" s="19" t="s">
        <v>51</v>
      </c>
      <c r="D20" s="11">
        <v>65</v>
      </c>
      <c r="E20" s="9">
        <v>50.009999000199947</v>
      </c>
      <c r="F20" s="9">
        <v>56.320511361314892</v>
      </c>
      <c r="G20" s="9">
        <v>53.084837759947987</v>
      </c>
      <c r="H20" s="9">
        <v>61.846584384264908</v>
      </c>
      <c r="I20" s="3"/>
      <c r="J20" s="21">
        <v>16</v>
      </c>
      <c r="K20" s="44" t="s">
        <v>48</v>
      </c>
      <c r="L20" s="44" t="s">
        <v>81</v>
      </c>
      <c r="M20" s="44" t="s">
        <v>79</v>
      </c>
      <c r="N20" s="11">
        <v>103.61911381648019</v>
      </c>
      <c r="O20" s="9">
        <v>103.86528367499615</v>
      </c>
      <c r="P20" s="9">
        <v>103.61040083266728</v>
      </c>
      <c r="Q20" s="9">
        <v>97.855256333154614</v>
      </c>
      <c r="R20" s="9">
        <v>99.114175054791232</v>
      </c>
      <c r="S20" s="1"/>
      <c r="T20" s="23">
        <v>16</v>
      </c>
      <c r="U20" s="28"/>
      <c r="V20" s="28"/>
      <c r="W20" s="28"/>
      <c r="X20" s="28"/>
      <c r="Y20" s="11"/>
      <c r="Z20" s="9"/>
      <c r="AA20" s="9"/>
      <c r="AB20" s="9"/>
      <c r="AC20" s="9"/>
      <c r="AD20" s="1"/>
      <c r="AE20" s="48" t="s">
        <v>18</v>
      </c>
      <c r="AF20" s="29">
        <v>600</v>
      </c>
      <c r="AG20" s="29">
        <v>43</v>
      </c>
      <c r="AH20" s="48" t="s">
        <v>18</v>
      </c>
      <c r="AI20" s="29">
        <v>600</v>
      </c>
      <c r="AJ20" s="29">
        <v>127</v>
      </c>
      <c r="AK20" s="48" t="s">
        <v>18</v>
      </c>
      <c r="AL20" s="29">
        <v>600</v>
      </c>
      <c r="AM20" s="29">
        <v>148</v>
      </c>
      <c r="AN20" s="48" t="s">
        <v>18</v>
      </c>
      <c r="AO20" s="29">
        <v>580</v>
      </c>
      <c r="AP20" s="29">
        <v>129</v>
      </c>
      <c r="AQ20" s="48" t="s">
        <v>18</v>
      </c>
      <c r="AR20" s="29">
        <v>600</v>
      </c>
      <c r="AS20" s="29">
        <v>98</v>
      </c>
    </row>
    <row r="21" spans="1:45" ht="15.5">
      <c r="A21" s="24">
        <v>17</v>
      </c>
      <c r="B21" s="19" t="s">
        <v>65</v>
      </c>
      <c r="C21" s="19" t="s">
        <v>66</v>
      </c>
      <c r="D21" s="11">
        <v>269</v>
      </c>
      <c r="E21" s="9">
        <v>250</v>
      </c>
      <c r="F21" s="9">
        <v>308</v>
      </c>
      <c r="G21" s="9">
        <v>287</v>
      </c>
      <c r="H21" s="9">
        <v>252</v>
      </c>
      <c r="I21" s="3"/>
      <c r="J21" s="21">
        <v>17</v>
      </c>
      <c r="K21" s="44" t="s">
        <v>80</v>
      </c>
      <c r="L21" s="44" t="s">
        <v>81</v>
      </c>
      <c r="M21" s="44" t="s">
        <v>79</v>
      </c>
      <c r="N21" s="11">
        <v>22.743139593638272</v>
      </c>
      <c r="O21" s="9">
        <v>22.081981041531449</v>
      </c>
      <c r="P21" s="9">
        <v>21.563254627701944</v>
      </c>
      <c r="Q21" s="9">
        <v>18.756890180941916</v>
      </c>
      <c r="R21" s="9">
        <v>29.013707760902395</v>
      </c>
      <c r="S21" s="1"/>
      <c r="T21" s="23">
        <v>17</v>
      </c>
      <c r="U21" s="28"/>
      <c r="V21" s="28"/>
      <c r="W21" s="28"/>
      <c r="X21" s="28"/>
      <c r="Y21" s="11"/>
      <c r="Z21" s="9"/>
      <c r="AA21" s="9"/>
      <c r="AB21" s="9"/>
      <c r="AC21" s="9"/>
      <c r="AD21" s="1"/>
      <c r="AE21" s="48" t="s">
        <v>19</v>
      </c>
      <c r="AF21" s="29">
        <f>600+(600-AF19)</f>
        <v>912</v>
      </c>
      <c r="AG21" s="29">
        <f>AG19</f>
        <v>72</v>
      </c>
      <c r="AH21" s="48" t="s">
        <v>19</v>
      </c>
      <c r="AI21" s="29">
        <f>600+(600-AI19)</f>
        <v>873</v>
      </c>
      <c r="AJ21" s="29">
        <f>AJ19</f>
        <v>138</v>
      </c>
      <c r="AK21" s="48" t="s">
        <v>19</v>
      </c>
      <c r="AL21" s="29">
        <f t="shared" ref="AL21" si="30">600+(600-AL19)</f>
        <v>918</v>
      </c>
      <c r="AM21" s="29">
        <f t="shared" ref="AM21" si="31">AM19</f>
        <v>73</v>
      </c>
      <c r="AN21" s="48" t="s">
        <v>19</v>
      </c>
      <c r="AO21" s="29">
        <f t="shared" ref="AO21" si="32">600+(600-AO19)</f>
        <v>993</v>
      </c>
      <c r="AP21" s="29">
        <f t="shared" ref="AP21" si="33">AP19</f>
        <v>70</v>
      </c>
      <c r="AQ21" s="48" t="s">
        <v>19</v>
      </c>
      <c r="AR21" s="29">
        <f t="shared" ref="AR21" si="34">600+(600-AR19)</f>
        <v>963</v>
      </c>
      <c r="AS21" s="29">
        <f t="shared" ref="AS21" si="35">AS19</f>
        <v>109</v>
      </c>
    </row>
    <row r="22" spans="1:45" ht="15.5">
      <c r="A22" s="24">
        <v>18</v>
      </c>
      <c r="B22" s="19" t="s">
        <v>76</v>
      </c>
      <c r="C22" s="19" t="s">
        <v>75</v>
      </c>
      <c r="D22" s="11">
        <v>46.529560496527367</v>
      </c>
      <c r="E22" s="9">
        <v>41.048751503547585</v>
      </c>
      <c r="F22" s="9">
        <v>34.928498393145958</v>
      </c>
      <c r="G22" s="9">
        <v>34</v>
      </c>
      <c r="H22" s="9">
        <v>66.370174024180471</v>
      </c>
      <c r="I22" s="3"/>
      <c r="J22" s="21">
        <v>18</v>
      </c>
      <c r="K22" s="27"/>
      <c r="L22" s="27"/>
      <c r="M22" s="27"/>
      <c r="N22" s="11"/>
      <c r="O22" s="9"/>
      <c r="P22" s="9"/>
      <c r="Q22" s="9"/>
      <c r="R22" s="9"/>
      <c r="S22" s="1"/>
      <c r="T22" s="23">
        <v>18</v>
      </c>
      <c r="U22" s="28"/>
      <c r="V22" s="28"/>
      <c r="W22" s="28"/>
      <c r="X22" s="28"/>
      <c r="Y22" s="11"/>
      <c r="Z22" s="9"/>
      <c r="AA22" s="9"/>
      <c r="AB22" s="9"/>
      <c r="AC22" s="9"/>
      <c r="AD22" s="1"/>
      <c r="AE22" s="48" t="s">
        <v>20</v>
      </c>
      <c r="AF22" s="29">
        <v>369</v>
      </c>
      <c r="AG22" s="29">
        <v>570</v>
      </c>
      <c r="AH22" s="48" t="s">
        <v>20</v>
      </c>
      <c r="AI22" s="29">
        <v>375</v>
      </c>
      <c r="AJ22" s="29">
        <v>560</v>
      </c>
      <c r="AK22" s="48" t="s">
        <v>20</v>
      </c>
      <c r="AL22" s="29">
        <v>367</v>
      </c>
      <c r="AM22" s="29">
        <v>511</v>
      </c>
      <c r="AN22" s="48" t="s">
        <v>20</v>
      </c>
      <c r="AO22" s="29">
        <v>363</v>
      </c>
      <c r="AP22" s="29">
        <v>557</v>
      </c>
      <c r="AQ22" s="48" t="s">
        <v>20</v>
      </c>
      <c r="AR22" s="29">
        <v>315</v>
      </c>
      <c r="AS22" s="29">
        <v>569</v>
      </c>
    </row>
    <row r="23" spans="1:45" ht="15.5">
      <c r="A23" s="24">
        <v>19</v>
      </c>
      <c r="B23" s="19" t="s">
        <v>73</v>
      </c>
      <c r="C23" s="19" t="s">
        <v>74</v>
      </c>
      <c r="D23" s="11">
        <v>247.09714688761585</v>
      </c>
      <c r="E23" s="9">
        <v>206.47518010647187</v>
      </c>
      <c r="F23" s="9">
        <v>194.50449866262733</v>
      </c>
      <c r="G23" s="9">
        <v>213.15018179677915</v>
      </c>
      <c r="H23" s="9">
        <v>284</v>
      </c>
      <c r="I23" s="3"/>
      <c r="J23" s="21">
        <v>19</v>
      </c>
      <c r="K23" s="27"/>
      <c r="L23" s="27"/>
      <c r="M23" s="27"/>
      <c r="N23" s="11"/>
      <c r="O23" s="9"/>
      <c r="P23" s="9"/>
      <c r="Q23" s="9"/>
      <c r="R23" s="9"/>
      <c r="S23" s="1"/>
      <c r="T23" s="23">
        <v>19</v>
      </c>
      <c r="U23" s="28"/>
      <c r="V23" s="28"/>
      <c r="W23" s="28"/>
      <c r="X23" s="28"/>
      <c r="Y23" s="11"/>
      <c r="Z23" s="9"/>
      <c r="AA23" s="9"/>
      <c r="AB23" s="9"/>
      <c r="AC23" s="9"/>
      <c r="AD23" s="1"/>
      <c r="AE23" s="48" t="s">
        <v>21</v>
      </c>
      <c r="AF23" s="29">
        <v>442</v>
      </c>
      <c r="AG23" s="29">
        <v>589</v>
      </c>
      <c r="AH23" s="49" t="s">
        <v>21</v>
      </c>
      <c r="AI23" s="30">
        <v>452</v>
      </c>
      <c r="AJ23" s="30">
        <v>585</v>
      </c>
      <c r="AK23" s="48" t="s">
        <v>21</v>
      </c>
      <c r="AL23" s="29">
        <v>438</v>
      </c>
      <c r="AM23" s="29">
        <v>530</v>
      </c>
      <c r="AN23" s="48" t="s">
        <v>21</v>
      </c>
      <c r="AO23" s="29">
        <v>422</v>
      </c>
      <c r="AP23" s="29">
        <v>575</v>
      </c>
      <c r="AQ23" s="49" t="s">
        <v>21</v>
      </c>
      <c r="AR23" s="30">
        <v>396</v>
      </c>
      <c r="AS23" s="30">
        <v>589</v>
      </c>
    </row>
    <row r="24" spans="1:45" ht="15.5">
      <c r="A24" s="24">
        <v>20</v>
      </c>
      <c r="B24" s="19"/>
      <c r="C24" s="19"/>
      <c r="D24" s="11"/>
      <c r="E24" s="9"/>
      <c r="F24" s="9"/>
      <c r="G24" s="9"/>
      <c r="H24" s="9"/>
      <c r="I24" s="3"/>
      <c r="J24" s="21">
        <v>20</v>
      </c>
      <c r="K24" s="27"/>
      <c r="L24" s="27"/>
      <c r="M24" s="27"/>
      <c r="N24" s="11"/>
      <c r="O24" s="9"/>
      <c r="P24" s="9"/>
      <c r="Q24" s="9"/>
      <c r="R24" s="9"/>
      <c r="S24" s="1"/>
      <c r="T24" s="23">
        <v>20</v>
      </c>
      <c r="U24" s="28"/>
      <c r="V24" s="28"/>
      <c r="W24" s="28"/>
      <c r="X24" s="28"/>
      <c r="Y24" s="11"/>
      <c r="Z24" s="9"/>
      <c r="AA24" s="9"/>
      <c r="AB24" s="9"/>
      <c r="AC24" s="9"/>
      <c r="AD24" s="1"/>
      <c r="AE24" s="48" t="s">
        <v>22</v>
      </c>
      <c r="AF24" s="29">
        <v>520</v>
      </c>
      <c r="AG24" s="29">
        <v>572</v>
      </c>
      <c r="AH24" s="49" t="s">
        <v>22</v>
      </c>
      <c r="AI24" s="30">
        <v>517</v>
      </c>
      <c r="AJ24" s="30">
        <v>570</v>
      </c>
      <c r="AK24" s="48" t="s">
        <v>22</v>
      </c>
      <c r="AL24" s="29">
        <v>517</v>
      </c>
      <c r="AM24" s="29">
        <v>512</v>
      </c>
      <c r="AN24" s="48" t="s">
        <v>22</v>
      </c>
      <c r="AO24" s="29">
        <v>500</v>
      </c>
      <c r="AP24" s="29">
        <v>565</v>
      </c>
      <c r="AQ24" s="49" t="s">
        <v>22</v>
      </c>
      <c r="AR24" s="30">
        <v>480</v>
      </c>
      <c r="AS24" s="30">
        <v>582</v>
      </c>
    </row>
    <row r="25" spans="1:45" ht="15.5">
      <c r="A25" s="24">
        <v>21</v>
      </c>
      <c r="B25" s="19"/>
      <c r="C25" s="19"/>
      <c r="D25" s="9"/>
      <c r="E25" s="9"/>
      <c r="F25" s="9"/>
      <c r="G25" s="9"/>
      <c r="H25" s="9"/>
      <c r="I25" s="3"/>
      <c r="J25" s="21">
        <v>21</v>
      </c>
      <c r="K25" s="27"/>
      <c r="L25" s="27"/>
      <c r="M25" s="27"/>
      <c r="N25" s="11"/>
      <c r="O25" s="9"/>
      <c r="P25" s="9"/>
      <c r="Q25" s="9"/>
      <c r="R25" s="9"/>
      <c r="S25" s="1"/>
      <c r="T25" s="23">
        <v>21</v>
      </c>
      <c r="U25" s="28"/>
      <c r="V25" s="28"/>
      <c r="W25" s="28"/>
      <c r="X25" s="28"/>
      <c r="Y25" s="11"/>
      <c r="Z25" s="9"/>
      <c r="AA25" s="9"/>
      <c r="AB25" s="9"/>
      <c r="AC25" s="9"/>
      <c r="AD25" s="1"/>
      <c r="AE25" s="48" t="s">
        <v>23</v>
      </c>
      <c r="AF25" s="29">
        <v>426</v>
      </c>
      <c r="AG25" s="29">
        <v>526</v>
      </c>
      <c r="AH25" s="49" t="s">
        <v>23</v>
      </c>
      <c r="AI25" s="30">
        <v>442</v>
      </c>
      <c r="AJ25" s="30">
        <v>536</v>
      </c>
      <c r="AK25" s="48" t="s">
        <v>23</v>
      </c>
      <c r="AL25" s="29">
        <v>444</v>
      </c>
      <c r="AM25" s="29">
        <v>474</v>
      </c>
      <c r="AN25" s="48" t="s">
        <v>23</v>
      </c>
      <c r="AO25" s="29">
        <v>419</v>
      </c>
      <c r="AP25" s="29">
        <v>522</v>
      </c>
      <c r="AQ25" s="49" t="s">
        <v>23</v>
      </c>
      <c r="AR25" s="30">
        <v>381</v>
      </c>
      <c r="AS25" s="30">
        <v>529</v>
      </c>
    </row>
    <row r="26" spans="1:45" ht="15.5">
      <c r="A26" s="24">
        <v>22</v>
      </c>
      <c r="B26" s="19"/>
      <c r="C26" s="19"/>
      <c r="D26" s="9"/>
      <c r="E26" s="9"/>
      <c r="F26" s="9"/>
      <c r="G26" s="9"/>
      <c r="H26" s="9"/>
      <c r="I26" s="3"/>
      <c r="J26" s="21">
        <v>22</v>
      </c>
      <c r="K26" s="27"/>
      <c r="L26" s="27"/>
      <c r="M26" s="27"/>
      <c r="N26" s="11"/>
      <c r="O26" s="9"/>
      <c r="P26" s="9"/>
      <c r="Q26" s="9"/>
      <c r="R26" s="9"/>
      <c r="S26" s="1"/>
      <c r="T26" s="23">
        <v>22</v>
      </c>
      <c r="U26" s="28"/>
      <c r="V26" s="28"/>
      <c r="W26" s="28"/>
      <c r="X26" s="28"/>
      <c r="Y26" s="11"/>
      <c r="Z26" s="9"/>
      <c r="AA26" s="9"/>
      <c r="AB26" s="9"/>
      <c r="AC26" s="9"/>
      <c r="AD26" s="1"/>
      <c r="AE26" s="48" t="s">
        <v>24</v>
      </c>
      <c r="AF26" s="31">
        <v>1180</v>
      </c>
      <c r="AG26" s="31">
        <v>1180</v>
      </c>
      <c r="AH26" s="49" t="s">
        <v>24</v>
      </c>
      <c r="AI26" s="30">
        <v>1180</v>
      </c>
      <c r="AJ26" s="30">
        <v>1180</v>
      </c>
      <c r="AK26" s="48" t="s">
        <v>24</v>
      </c>
      <c r="AL26" s="31">
        <v>1180</v>
      </c>
      <c r="AM26" s="31">
        <v>1180</v>
      </c>
      <c r="AN26" s="48" t="s">
        <v>24</v>
      </c>
      <c r="AO26" s="31">
        <v>1180</v>
      </c>
      <c r="AP26" s="31">
        <v>1180</v>
      </c>
      <c r="AQ26" s="49" t="s">
        <v>24</v>
      </c>
      <c r="AR26" s="30">
        <v>1180</v>
      </c>
      <c r="AS26" s="30">
        <v>1180</v>
      </c>
    </row>
    <row r="27" spans="1:45" ht="15.5">
      <c r="A27" s="24">
        <v>23</v>
      </c>
      <c r="B27" s="19"/>
      <c r="C27" s="19"/>
      <c r="D27" s="9"/>
      <c r="E27" s="9"/>
      <c r="F27" s="9"/>
      <c r="G27" s="9"/>
      <c r="H27" s="9"/>
      <c r="I27" s="1"/>
      <c r="J27" s="21">
        <v>23</v>
      </c>
      <c r="K27" s="27"/>
      <c r="L27" s="27"/>
      <c r="M27" s="27"/>
      <c r="N27" s="11"/>
      <c r="O27" s="9"/>
      <c r="P27" s="9"/>
      <c r="Q27" s="9"/>
      <c r="R27" s="9"/>
      <c r="S27" s="1"/>
      <c r="T27" s="23">
        <v>23</v>
      </c>
      <c r="U27" s="28"/>
      <c r="V27" s="28"/>
      <c r="W27" s="28"/>
      <c r="X27" s="28"/>
      <c r="Y27" s="11"/>
      <c r="Z27" s="9"/>
      <c r="AA27" s="9"/>
      <c r="AB27" s="9"/>
      <c r="AC27" s="9"/>
      <c r="AD27" s="1"/>
      <c r="AE27" s="46" t="s">
        <v>67</v>
      </c>
      <c r="AF27" s="8">
        <v>600</v>
      </c>
      <c r="AG27" s="37">
        <v>0</v>
      </c>
      <c r="AH27" s="46" t="s">
        <v>67</v>
      </c>
      <c r="AI27" s="9">
        <v>600</v>
      </c>
      <c r="AJ27" s="38">
        <v>0</v>
      </c>
      <c r="AK27" s="46" t="s">
        <v>67</v>
      </c>
      <c r="AL27" s="8">
        <v>600</v>
      </c>
      <c r="AM27" s="37">
        <v>0</v>
      </c>
      <c r="AN27" s="46" t="s">
        <v>67</v>
      </c>
      <c r="AO27" s="9">
        <v>600</v>
      </c>
      <c r="AP27" s="38">
        <v>0</v>
      </c>
      <c r="AQ27" s="46" t="s">
        <v>67</v>
      </c>
      <c r="AR27" s="8">
        <v>600</v>
      </c>
      <c r="AS27" s="37">
        <v>0</v>
      </c>
    </row>
    <row r="28" spans="1:45" ht="15.5">
      <c r="A28" s="24">
        <v>24</v>
      </c>
      <c r="B28" s="19"/>
      <c r="C28" s="19"/>
      <c r="D28" s="9"/>
      <c r="E28" s="12"/>
      <c r="F28" s="12"/>
      <c r="G28" s="12"/>
      <c r="H28" s="12"/>
      <c r="I28" s="7"/>
      <c r="J28" s="21">
        <v>24</v>
      </c>
      <c r="K28" s="27"/>
      <c r="L28" s="27"/>
      <c r="M28" s="27"/>
      <c r="N28" s="17"/>
      <c r="O28" s="12"/>
      <c r="P28" s="12"/>
      <c r="Q28" s="12"/>
      <c r="R28" s="12"/>
      <c r="S28" s="7"/>
      <c r="T28" s="23">
        <v>24</v>
      </c>
      <c r="U28" s="28"/>
      <c r="V28" s="28"/>
      <c r="W28" s="28"/>
      <c r="X28" s="28"/>
      <c r="Y28" s="17"/>
      <c r="Z28" s="12"/>
      <c r="AA28" s="12"/>
      <c r="AB28" s="12"/>
      <c r="AC28" s="12"/>
      <c r="AD28" s="7"/>
      <c r="AE28" s="46" t="s">
        <v>68</v>
      </c>
      <c r="AF28" s="8">
        <v>421</v>
      </c>
      <c r="AG28" s="37">
        <v>475</v>
      </c>
      <c r="AH28" s="46" t="s">
        <v>68</v>
      </c>
      <c r="AI28" s="9">
        <v>430</v>
      </c>
      <c r="AJ28" s="38">
        <v>471</v>
      </c>
      <c r="AK28" s="46" t="s">
        <v>68</v>
      </c>
      <c r="AL28" s="8">
        <v>442</v>
      </c>
      <c r="AM28" s="37">
        <v>419</v>
      </c>
      <c r="AN28" s="46" t="s">
        <v>68</v>
      </c>
      <c r="AO28" s="9">
        <v>420</v>
      </c>
      <c r="AP28" s="38">
        <v>453</v>
      </c>
      <c r="AQ28" s="46" t="s">
        <v>68</v>
      </c>
      <c r="AR28" s="8">
        <v>421</v>
      </c>
      <c r="AS28" s="37">
        <v>406</v>
      </c>
    </row>
    <row r="29" spans="1:45" ht="15.5">
      <c r="A29" s="24">
        <v>25</v>
      </c>
      <c r="B29" s="19"/>
      <c r="C29" s="19"/>
      <c r="D29" s="18"/>
      <c r="E29" s="13"/>
      <c r="F29" s="9"/>
      <c r="G29" s="9"/>
      <c r="H29" s="9"/>
      <c r="I29" s="1"/>
      <c r="J29" s="21">
        <v>25</v>
      </c>
      <c r="K29" s="27"/>
      <c r="L29" s="27"/>
      <c r="M29" s="27"/>
      <c r="N29" s="11"/>
      <c r="O29" s="9"/>
      <c r="P29" s="9"/>
      <c r="Q29" s="9"/>
      <c r="R29" s="9"/>
      <c r="S29" s="1"/>
      <c r="T29" s="23">
        <v>25</v>
      </c>
      <c r="U29" s="28"/>
      <c r="V29" s="28"/>
      <c r="W29" s="28"/>
      <c r="X29" s="28"/>
      <c r="Y29" s="11"/>
      <c r="Z29" s="9"/>
      <c r="AA29" s="9"/>
      <c r="AB29" s="9"/>
      <c r="AC29" s="9"/>
      <c r="AD29" s="1"/>
      <c r="AE29" s="46" t="s">
        <v>69</v>
      </c>
      <c r="AF29" s="8">
        <v>292</v>
      </c>
      <c r="AG29" s="37">
        <v>549</v>
      </c>
      <c r="AH29" s="46" t="s">
        <v>69</v>
      </c>
      <c r="AI29" s="9">
        <v>327</v>
      </c>
      <c r="AJ29" s="38">
        <v>519</v>
      </c>
      <c r="AK29" s="46" t="s">
        <v>69</v>
      </c>
      <c r="AL29" s="8">
        <v>329</v>
      </c>
      <c r="AM29" s="37">
        <v>466</v>
      </c>
      <c r="AN29" s="46" t="s">
        <v>69</v>
      </c>
      <c r="AO29" s="9">
        <v>306</v>
      </c>
      <c r="AP29" s="38">
        <v>498</v>
      </c>
      <c r="AQ29" s="46" t="s">
        <v>69</v>
      </c>
      <c r="AR29" s="8">
        <v>256</v>
      </c>
      <c r="AS29" s="37">
        <v>472</v>
      </c>
    </row>
    <row r="30" spans="1:45" ht="15.5">
      <c r="A30" s="24">
        <v>26</v>
      </c>
      <c r="B30" s="19"/>
      <c r="C30" s="19"/>
      <c r="D30" s="11"/>
      <c r="E30" s="9"/>
      <c r="F30" s="9"/>
      <c r="G30" s="9"/>
      <c r="H30" s="9"/>
      <c r="I30" s="1"/>
      <c r="J30" s="21">
        <v>26</v>
      </c>
      <c r="K30" s="27"/>
      <c r="L30" s="27"/>
      <c r="M30" s="27"/>
      <c r="N30" s="11"/>
      <c r="O30" s="9"/>
      <c r="P30" s="9"/>
      <c r="Q30" s="9"/>
      <c r="R30" s="9"/>
      <c r="S30" s="1"/>
      <c r="T30" s="23">
        <v>26</v>
      </c>
      <c r="U30" s="28"/>
      <c r="V30" s="28"/>
      <c r="W30" s="28"/>
      <c r="X30" s="28"/>
      <c r="Y30" s="11"/>
      <c r="Z30" s="9"/>
      <c r="AA30" s="9"/>
      <c r="AB30" s="9"/>
      <c r="AC30" s="9"/>
      <c r="AD30" s="1"/>
      <c r="AE30" s="46" t="s">
        <v>70</v>
      </c>
      <c r="AF30" s="8">
        <v>536</v>
      </c>
      <c r="AG30" s="37">
        <v>510</v>
      </c>
      <c r="AH30" s="46" t="s">
        <v>70</v>
      </c>
      <c r="AI30" s="9">
        <v>533</v>
      </c>
      <c r="AJ30" s="38">
        <v>505</v>
      </c>
      <c r="AK30" s="46" t="s">
        <v>70</v>
      </c>
      <c r="AL30" s="8">
        <v>523</v>
      </c>
      <c r="AM30" s="37">
        <v>452</v>
      </c>
      <c r="AN30" s="46" t="s">
        <v>70</v>
      </c>
      <c r="AO30" s="9">
        <v>519</v>
      </c>
      <c r="AP30" s="38">
        <v>490</v>
      </c>
      <c r="AQ30" s="46" t="s">
        <v>70</v>
      </c>
      <c r="AR30" s="8">
        <v>540</v>
      </c>
      <c r="AS30" s="37">
        <v>472</v>
      </c>
    </row>
    <row r="31" spans="1:45" ht="15.5">
      <c r="A31" s="24">
        <v>27</v>
      </c>
      <c r="B31" s="19"/>
      <c r="C31" s="19"/>
      <c r="D31" s="11"/>
      <c r="E31" s="9"/>
      <c r="F31" s="9"/>
      <c r="G31" s="9"/>
      <c r="H31" s="9"/>
      <c r="I31" s="1"/>
      <c r="J31" s="21">
        <v>27</v>
      </c>
      <c r="K31" s="27"/>
      <c r="L31" s="27"/>
      <c r="M31" s="27"/>
      <c r="N31" s="11"/>
      <c r="O31" s="9"/>
      <c r="P31" s="9"/>
      <c r="Q31" s="9"/>
      <c r="R31" s="9"/>
      <c r="S31" s="1"/>
      <c r="T31" s="23">
        <v>27</v>
      </c>
      <c r="U31" s="28"/>
      <c r="V31" s="28"/>
      <c r="W31" s="28"/>
      <c r="X31" s="28"/>
      <c r="Y31" s="11"/>
      <c r="Z31" s="9"/>
      <c r="AA31" s="9"/>
      <c r="AB31" s="9"/>
      <c r="AC31" s="9"/>
      <c r="AD31" s="1"/>
      <c r="AE31" s="46" t="s">
        <v>71</v>
      </c>
      <c r="AF31" s="8">
        <v>428</v>
      </c>
      <c r="AG31" s="37">
        <v>521</v>
      </c>
      <c r="AH31" s="46" t="s">
        <v>71</v>
      </c>
      <c r="AI31" s="9">
        <v>428</v>
      </c>
      <c r="AJ31" s="38">
        <v>512</v>
      </c>
      <c r="AK31" s="46" t="s">
        <v>71</v>
      </c>
      <c r="AL31" s="8">
        <v>428</v>
      </c>
      <c r="AM31" s="37">
        <v>451</v>
      </c>
      <c r="AN31" s="46" t="s">
        <v>71</v>
      </c>
      <c r="AO31" s="9">
        <v>420</v>
      </c>
      <c r="AP31" s="38">
        <v>487</v>
      </c>
      <c r="AQ31" s="46" t="s">
        <v>71</v>
      </c>
      <c r="AR31" s="8">
        <v>414</v>
      </c>
      <c r="AS31" s="37">
        <v>472</v>
      </c>
    </row>
    <row r="32" spans="1:45" ht="15.5">
      <c r="A32" s="24">
        <v>28</v>
      </c>
      <c r="B32" s="19"/>
      <c r="C32" s="19"/>
      <c r="D32" s="11"/>
      <c r="E32" s="9"/>
      <c r="F32" s="9"/>
      <c r="G32" s="9"/>
      <c r="H32" s="9"/>
      <c r="I32" s="1"/>
      <c r="J32" s="21">
        <v>28</v>
      </c>
      <c r="K32" s="27"/>
      <c r="L32" s="27"/>
      <c r="M32" s="27"/>
      <c r="N32" s="11"/>
      <c r="O32" s="9"/>
      <c r="P32" s="9"/>
      <c r="Q32" s="9"/>
      <c r="R32" s="9"/>
      <c r="S32" s="1"/>
      <c r="T32" s="23">
        <v>28</v>
      </c>
      <c r="U32" s="28"/>
      <c r="V32" s="28"/>
      <c r="W32" s="28"/>
      <c r="X32" s="28"/>
      <c r="Y32" s="11"/>
      <c r="Z32" s="9"/>
      <c r="AA32" s="9"/>
      <c r="AB32" s="9"/>
      <c r="AC32" s="9"/>
      <c r="AD32" s="1"/>
      <c r="AE32" s="46"/>
      <c r="AF32" s="8"/>
      <c r="AG32" s="37"/>
      <c r="AH32" s="46"/>
      <c r="AI32" s="9"/>
      <c r="AJ32" s="38"/>
      <c r="AK32" s="46"/>
      <c r="AL32" s="8"/>
      <c r="AM32" s="37"/>
      <c r="AN32" s="46"/>
      <c r="AO32" s="9"/>
      <c r="AP32" s="38"/>
      <c r="AQ32" s="46"/>
      <c r="AR32" s="8"/>
      <c r="AS32" s="37"/>
    </row>
    <row r="33" spans="1:45" ht="15.5">
      <c r="A33" s="24">
        <v>29</v>
      </c>
      <c r="B33" s="19"/>
      <c r="C33" s="19"/>
      <c r="D33" s="11"/>
      <c r="E33" s="9"/>
      <c r="F33" s="9"/>
      <c r="G33" s="9"/>
      <c r="H33" s="9"/>
      <c r="I33" s="1"/>
      <c r="J33" s="21">
        <v>29</v>
      </c>
      <c r="K33" s="27"/>
      <c r="L33" s="27"/>
      <c r="M33" s="27"/>
      <c r="N33" s="11"/>
      <c r="O33" s="9"/>
      <c r="P33" s="9"/>
      <c r="Q33" s="9"/>
      <c r="R33" s="9"/>
      <c r="S33" s="1"/>
      <c r="T33" s="23">
        <v>29</v>
      </c>
      <c r="U33" s="28"/>
      <c r="V33" s="28"/>
      <c r="W33" s="28"/>
      <c r="X33" s="28"/>
      <c r="Y33" s="11"/>
      <c r="Z33" s="9"/>
      <c r="AA33" s="9"/>
      <c r="AB33" s="9"/>
      <c r="AC33" s="9"/>
      <c r="AD33" s="1"/>
      <c r="AE33" s="26"/>
      <c r="AF33" s="8"/>
      <c r="AG33" s="6"/>
      <c r="AH33" s="5"/>
      <c r="AI33" s="9"/>
      <c r="AJ33" s="16"/>
      <c r="AK33" s="26"/>
      <c r="AL33" s="8"/>
      <c r="AM33" s="6"/>
      <c r="AN33" s="5"/>
      <c r="AO33" s="9"/>
      <c r="AP33" s="16"/>
      <c r="AQ33" s="26"/>
      <c r="AR33" s="8"/>
      <c r="AS33" s="6"/>
    </row>
    <row r="34" spans="1:45" ht="15.5">
      <c r="A34" s="24">
        <v>30</v>
      </c>
      <c r="B34" s="19"/>
      <c r="C34" s="19"/>
      <c r="D34" s="11"/>
      <c r="E34" s="9"/>
      <c r="F34" s="9"/>
      <c r="G34" s="9"/>
      <c r="H34" s="9"/>
      <c r="I34" s="1"/>
      <c r="J34" s="21">
        <v>30</v>
      </c>
      <c r="K34" s="27"/>
      <c r="L34" s="27"/>
      <c r="M34" s="27"/>
      <c r="N34" s="11"/>
      <c r="O34" s="9"/>
      <c r="P34" s="9"/>
      <c r="Q34" s="9"/>
      <c r="R34" s="9"/>
      <c r="S34" s="1"/>
      <c r="T34" s="23">
        <v>30</v>
      </c>
      <c r="U34" s="28"/>
      <c r="V34" s="28"/>
      <c r="W34" s="28"/>
      <c r="X34" s="28"/>
      <c r="Y34" s="11"/>
      <c r="Z34" s="9"/>
      <c r="AA34" s="9"/>
      <c r="AB34" s="9"/>
      <c r="AC34" s="9"/>
      <c r="AD34" s="1"/>
      <c r="AE34" s="26"/>
      <c r="AF34" s="8"/>
      <c r="AG34" s="6"/>
      <c r="AH34" s="5"/>
      <c r="AI34" s="9"/>
      <c r="AJ34" s="16"/>
      <c r="AK34" s="26"/>
      <c r="AL34" s="8"/>
      <c r="AM34" s="6"/>
      <c r="AN34" s="5"/>
      <c r="AO34" s="9"/>
      <c r="AP34" s="16"/>
      <c r="AQ34" s="26"/>
      <c r="AR34" s="8"/>
      <c r="AS34" s="6"/>
    </row>
  </sheetData>
  <mergeCells count="23">
    <mergeCell ref="A1:H1"/>
    <mergeCell ref="J1:R1"/>
    <mergeCell ref="T1:AC1"/>
    <mergeCell ref="AE1:AS1"/>
    <mergeCell ref="A2:C4"/>
    <mergeCell ref="D2:F3"/>
    <mergeCell ref="G2:H3"/>
    <mergeCell ref="J2:M4"/>
    <mergeCell ref="N2:P3"/>
    <mergeCell ref="Q2:R3"/>
    <mergeCell ref="T2:X4"/>
    <mergeCell ref="Y2:AA3"/>
    <mergeCell ref="AB2:AC3"/>
    <mergeCell ref="AE2:AG2"/>
    <mergeCell ref="AH2:AJ2"/>
    <mergeCell ref="AN2:AP2"/>
    <mergeCell ref="AQ2:AS2"/>
    <mergeCell ref="AF3:AG3"/>
    <mergeCell ref="AI3:AJ3"/>
    <mergeCell ref="AL3:AM3"/>
    <mergeCell ref="AO3:AP3"/>
    <mergeCell ref="AR3:AS3"/>
    <mergeCell ref="AK2:AM2"/>
  </mergeCells>
  <phoneticPr fontId="7" type="noConversion"/>
  <conditionalFormatting sqref="Y1:AC1 Y4:AC34 Y2">
    <cfRule type="cellIs" dxfId="9" priority="1" operator="lessThan">
      <formula>0</formula>
    </cfRule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工作表17"/>
  <dimension ref="A1:AS34"/>
  <sheetViews>
    <sheetView topLeftCell="N1" zoomScaleNormal="100" workbookViewId="0">
      <selection activeCell="AI3" sqref="AI3:AJ3"/>
    </sheetView>
  </sheetViews>
  <sheetFormatPr defaultRowHeight="15"/>
  <cols>
    <col min="21" max="21" width="6.4140625" customWidth="1"/>
    <col min="22" max="22" width="5.58203125" customWidth="1"/>
    <col min="23" max="23" width="6.58203125" customWidth="1"/>
    <col min="24" max="24" width="4.6640625" customWidth="1"/>
  </cols>
  <sheetData>
    <row r="1" spans="1:45" ht="23">
      <c r="A1" s="57" t="s">
        <v>58</v>
      </c>
      <c r="B1" s="57"/>
      <c r="C1" s="57"/>
      <c r="D1" s="57"/>
      <c r="E1" s="57"/>
      <c r="F1" s="57"/>
      <c r="G1" s="57"/>
      <c r="H1" s="58"/>
      <c r="I1" s="1"/>
      <c r="J1" s="59" t="s">
        <v>60</v>
      </c>
      <c r="K1" s="59"/>
      <c r="L1" s="59"/>
      <c r="M1" s="59"/>
      <c r="N1" s="59"/>
      <c r="O1" s="59"/>
      <c r="P1" s="59"/>
      <c r="Q1" s="59"/>
      <c r="R1" s="59"/>
      <c r="S1" s="1"/>
      <c r="T1" s="60" t="s">
        <v>59</v>
      </c>
      <c r="U1" s="60"/>
      <c r="V1" s="60"/>
      <c r="W1" s="60"/>
      <c r="X1" s="60"/>
      <c r="Y1" s="60"/>
      <c r="Z1" s="60"/>
      <c r="AA1" s="60"/>
      <c r="AB1" s="60"/>
      <c r="AC1" s="60"/>
      <c r="AD1" s="1"/>
      <c r="AE1" s="61" t="s">
        <v>180</v>
      </c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</row>
    <row r="2" spans="1:45" ht="18">
      <c r="A2" s="63" t="s">
        <v>55</v>
      </c>
      <c r="B2" s="63"/>
      <c r="C2" s="63"/>
      <c r="D2" s="65"/>
      <c r="E2" s="66"/>
      <c r="F2" s="67"/>
      <c r="G2" s="65"/>
      <c r="H2" s="67"/>
      <c r="I2" s="2"/>
      <c r="J2" s="71" t="s">
        <v>56</v>
      </c>
      <c r="K2" s="71"/>
      <c r="L2" s="71"/>
      <c r="M2" s="71"/>
      <c r="N2" s="73"/>
      <c r="O2" s="74"/>
      <c r="P2" s="75"/>
      <c r="Q2" s="73"/>
      <c r="R2" s="75"/>
      <c r="S2" s="2"/>
      <c r="T2" s="90" t="s">
        <v>57</v>
      </c>
      <c r="U2" s="90"/>
      <c r="V2" s="90"/>
      <c r="W2" s="90"/>
      <c r="X2" s="90"/>
      <c r="Y2" s="92"/>
      <c r="Z2" s="93"/>
      <c r="AA2" s="94"/>
      <c r="AB2" s="92"/>
      <c r="AC2" s="94"/>
      <c r="AD2" s="2"/>
      <c r="AE2" s="54" t="s">
        <v>115</v>
      </c>
      <c r="AF2" s="55"/>
      <c r="AG2" s="56"/>
      <c r="AH2" s="81" t="s">
        <v>116</v>
      </c>
      <c r="AI2" s="82"/>
      <c r="AJ2" s="83"/>
      <c r="AK2" s="54" t="s">
        <v>117</v>
      </c>
      <c r="AL2" s="55"/>
      <c r="AM2" s="56"/>
      <c r="AN2" s="81" t="s">
        <v>118</v>
      </c>
      <c r="AO2" s="82"/>
      <c r="AP2" s="83"/>
      <c r="AQ2" s="54" t="s">
        <v>119</v>
      </c>
      <c r="AR2" s="55"/>
      <c r="AS2" s="56"/>
    </row>
    <row r="3" spans="1:45" ht="15.5">
      <c r="A3" s="63"/>
      <c r="B3" s="63"/>
      <c r="C3" s="63"/>
      <c r="D3" s="68"/>
      <c r="E3" s="69"/>
      <c r="F3" s="70"/>
      <c r="G3" s="68"/>
      <c r="H3" s="70"/>
      <c r="I3" s="1"/>
      <c r="J3" s="71"/>
      <c r="K3" s="71"/>
      <c r="L3" s="71"/>
      <c r="M3" s="71"/>
      <c r="N3" s="76"/>
      <c r="O3" s="77"/>
      <c r="P3" s="78"/>
      <c r="Q3" s="76"/>
      <c r="R3" s="78"/>
      <c r="S3" s="1"/>
      <c r="T3" s="90"/>
      <c r="U3" s="90"/>
      <c r="V3" s="90"/>
      <c r="W3" s="90"/>
      <c r="X3" s="90"/>
      <c r="Y3" s="95"/>
      <c r="Z3" s="96"/>
      <c r="AA3" s="97"/>
      <c r="AB3" s="95"/>
      <c r="AC3" s="97"/>
      <c r="AD3" s="1"/>
      <c r="AE3" s="52" t="s">
        <v>178</v>
      </c>
      <c r="AF3" s="85" t="s">
        <v>177</v>
      </c>
      <c r="AG3" s="85"/>
      <c r="AH3" s="52" t="s">
        <v>178</v>
      </c>
      <c r="AI3" s="85" t="s">
        <v>177</v>
      </c>
      <c r="AJ3" s="85"/>
      <c r="AK3" s="52" t="s">
        <v>178</v>
      </c>
      <c r="AL3" s="85" t="s">
        <v>177</v>
      </c>
      <c r="AM3" s="85"/>
      <c r="AN3" s="52" t="s">
        <v>178</v>
      </c>
      <c r="AO3" s="85" t="s">
        <v>177</v>
      </c>
      <c r="AP3" s="85"/>
      <c r="AQ3" s="52" t="s">
        <v>178</v>
      </c>
      <c r="AR3" s="85" t="s">
        <v>177</v>
      </c>
      <c r="AS3" s="85"/>
    </row>
    <row r="4" spans="1:45" ht="49.25" customHeight="1">
      <c r="A4" s="63"/>
      <c r="B4" s="64"/>
      <c r="C4" s="64"/>
      <c r="D4" s="19" t="s">
        <v>25</v>
      </c>
      <c r="E4" s="19" t="s">
        <v>26</v>
      </c>
      <c r="F4" s="19" t="s">
        <v>27</v>
      </c>
      <c r="G4" s="19" t="s">
        <v>28</v>
      </c>
      <c r="H4" s="19" t="s">
        <v>29</v>
      </c>
      <c r="I4" s="4"/>
      <c r="J4" s="71"/>
      <c r="K4" s="72"/>
      <c r="L4" s="72"/>
      <c r="M4" s="72"/>
      <c r="N4" s="27" t="s">
        <v>25</v>
      </c>
      <c r="O4" s="27" t="s">
        <v>26</v>
      </c>
      <c r="P4" s="27" t="s">
        <v>27</v>
      </c>
      <c r="Q4" s="27" t="s">
        <v>28</v>
      </c>
      <c r="R4" s="27" t="s">
        <v>29</v>
      </c>
      <c r="S4" s="4"/>
      <c r="T4" s="90"/>
      <c r="U4" s="91"/>
      <c r="V4" s="91"/>
      <c r="W4" s="91"/>
      <c r="X4" s="91"/>
      <c r="Y4" s="28" t="s">
        <v>25</v>
      </c>
      <c r="Z4" s="28" t="s">
        <v>26</v>
      </c>
      <c r="AA4" s="28" t="s">
        <v>27</v>
      </c>
      <c r="AB4" s="28" t="s">
        <v>28</v>
      </c>
      <c r="AC4" s="28" t="s">
        <v>29</v>
      </c>
      <c r="AD4" s="4"/>
      <c r="AE4" s="48"/>
      <c r="AF4" s="48" t="s">
        <v>0</v>
      </c>
      <c r="AG4" s="48" t="s">
        <v>1</v>
      </c>
      <c r="AH4" s="48"/>
      <c r="AI4" s="48" t="s">
        <v>0</v>
      </c>
      <c r="AJ4" s="48" t="s">
        <v>1</v>
      </c>
      <c r="AK4" s="48" t="s">
        <v>2</v>
      </c>
      <c r="AL4" s="48" t="s">
        <v>0</v>
      </c>
      <c r="AM4" s="48" t="s">
        <v>1</v>
      </c>
      <c r="AN4" s="49" t="s">
        <v>2</v>
      </c>
      <c r="AO4" s="49" t="s">
        <v>0</v>
      </c>
      <c r="AP4" s="49" t="s">
        <v>1</v>
      </c>
      <c r="AQ4" s="48" t="s">
        <v>2</v>
      </c>
      <c r="AR4" s="48" t="s">
        <v>0</v>
      </c>
      <c r="AS4" s="48" t="s">
        <v>1</v>
      </c>
    </row>
    <row r="5" spans="1:45" ht="15.5">
      <c r="A5" s="24">
        <v>1</v>
      </c>
      <c r="B5" s="19" t="s">
        <v>30</v>
      </c>
      <c r="C5" s="19" t="s">
        <v>32</v>
      </c>
      <c r="D5" s="11">
        <v>336</v>
      </c>
      <c r="E5" s="9">
        <v>308</v>
      </c>
      <c r="F5" s="9">
        <v>253</v>
      </c>
      <c r="G5" s="9">
        <v>270</v>
      </c>
      <c r="H5" s="9">
        <v>315</v>
      </c>
      <c r="I5" s="1"/>
      <c r="J5" s="21">
        <v>1</v>
      </c>
      <c r="K5" s="27" t="s">
        <v>30</v>
      </c>
      <c r="L5" s="27" t="s">
        <v>35</v>
      </c>
      <c r="M5" s="27" t="s">
        <v>38</v>
      </c>
      <c r="N5" s="9">
        <v>68.503713082237155</v>
      </c>
      <c r="O5" s="9">
        <v>65.689523788857031</v>
      </c>
      <c r="P5" s="9">
        <v>55.4914770123316</v>
      </c>
      <c r="Q5" s="9">
        <v>62.807647835696422</v>
      </c>
      <c r="R5" s="9">
        <v>65.761942266838062</v>
      </c>
      <c r="S5" s="1"/>
      <c r="T5" s="23">
        <v>1</v>
      </c>
      <c r="U5" s="28" t="s">
        <v>30</v>
      </c>
      <c r="V5" s="28" t="s">
        <v>35</v>
      </c>
      <c r="W5" s="28" t="s">
        <v>37</v>
      </c>
      <c r="X5" s="28" t="s">
        <v>38</v>
      </c>
      <c r="Y5" s="11">
        <v>38640</v>
      </c>
      <c r="Z5" s="9">
        <v>36036</v>
      </c>
      <c r="AA5" s="9">
        <v>36179</v>
      </c>
      <c r="AB5" s="9">
        <v>30240</v>
      </c>
      <c r="AC5" s="9">
        <v>32760</v>
      </c>
      <c r="AD5" s="1"/>
      <c r="AE5" s="48" t="s">
        <v>3</v>
      </c>
      <c r="AF5" s="29">
        <v>600</v>
      </c>
      <c r="AG5" s="29">
        <v>508</v>
      </c>
      <c r="AH5" s="48" t="s">
        <v>3</v>
      </c>
      <c r="AI5" s="29">
        <v>600</v>
      </c>
      <c r="AJ5" s="29">
        <v>490</v>
      </c>
      <c r="AK5" s="48" t="s">
        <v>3</v>
      </c>
      <c r="AL5" s="29">
        <v>600</v>
      </c>
      <c r="AM5" s="29">
        <v>500</v>
      </c>
      <c r="AN5" s="48" t="s">
        <v>3</v>
      </c>
      <c r="AO5" s="29">
        <v>600</v>
      </c>
      <c r="AP5" s="29">
        <v>523</v>
      </c>
      <c r="AQ5" s="48" t="s">
        <v>3</v>
      </c>
      <c r="AR5" s="29">
        <v>600</v>
      </c>
      <c r="AS5" s="29">
        <v>542</v>
      </c>
    </row>
    <row r="6" spans="1:45" ht="15.5">
      <c r="A6" s="24">
        <v>2</v>
      </c>
      <c r="B6" s="19" t="s">
        <v>30</v>
      </c>
      <c r="C6" s="19" t="s">
        <v>33</v>
      </c>
      <c r="D6" s="11">
        <v>436</v>
      </c>
      <c r="E6" s="9">
        <v>412</v>
      </c>
      <c r="F6" s="9">
        <v>403</v>
      </c>
      <c r="G6" s="9">
        <v>385</v>
      </c>
      <c r="H6" s="9">
        <v>450</v>
      </c>
      <c r="I6" s="1"/>
      <c r="J6" s="21">
        <v>2</v>
      </c>
      <c r="K6" s="27" t="s">
        <v>31</v>
      </c>
      <c r="L6" s="27" t="s">
        <v>41</v>
      </c>
      <c r="M6" s="27" t="s">
        <v>34</v>
      </c>
      <c r="N6" s="9">
        <v>91.179285253108887</v>
      </c>
      <c r="O6" s="9">
        <v>98.869458929509122</v>
      </c>
      <c r="P6" s="9">
        <v>83.505070577198396</v>
      </c>
      <c r="Q6" s="9">
        <v>85.134375834859227</v>
      </c>
      <c r="R6" s="9">
        <v>85.249581429166696</v>
      </c>
      <c r="S6" s="1"/>
      <c r="T6" s="23">
        <v>2</v>
      </c>
      <c r="U6" s="28" t="s">
        <v>31</v>
      </c>
      <c r="V6" s="28" t="s">
        <v>41</v>
      </c>
      <c r="W6" s="28" t="s">
        <v>34</v>
      </c>
      <c r="X6" s="28" t="s">
        <v>42</v>
      </c>
      <c r="Y6" s="11">
        <v>209664</v>
      </c>
      <c r="Z6" s="9">
        <v>180090</v>
      </c>
      <c r="AA6" s="9">
        <v>240720</v>
      </c>
      <c r="AB6" s="9">
        <v>218124</v>
      </c>
      <c r="AC6" s="9">
        <v>207988</v>
      </c>
      <c r="AD6" s="1"/>
      <c r="AE6" s="48" t="s">
        <v>4</v>
      </c>
      <c r="AF6" s="29">
        <v>485</v>
      </c>
      <c r="AG6" s="29">
        <v>800</v>
      </c>
      <c r="AH6" s="48" t="s">
        <v>4</v>
      </c>
      <c r="AI6" s="29">
        <v>483</v>
      </c>
      <c r="AJ6" s="29">
        <v>749</v>
      </c>
      <c r="AK6" s="48" t="s">
        <v>4</v>
      </c>
      <c r="AL6" s="29">
        <v>457</v>
      </c>
      <c r="AM6" s="29">
        <v>708</v>
      </c>
      <c r="AN6" s="48" t="s">
        <v>4</v>
      </c>
      <c r="AO6" s="29">
        <v>488</v>
      </c>
      <c r="AP6" s="29">
        <v>741</v>
      </c>
      <c r="AQ6" s="48" t="s">
        <v>4</v>
      </c>
      <c r="AR6" s="29">
        <v>496</v>
      </c>
      <c r="AS6" s="29">
        <v>773</v>
      </c>
    </row>
    <row r="7" spans="1:45" ht="15.5">
      <c r="A7" s="24">
        <v>3</v>
      </c>
      <c r="B7" s="19" t="s">
        <v>31</v>
      </c>
      <c r="C7" s="19" t="s">
        <v>34</v>
      </c>
      <c r="D7" s="11">
        <v>672</v>
      </c>
      <c r="E7" s="9">
        <v>690</v>
      </c>
      <c r="F7" s="9">
        <v>680</v>
      </c>
      <c r="G7" s="9">
        <v>657</v>
      </c>
      <c r="H7" s="9">
        <v>638</v>
      </c>
      <c r="I7" s="1"/>
      <c r="J7" s="21">
        <v>3</v>
      </c>
      <c r="K7" s="27" t="s">
        <v>31</v>
      </c>
      <c r="L7" s="27" t="s">
        <v>44</v>
      </c>
      <c r="M7" s="27" t="s">
        <v>37</v>
      </c>
      <c r="N7" s="9">
        <v>48.208088211852605</v>
      </c>
      <c r="O7" s="9">
        <v>53.224628535862045</v>
      </c>
      <c r="P7" s="9">
        <v>34.332789792576612</v>
      </c>
      <c r="Q7" s="9">
        <v>36.042540078965438</v>
      </c>
      <c r="R7" s="9">
        <v>45.010560283630731</v>
      </c>
      <c r="S7" s="1"/>
      <c r="T7" s="23">
        <v>3</v>
      </c>
      <c r="U7" s="28" t="s">
        <v>41</v>
      </c>
      <c r="V7" s="28" t="s">
        <v>39</v>
      </c>
      <c r="W7" s="28" t="s">
        <v>34</v>
      </c>
      <c r="X7" s="28" t="s">
        <v>42</v>
      </c>
      <c r="Y7" s="11">
        <v>82638</v>
      </c>
      <c r="Z7" s="9">
        <v>56907.5</v>
      </c>
      <c r="AA7" s="9">
        <v>78408</v>
      </c>
      <c r="AB7" s="9">
        <v>74808</v>
      </c>
      <c r="AC7" s="9">
        <v>75046</v>
      </c>
      <c r="AD7" s="1"/>
      <c r="AE7" s="48" t="s">
        <v>5</v>
      </c>
      <c r="AF7" s="29">
        <v>600</v>
      </c>
      <c r="AG7" s="29">
        <v>844</v>
      </c>
      <c r="AH7" s="48" t="s">
        <v>5</v>
      </c>
      <c r="AI7" s="29">
        <v>600</v>
      </c>
      <c r="AJ7" s="29">
        <v>798</v>
      </c>
      <c r="AK7" s="48" t="s">
        <v>5</v>
      </c>
      <c r="AL7" s="29">
        <v>600</v>
      </c>
      <c r="AM7" s="29">
        <v>753</v>
      </c>
      <c r="AN7" s="48" t="s">
        <v>5</v>
      </c>
      <c r="AO7" s="29">
        <v>600</v>
      </c>
      <c r="AP7" s="29">
        <v>793</v>
      </c>
      <c r="AQ7" s="48" t="s">
        <v>5</v>
      </c>
      <c r="AR7" s="29">
        <v>600</v>
      </c>
      <c r="AS7" s="29">
        <v>857</v>
      </c>
    </row>
    <row r="8" spans="1:45" ht="15.5">
      <c r="A8" s="24">
        <v>4</v>
      </c>
      <c r="B8" s="19" t="s">
        <v>35</v>
      </c>
      <c r="C8" s="19" t="s">
        <v>38</v>
      </c>
      <c r="D8" s="11">
        <v>230</v>
      </c>
      <c r="E8" s="9">
        <v>234</v>
      </c>
      <c r="F8" s="9">
        <v>286</v>
      </c>
      <c r="G8" s="9">
        <v>224</v>
      </c>
      <c r="H8" s="9">
        <v>208</v>
      </c>
      <c r="I8" s="1"/>
      <c r="J8" s="21">
        <v>4</v>
      </c>
      <c r="K8" s="27" t="s">
        <v>35</v>
      </c>
      <c r="L8" s="27" t="s">
        <v>37</v>
      </c>
      <c r="M8" s="27" t="s">
        <v>38</v>
      </c>
      <c r="N8" s="9">
        <v>138.12542945145071</v>
      </c>
      <c r="O8" s="9">
        <v>134.55179569651793</v>
      </c>
      <c r="P8" s="9">
        <v>145.06395349744454</v>
      </c>
      <c r="Q8" s="9">
        <v>130.19046238380966</v>
      </c>
      <c r="R8" s="9">
        <v>102.14491281441541</v>
      </c>
      <c r="S8" s="1"/>
      <c r="T8" s="23">
        <v>4</v>
      </c>
      <c r="U8" s="28" t="s">
        <v>46</v>
      </c>
      <c r="V8" s="28" t="s">
        <v>43</v>
      </c>
      <c r="W8" s="28" t="s">
        <v>33</v>
      </c>
      <c r="X8" s="28" t="s">
        <v>47</v>
      </c>
      <c r="Y8" s="11">
        <v>408568.5</v>
      </c>
      <c r="Z8" s="9">
        <v>311912.5</v>
      </c>
      <c r="AA8" s="9">
        <v>344970.5</v>
      </c>
      <c r="AB8" s="9">
        <v>403593</v>
      </c>
      <c r="AC8" s="9">
        <v>437506</v>
      </c>
      <c r="AD8" s="1"/>
      <c r="AE8" s="48" t="s">
        <v>6</v>
      </c>
      <c r="AF8" s="29">
        <f>AF7+(AF7-AF6)</f>
        <v>715</v>
      </c>
      <c r="AG8" s="29">
        <f>AG6</f>
        <v>800</v>
      </c>
      <c r="AH8" s="48" t="s">
        <v>6</v>
      </c>
      <c r="AI8" s="29">
        <f>AI7+(AI7-AI6)</f>
        <v>717</v>
      </c>
      <c r="AJ8" s="29">
        <f>AJ6</f>
        <v>749</v>
      </c>
      <c r="AK8" s="48" t="s">
        <v>6</v>
      </c>
      <c r="AL8" s="29">
        <f t="shared" ref="AL8" si="0">AL7+(AL7-AL6)</f>
        <v>743</v>
      </c>
      <c r="AM8" s="29">
        <f t="shared" ref="AM8" si="1">AM6</f>
        <v>708</v>
      </c>
      <c r="AN8" s="48" t="s">
        <v>6</v>
      </c>
      <c r="AO8" s="29">
        <f t="shared" ref="AO8" si="2">AO7+(AO7-AO6)</f>
        <v>712</v>
      </c>
      <c r="AP8" s="29">
        <f t="shared" ref="AP8" si="3">AP6</f>
        <v>741</v>
      </c>
      <c r="AQ8" s="48" t="s">
        <v>6</v>
      </c>
      <c r="AR8" s="29">
        <f t="shared" ref="AR8" si="4">AR7+(AR7-AR6)</f>
        <v>704</v>
      </c>
      <c r="AS8" s="29">
        <f t="shared" ref="AS8" si="5">AS6</f>
        <v>773</v>
      </c>
    </row>
    <row r="9" spans="1:45" ht="15.5">
      <c r="A9" s="24">
        <v>5</v>
      </c>
      <c r="B9" s="19" t="s">
        <v>36</v>
      </c>
      <c r="C9" s="19" t="s">
        <v>33</v>
      </c>
      <c r="D9" s="11">
        <v>100</v>
      </c>
      <c r="E9" s="9">
        <v>104</v>
      </c>
      <c r="F9" s="9">
        <v>150</v>
      </c>
      <c r="G9" s="9">
        <v>115</v>
      </c>
      <c r="H9" s="9">
        <v>135</v>
      </c>
      <c r="I9" s="1"/>
      <c r="J9" s="21">
        <v>5</v>
      </c>
      <c r="K9" s="27" t="s">
        <v>39</v>
      </c>
      <c r="L9" s="27" t="s">
        <v>34</v>
      </c>
      <c r="M9" s="27" t="s">
        <v>61</v>
      </c>
      <c r="N9" s="9">
        <v>153.88950555240677</v>
      </c>
      <c r="O9" s="9">
        <v>150.0665608719903</v>
      </c>
      <c r="P9" s="9">
        <v>145.41510120024464</v>
      </c>
      <c r="Q9" s="9">
        <v>157.38013505195957</v>
      </c>
      <c r="R9" s="9">
        <v>156.99036934748233</v>
      </c>
      <c r="S9" s="1"/>
      <c r="T9" s="23">
        <v>5</v>
      </c>
      <c r="U9" s="28" t="s">
        <v>48</v>
      </c>
      <c r="V9" s="28" t="s">
        <v>43</v>
      </c>
      <c r="W9" s="28" t="s">
        <v>34</v>
      </c>
      <c r="X9" s="28" t="s">
        <v>44</v>
      </c>
      <c r="Y9" s="11">
        <v>352836</v>
      </c>
      <c r="Z9" s="9">
        <v>303240</v>
      </c>
      <c r="AA9" s="9">
        <v>475020</v>
      </c>
      <c r="AB9" s="9">
        <v>475272</v>
      </c>
      <c r="AC9" s="9">
        <v>359671</v>
      </c>
      <c r="AD9" s="1"/>
      <c r="AE9" s="48" t="s">
        <v>77</v>
      </c>
      <c r="AF9" s="29">
        <v>600</v>
      </c>
      <c r="AG9" s="29">
        <v>944</v>
      </c>
      <c r="AH9" s="48" t="s">
        <v>77</v>
      </c>
      <c r="AI9" s="29">
        <v>600</v>
      </c>
      <c r="AJ9" s="29">
        <v>902</v>
      </c>
      <c r="AK9" s="48" t="s">
        <v>77</v>
      </c>
      <c r="AL9" s="29">
        <v>600</v>
      </c>
      <c r="AM9" s="29">
        <v>903</v>
      </c>
      <c r="AN9" s="48" t="s">
        <v>77</v>
      </c>
      <c r="AO9" s="29">
        <v>600</v>
      </c>
      <c r="AP9" s="29">
        <v>908</v>
      </c>
      <c r="AQ9" s="48" t="s">
        <v>77</v>
      </c>
      <c r="AR9" s="29">
        <v>600</v>
      </c>
      <c r="AS9" s="29">
        <v>992</v>
      </c>
    </row>
    <row r="10" spans="1:45" ht="15.5">
      <c r="A10" s="24">
        <v>6</v>
      </c>
      <c r="B10" s="19" t="s">
        <v>37</v>
      </c>
      <c r="C10" s="19" t="s">
        <v>34</v>
      </c>
      <c r="D10" s="11">
        <v>336</v>
      </c>
      <c r="E10" s="9">
        <v>382</v>
      </c>
      <c r="F10" s="9">
        <v>427</v>
      </c>
      <c r="G10" s="9">
        <v>387</v>
      </c>
      <c r="H10" s="9">
        <v>323</v>
      </c>
      <c r="I10" s="1"/>
      <c r="J10" s="21">
        <v>6</v>
      </c>
      <c r="K10" s="27" t="s">
        <v>40</v>
      </c>
      <c r="L10" s="27" t="s">
        <v>34</v>
      </c>
      <c r="M10" s="27" t="s">
        <v>62</v>
      </c>
      <c r="N10" s="9">
        <v>13.055247223796613</v>
      </c>
      <c r="O10" s="9">
        <v>14.966719564004837</v>
      </c>
      <c r="P10" s="9">
        <v>17.292449399877739</v>
      </c>
      <c r="Q10" s="9">
        <v>11.309932474020156</v>
      </c>
      <c r="R10" s="9">
        <v>11.504815326258846</v>
      </c>
      <c r="S10" s="1"/>
      <c r="T10" s="23">
        <v>6</v>
      </c>
      <c r="U10" s="28" t="s">
        <v>52</v>
      </c>
      <c r="V10" s="28" t="s">
        <v>53</v>
      </c>
      <c r="W10" s="28" t="s">
        <v>54</v>
      </c>
      <c r="X10" s="28" t="s">
        <v>50</v>
      </c>
      <c r="Y10" s="11">
        <v>5580</v>
      </c>
      <c r="Z10" s="9">
        <v>4818.5</v>
      </c>
      <c r="AA10" s="9">
        <v>596.5</v>
      </c>
      <c r="AB10" s="9">
        <v>5294.5</v>
      </c>
      <c r="AC10" s="9">
        <v>6580</v>
      </c>
      <c r="AD10" s="1"/>
      <c r="AE10" s="48" t="s">
        <v>8</v>
      </c>
      <c r="AF10" s="29">
        <v>462</v>
      </c>
      <c r="AG10" s="29">
        <v>1148</v>
      </c>
      <c r="AH10" s="48" t="s">
        <v>8</v>
      </c>
      <c r="AI10" s="29">
        <v>499</v>
      </c>
      <c r="AJ10" s="29">
        <v>1153</v>
      </c>
      <c r="AK10" s="48" t="s">
        <v>8</v>
      </c>
      <c r="AL10" s="29">
        <v>494</v>
      </c>
      <c r="AM10" s="29">
        <v>1147</v>
      </c>
      <c r="AN10" s="48" t="s">
        <v>8</v>
      </c>
      <c r="AO10" s="29">
        <v>480</v>
      </c>
      <c r="AP10" s="29">
        <v>1156</v>
      </c>
      <c r="AQ10" s="48" t="s">
        <v>8</v>
      </c>
      <c r="AR10" s="29">
        <v>487</v>
      </c>
      <c r="AS10" s="29">
        <v>1157</v>
      </c>
    </row>
    <row r="11" spans="1:45" ht="15.5">
      <c r="A11" s="24">
        <v>7</v>
      </c>
      <c r="B11" s="19" t="s">
        <v>39</v>
      </c>
      <c r="C11" s="19" t="s">
        <v>40</v>
      </c>
      <c r="D11" s="11">
        <v>276</v>
      </c>
      <c r="E11" s="9">
        <v>202</v>
      </c>
      <c r="F11" s="9">
        <v>212</v>
      </c>
      <c r="G11" s="9">
        <v>240</v>
      </c>
      <c r="H11" s="9">
        <v>226</v>
      </c>
      <c r="I11" s="1"/>
      <c r="J11" s="21">
        <v>7</v>
      </c>
      <c r="K11" s="27" t="s">
        <v>41</v>
      </c>
      <c r="L11" s="27" t="s">
        <v>34</v>
      </c>
      <c r="M11" s="27" t="s">
        <v>62</v>
      </c>
      <c r="N11" s="9">
        <v>143.60312177869838</v>
      </c>
      <c r="O11" s="9">
        <v>143.37676162776401</v>
      </c>
      <c r="P11" s="9">
        <v>149.68321975239601</v>
      </c>
      <c r="Q11" s="9">
        <v>148.80837811355048</v>
      </c>
      <c r="R11" s="9">
        <v>147.71113256552945</v>
      </c>
      <c r="S11" s="1"/>
      <c r="T11" s="23">
        <v>7</v>
      </c>
      <c r="U11" s="40" t="s">
        <v>76</v>
      </c>
      <c r="V11" s="40" t="s">
        <v>73</v>
      </c>
      <c r="W11" s="40" t="s">
        <v>75</v>
      </c>
      <c r="X11" s="40" t="s">
        <v>74</v>
      </c>
      <c r="Y11" s="11">
        <v>4144</v>
      </c>
      <c r="Z11" s="9">
        <v>5619.5</v>
      </c>
      <c r="AA11" s="9">
        <v>3723.5</v>
      </c>
      <c r="AB11" s="9">
        <v>4805</v>
      </c>
      <c r="AC11" s="9">
        <v>5452</v>
      </c>
      <c r="AD11" s="1"/>
      <c r="AE11" s="48" t="s">
        <v>9</v>
      </c>
      <c r="AF11" s="29">
        <v>600</v>
      </c>
      <c r="AG11" s="29">
        <v>1180</v>
      </c>
      <c r="AH11" s="48" t="s">
        <v>9</v>
      </c>
      <c r="AI11" s="29">
        <v>600</v>
      </c>
      <c r="AJ11" s="29">
        <v>1180</v>
      </c>
      <c r="AK11" s="48" t="s">
        <v>9</v>
      </c>
      <c r="AL11" s="29">
        <v>600</v>
      </c>
      <c r="AM11" s="29">
        <v>1180</v>
      </c>
      <c r="AN11" s="48" t="s">
        <v>9</v>
      </c>
      <c r="AO11" s="29">
        <v>600</v>
      </c>
      <c r="AP11" s="29">
        <v>1180</v>
      </c>
      <c r="AQ11" s="48" t="s">
        <v>9</v>
      </c>
      <c r="AR11" s="29">
        <v>600</v>
      </c>
      <c r="AS11" s="29">
        <v>1180</v>
      </c>
    </row>
    <row r="12" spans="1:45" ht="15.5">
      <c r="A12" s="24">
        <v>8</v>
      </c>
      <c r="B12" s="19" t="s">
        <v>41</v>
      </c>
      <c r="C12" s="19" t="s">
        <v>42</v>
      </c>
      <c r="D12" s="11">
        <v>624</v>
      </c>
      <c r="E12" s="9">
        <v>522</v>
      </c>
      <c r="F12" s="9">
        <v>708</v>
      </c>
      <c r="G12" s="9">
        <v>664</v>
      </c>
      <c r="H12" s="9">
        <v>652</v>
      </c>
      <c r="I12" s="1"/>
      <c r="J12" s="21">
        <v>8</v>
      </c>
      <c r="K12" s="27" t="s">
        <v>42</v>
      </c>
      <c r="L12" s="27" t="s">
        <v>34</v>
      </c>
      <c r="M12" s="27" t="s">
        <v>62</v>
      </c>
      <c r="N12" s="9">
        <v>36.396878221301613</v>
      </c>
      <c r="O12" s="9">
        <v>36.623238372235996</v>
      </c>
      <c r="P12" s="9">
        <v>30.316780247603969</v>
      </c>
      <c r="Q12" s="9">
        <v>31.191621886449525</v>
      </c>
      <c r="R12" s="9">
        <v>32.288867434470511</v>
      </c>
      <c r="S12" s="1"/>
      <c r="T12" s="23">
        <v>8</v>
      </c>
      <c r="U12" s="28"/>
      <c r="V12" s="28"/>
      <c r="W12" s="28"/>
      <c r="X12" s="28"/>
      <c r="Y12" s="11"/>
      <c r="Z12" s="9"/>
      <c r="AA12" s="9"/>
      <c r="AB12" s="9"/>
      <c r="AC12" s="9"/>
      <c r="AD12" s="1"/>
      <c r="AE12" s="48" t="s">
        <v>10</v>
      </c>
      <c r="AF12" s="29">
        <f>AF11+(AF11-AF10)</f>
        <v>738</v>
      </c>
      <c r="AG12" s="29">
        <f>AG10</f>
        <v>1148</v>
      </c>
      <c r="AH12" s="48" t="s">
        <v>10</v>
      </c>
      <c r="AI12" s="29">
        <f>AI11+(AI11-AI10)</f>
        <v>701</v>
      </c>
      <c r="AJ12" s="29">
        <f>AJ10</f>
        <v>1153</v>
      </c>
      <c r="AK12" s="48" t="s">
        <v>10</v>
      </c>
      <c r="AL12" s="29">
        <f t="shared" ref="AL12" si="6">AL11+(AL11-AL10)</f>
        <v>706</v>
      </c>
      <c r="AM12" s="29">
        <f t="shared" ref="AM12" si="7">AM10</f>
        <v>1147</v>
      </c>
      <c r="AN12" s="48" t="s">
        <v>10</v>
      </c>
      <c r="AO12" s="29">
        <f t="shared" ref="AO12" si="8">AO11+(AO11-AO10)</f>
        <v>720</v>
      </c>
      <c r="AP12" s="29">
        <f t="shared" ref="AP12" si="9">AP10</f>
        <v>1156</v>
      </c>
      <c r="AQ12" s="48" t="s">
        <v>10</v>
      </c>
      <c r="AR12" s="29">
        <f t="shared" ref="AR12" si="10">AR11+(AR11-AR10)</f>
        <v>713</v>
      </c>
      <c r="AS12" s="29">
        <f t="shared" ref="AS12" si="11">AS10</f>
        <v>1157</v>
      </c>
    </row>
    <row r="13" spans="1:45" ht="15.5">
      <c r="A13" s="24">
        <v>9</v>
      </c>
      <c r="B13" s="19" t="s">
        <v>43</v>
      </c>
      <c r="C13" s="19" t="s">
        <v>44</v>
      </c>
      <c r="D13" s="11">
        <v>726</v>
      </c>
      <c r="E13" s="9">
        <v>570</v>
      </c>
      <c r="F13" s="9">
        <v>812</v>
      </c>
      <c r="G13" s="9">
        <v>828</v>
      </c>
      <c r="H13" s="9">
        <v>758</v>
      </c>
      <c r="I13" s="1"/>
      <c r="J13" s="21">
        <v>9</v>
      </c>
      <c r="K13" s="27" t="s">
        <v>43</v>
      </c>
      <c r="L13" s="27" t="s">
        <v>41</v>
      </c>
      <c r="M13" s="27" t="s">
        <v>34</v>
      </c>
      <c r="N13" s="9">
        <v>140.70243006792359</v>
      </c>
      <c r="O13" s="9">
        <v>132.06357040324147</v>
      </c>
      <c r="P13" s="9">
        <v>129.93035812197752</v>
      </c>
      <c r="Q13" s="9">
        <v>136.47905631056628</v>
      </c>
      <c r="R13" s="9">
        <v>134.16606631834867</v>
      </c>
      <c r="S13" s="1"/>
      <c r="T13" s="23">
        <v>9</v>
      </c>
      <c r="U13" s="28"/>
      <c r="V13" s="28"/>
      <c r="W13" s="28"/>
      <c r="X13" s="28"/>
      <c r="Y13" s="11"/>
      <c r="Z13" s="9"/>
      <c r="AA13" s="9"/>
      <c r="AB13" s="9"/>
      <c r="AC13" s="9"/>
      <c r="AD13" s="1"/>
      <c r="AE13" s="48" t="s">
        <v>11</v>
      </c>
      <c r="AF13" s="29">
        <v>288</v>
      </c>
      <c r="AG13" s="29">
        <v>950</v>
      </c>
      <c r="AH13" s="48" t="s">
        <v>11</v>
      </c>
      <c r="AI13" s="29">
        <v>339</v>
      </c>
      <c r="AJ13" s="29">
        <v>986</v>
      </c>
      <c r="AK13" s="48" t="s">
        <v>11</v>
      </c>
      <c r="AL13" s="29">
        <v>246</v>
      </c>
      <c r="AM13" s="29">
        <v>973</v>
      </c>
      <c r="AN13" s="48" t="s">
        <v>11</v>
      </c>
      <c r="AO13" s="29">
        <v>268</v>
      </c>
      <c r="AP13" s="29">
        <v>979</v>
      </c>
      <c r="AQ13" s="48" t="s">
        <v>11</v>
      </c>
      <c r="AR13" s="29">
        <v>274</v>
      </c>
      <c r="AS13" s="29">
        <v>974</v>
      </c>
    </row>
    <row r="14" spans="1:45" ht="15.5">
      <c r="A14" s="24">
        <v>10</v>
      </c>
      <c r="B14" s="19" t="s">
        <v>45</v>
      </c>
      <c r="C14" s="19" t="s">
        <v>43</v>
      </c>
      <c r="D14" s="11">
        <v>94.339811320566042</v>
      </c>
      <c r="E14" s="9">
        <v>69.892775020026207</v>
      </c>
      <c r="F14" s="9">
        <v>55.542776307995261</v>
      </c>
      <c r="G14" s="9">
        <v>94</v>
      </c>
      <c r="H14" s="9">
        <v>97.185389848474657</v>
      </c>
      <c r="I14" s="1"/>
      <c r="J14" s="21">
        <v>10</v>
      </c>
      <c r="K14" s="27" t="s">
        <v>44</v>
      </c>
      <c r="L14" s="27" t="s">
        <v>32</v>
      </c>
      <c r="M14" s="27" t="s">
        <v>62</v>
      </c>
      <c r="N14" s="9">
        <v>44.602177244648033</v>
      </c>
      <c r="O14" s="9">
        <v>46.026189458297459</v>
      </c>
      <c r="P14" s="9">
        <v>48.455513738481649</v>
      </c>
      <c r="Q14" s="9">
        <v>49.108407462747856</v>
      </c>
      <c r="R14" s="9">
        <v>48.71920891295445</v>
      </c>
      <c r="S14" s="1"/>
      <c r="T14" s="23">
        <v>10</v>
      </c>
      <c r="U14" s="28"/>
      <c r="V14" s="28"/>
      <c r="W14" s="28"/>
      <c r="X14" s="28"/>
      <c r="Y14" s="11"/>
      <c r="Z14" s="9"/>
      <c r="AA14" s="9"/>
      <c r="AB14" s="9"/>
      <c r="AC14" s="9"/>
      <c r="AD14" s="1"/>
      <c r="AE14" s="48" t="s">
        <v>12</v>
      </c>
      <c r="AF14" s="29">
        <f>600+(600-AF13)</f>
        <v>912</v>
      </c>
      <c r="AG14" s="29">
        <f>AG13</f>
        <v>950</v>
      </c>
      <c r="AH14" s="48" t="s">
        <v>12</v>
      </c>
      <c r="AI14" s="29">
        <f>600+(600-AI13)</f>
        <v>861</v>
      </c>
      <c r="AJ14" s="29">
        <f>AJ13</f>
        <v>986</v>
      </c>
      <c r="AK14" s="48" t="s">
        <v>12</v>
      </c>
      <c r="AL14" s="29">
        <f t="shared" ref="AL14" si="12">600+(600-AL13)</f>
        <v>954</v>
      </c>
      <c r="AM14" s="29">
        <f t="shared" ref="AM14" si="13">AM13</f>
        <v>973</v>
      </c>
      <c r="AN14" s="48" t="s">
        <v>12</v>
      </c>
      <c r="AO14" s="29">
        <f t="shared" ref="AO14" si="14">600+(600-AO13)</f>
        <v>932</v>
      </c>
      <c r="AP14" s="29">
        <f t="shared" ref="AP14" si="15">AP13</f>
        <v>979</v>
      </c>
      <c r="AQ14" s="48" t="s">
        <v>12</v>
      </c>
      <c r="AR14" s="29">
        <f t="shared" ref="AR14" si="16">600+(600-AR13)</f>
        <v>926</v>
      </c>
      <c r="AS14" s="29">
        <f t="shared" ref="AS14" si="17">AS13</f>
        <v>974</v>
      </c>
    </row>
    <row r="15" spans="1:45" ht="15.5">
      <c r="A15" s="24">
        <v>11</v>
      </c>
      <c r="B15" s="19" t="s">
        <v>46</v>
      </c>
      <c r="C15" s="19" t="s">
        <v>47</v>
      </c>
      <c r="D15" s="11">
        <v>720</v>
      </c>
      <c r="E15" s="9">
        <v>554</v>
      </c>
      <c r="F15" s="9">
        <v>654</v>
      </c>
      <c r="G15" s="9">
        <v>680</v>
      </c>
      <c r="H15" s="9">
        <v>718</v>
      </c>
      <c r="I15" s="1"/>
      <c r="J15" s="21">
        <v>11</v>
      </c>
      <c r="K15" s="27" t="s">
        <v>44</v>
      </c>
      <c r="L15" s="27" t="s">
        <v>33</v>
      </c>
      <c r="M15" s="27" t="s">
        <v>62</v>
      </c>
      <c r="N15" s="9">
        <v>50.262856768552204</v>
      </c>
      <c r="O15" s="9">
        <v>56.127112835592726</v>
      </c>
      <c r="P15" s="9">
        <v>55.802480378884781</v>
      </c>
      <c r="Q15" s="9">
        <v>54.073698348599272</v>
      </c>
      <c r="R15" s="9">
        <v>53.425587869812659</v>
      </c>
      <c r="S15" s="1"/>
      <c r="T15" s="23">
        <v>11</v>
      </c>
      <c r="U15" s="28"/>
      <c r="V15" s="28"/>
      <c r="W15" s="28"/>
      <c r="X15" s="28"/>
      <c r="Y15" s="11"/>
      <c r="Z15" s="9"/>
      <c r="AA15" s="9"/>
      <c r="AB15" s="9"/>
      <c r="AC15" s="9"/>
      <c r="AD15" s="1"/>
      <c r="AE15" s="48" t="s">
        <v>13</v>
      </c>
      <c r="AF15" s="29">
        <v>237</v>
      </c>
      <c r="AG15" s="29">
        <v>750</v>
      </c>
      <c r="AH15" s="48" t="s">
        <v>13</v>
      </c>
      <c r="AI15" s="29">
        <v>315</v>
      </c>
      <c r="AJ15" s="29">
        <v>734</v>
      </c>
      <c r="AK15" s="48" t="s">
        <v>13</v>
      </c>
      <c r="AL15" s="29">
        <v>194</v>
      </c>
      <c r="AM15" s="29">
        <v>666</v>
      </c>
      <c r="AN15" s="48" t="s">
        <v>13</v>
      </c>
      <c r="AO15" s="29">
        <v>186</v>
      </c>
      <c r="AP15" s="29">
        <v>679</v>
      </c>
      <c r="AQ15" s="48" t="s">
        <v>13</v>
      </c>
      <c r="AR15" s="29">
        <v>221</v>
      </c>
      <c r="AS15" s="29">
        <v>722</v>
      </c>
    </row>
    <row r="16" spans="1:45" ht="15.5">
      <c r="A16" s="24">
        <v>12</v>
      </c>
      <c r="B16" s="19" t="s">
        <v>48</v>
      </c>
      <c r="C16" s="19" t="s">
        <v>31</v>
      </c>
      <c r="D16" s="11">
        <v>300</v>
      </c>
      <c r="E16" s="9">
        <v>374</v>
      </c>
      <c r="F16" s="9">
        <v>490</v>
      </c>
      <c r="G16" s="9">
        <v>491</v>
      </c>
      <c r="H16" s="9">
        <v>312.25790622496652</v>
      </c>
      <c r="I16" s="1"/>
      <c r="J16" s="21">
        <v>12</v>
      </c>
      <c r="K16" s="27" t="s">
        <v>47</v>
      </c>
      <c r="L16" s="27" t="s">
        <v>30</v>
      </c>
      <c r="M16" s="27" t="s">
        <v>62</v>
      </c>
      <c r="N16" s="9">
        <v>95.975737704510266</v>
      </c>
      <c r="O16" s="9">
        <v>104.3566142163462</v>
      </c>
      <c r="P16" s="9">
        <v>94.007271191232832</v>
      </c>
      <c r="Q16" s="9">
        <v>99.836250547081519</v>
      </c>
      <c r="R16" s="9">
        <v>98.258457656206417</v>
      </c>
      <c r="S16" s="1"/>
      <c r="T16" s="23">
        <v>12</v>
      </c>
      <c r="U16" s="28"/>
      <c r="V16" s="28"/>
      <c r="W16" s="28"/>
      <c r="X16" s="28"/>
      <c r="Y16" s="11"/>
      <c r="Z16" s="9"/>
      <c r="AA16" s="9"/>
      <c r="AB16" s="9"/>
      <c r="AC16" s="9"/>
      <c r="AD16" s="1"/>
      <c r="AE16" s="48" t="s">
        <v>14</v>
      </c>
      <c r="AF16" s="29">
        <f>600+(600-AF15)</f>
        <v>963</v>
      </c>
      <c r="AG16" s="29">
        <f>AG15</f>
        <v>750</v>
      </c>
      <c r="AH16" s="48" t="s">
        <v>14</v>
      </c>
      <c r="AI16" s="29">
        <f>600+(600-AI15)</f>
        <v>885</v>
      </c>
      <c r="AJ16" s="29">
        <f>AJ15</f>
        <v>734</v>
      </c>
      <c r="AK16" s="48" t="s">
        <v>14</v>
      </c>
      <c r="AL16" s="29">
        <f t="shared" ref="AL16" si="18">600+(600-AL15)</f>
        <v>1006</v>
      </c>
      <c r="AM16" s="29">
        <f t="shared" ref="AM16" si="19">AM15</f>
        <v>666</v>
      </c>
      <c r="AN16" s="48" t="s">
        <v>14</v>
      </c>
      <c r="AO16" s="29">
        <f t="shared" ref="AO16" si="20">600+(600-AO15)</f>
        <v>1014</v>
      </c>
      <c r="AP16" s="29">
        <f t="shared" ref="AP16" si="21">AP15</f>
        <v>679</v>
      </c>
      <c r="AQ16" s="48" t="s">
        <v>14</v>
      </c>
      <c r="AR16" s="29">
        <f t="shared" ref="AR16" si="22">600+(600-AR15)</f>
        <v>979</v>
      </c>
      <c r="AS16" s="29">
        <f t="shared" ref="AS16" si="23">AS15</f>
        <v>722</v>
      </c>
    </row>
    <row r="17" spans="1:45" ht="15.5">
      <c r="A17" s="24">
        <v>13</v>
      </c>
      <c r="B17" s="19" t="s">
        <v>49</v>
      </c>
      <c r="C17" s="19" t="s">
        <v>37</v>
      </c>
      <c r="D17" s="11">
        <v>636</v>
      </c>
      <c r="E17" s="9">
        <v>682</v>
      </c>
      <c r="F17" s="9">
        <v>743</v>
      </c>
      <c r="G17" s="9">
        <v>761</v>
      </c>
      <c r="H17" s="9">
        <v>626.62588519785868</v>
      </c>
      <c r="I17" s="1"/>
      <c r="J17" s="21">
        <v>13</v>
      </c>
      <c r="K17" s="27" t="s">
        <v>47</v>
      </c>
      <c r="L17" s="27" t="s">
        <v>48</v>
      </c>
      <c r="M17" s="27" t="s">
        <v>62</v>
      </c>
      <c r="N17" s="9">
        <v>72.158134627504339</v>
      </c>
      <c r="O17" s="9">
        <v>64.091634060655011</v>
      </c>
      <c r="P17" s="9">
        <v>36.30036068623059</v>
      </c>
      <c r="Q17" s="9">
        <v>52.048080131400482</v>
      </c>
      <c r="R17" s="9">
        <v>75.25367587576514</v>
      </c>
      <c r="S17" s="1"/>
      <c r="T17" s="23">
        <v>13</v>
      </c>
      <c r="U17" s="28"/>
      <c r="V17" s="28"/>
      <c r="W17" s="28"/>
      <c r="X17" s="28"/>
      <c r="Y17" s="11"/>
      <c r="Z17" s="9"/>
      <c r="AA17" s="9"/>
      <c r="AB17" s="9"/>
      <c r="AC17" s="9"/>
      <c r="AD17" s="1"/>
      <c r="AE17" s="48" t="s">
        <v>15</v>
      </c>
      <c r="AF17" s="29">
        <v>143</v>
      </c>
      <c r="AG17" s="29">
        <v>758</v>
      </c>
      <c r="AH17" s="48" t="s">
        <v>15</v>
      </c>
      <c r="AI17" s="29">
        <v>249</v>
      </c>
      <c r="AJ17" s="29">
        <v>711</v>
      </c>
      <c r="AK17" s="48" t="s">
        <v>15</v>
      </c>
      <c r="AL17" s="29">
        <v>140</v>
      </c>
      <c r="AM17" s="29">
        <v>679</v>
      </c>
      <c r="AN17" s="48" t="s">
        <v>15</v>
      </c>
      <c r="AO17" s="29">
        <v>92</v>
      </c>
      <c r="AP17" s="29">
        <v>679</v>
      </c>
      <c r="AQ17" s="48" t="s">
        <v>15</v>
      </c>
      <c r="AR17" s="29">
        <v>124</v>
      </c>
      <c r="AS17" s="29">
        <v>716</v>
      </c>
    </row>
    <row r="18" spans="1:45" ht="15.5">
      <c r="A18" s="24">
        <v>14</v>
      </c>
      <c r="B18" s="19" t="s">
        <v>49</v>
      </c>
      <c r="C18" s="19" t="s">
        <v>33</v>
      </c>
      <c r="D18" s="11">
        <v>736</v>
      </c>
      <c r="E18" s="9">
        <v>786</v>
      </c>
      <c r="F18" s="9">
        <v>893</v>
      </c>
      <c r="G18" s="9">
        <v>876</v>
      </c>
      <c r="H18" s="9">
        <v>761.51493747660652</v>
      </c>
      <c r="I18" s="1"/>
      <c r="J18" s="21">
        <v>14</v>
      </c>
      <c r="K18" s="44" t="s">
        <v>48</v>
      </c>
      <c r="L18" s="44" t="s">
        <v>78</v>
      </c>
      <c r="M18" s="44" t="s">
        <v>79</v>
      </c>
      <c r="N18" s="11">
        <v>45.221496237013461</v>
      </c>
      <c r="O18" s="9">
        <v>57.540896843085726</v>
      </c>
      <c r="P18" s="9">
        <v>49.39257429075834</v>
      </c>
      <c r="Q18" s="9">
        <v>62.478856866550302</v>
      </c>
      <c r="R18" s="9">
        <v>47.311728601033003</v>
      </c>
      <c r="S18" s="1"/>
      <c r="T18" s="23">
        <v>14</v>
      </c>
      <c r="U18" s="28"/>
      <c r="V18" s="28"/>
      <c r="W18" s="28"/>
      <c r="X18" s="28"/>
      <c r="Y18" s="11"/>
      <c r="Z18" s="9"/>
      <c r="AA18" s="9"/>
      <c r="AB18" s="9"/>
      <c r="AC18" s="9"/>
      <c r="AD18" s="1"/>
      <c r="AE18" s="48" t="s">
        <v>16</v>
      </c>
      <c r="AF18" s="29">
        <f>600+(600-AF17)</f>
        <v>1057</v>
      </c>
      <c r="AG18" s="29">
        <f>AG17</f>
        <v>758</v>
      </c>
      <c r="AH18" s="48" t="s">
        <v>16</v>
      </c>
      <c r="AI18" s="29">
        <f>600+(600-AI17)</f>
        <v>951</v>
      </c>
      <c r="AJ18" s="29">
        <f>AJ17</f>
        <v>711</v>
      </c>
      <c r="AK18" s="48" t="s">
        <v>16</v>
      </c>
      <c r="AL18" s="29">
        <f t="shared" ref="AL18" si="24">600+(600-AL17)</f>
        <v>1060</v>
      </c>
      <c r="AM18" s="29">
        <f t="shared" ref="AM18" si="25">AM17</f>
        <v>679</v>
      </c>
      <c r="AN18" s="48" t="s">
        <v>16</v>
      </c>
      <c r="AO18" s="29">
        <f t="shared" ref="AO18" si="26">600+(600-AO17)</f>
        <v>1108</v>
      </c>
      <c r="AP18" s="29">
        <f t="shared" ref="AP18" si="27">AP17</f>
        <v>679</v>
      </c>
      <c r="AQ18" s="48" t="s">
        <v>16</v>
      </c>
      <c r="AR18" s="29">
        <f t="shared" ref="AR18" si="28">600+(600-AR17)</f>
        <v>1076</v>
      </c>
      <c r="AS18" s="29">
        <f t="shared" ref="AS18" si="29">AS17</f>
        <v>716</v>
      </c>
    </row>
    <row r="19" spans="1:45" ht="15.5">
      <c r="A19" s="24">
        <v>15</v>
      </c>
      <c r="B19" s="19" t="s">
        <v>48</v>
      </c>
      <c r="C19" s="19" t="s">
        <v>34</v>
      </c>
      <c r="D19" s="11">
        <v>972</v>
      </c>
      <c r="E19" s="9">
        <v>1064</v>
      </c>
      <c r="F19" s="9">
        <v>1170</v>
      </c>
      <c r="G19" s="9">
        <v>1148</v>
      </c>
      <c r="H19" s="9">
        <v>949.41297652812818</v>
      </c>
      <c r="I19" s="1"/>
      <c r="J19" s="21">
        <v>15</v>
      </c>
      <c r="K19" s="44" t="s">
        <v>80</v>
      </c>
      <c r="L19" s="44" t="s">
        <v>78</v>
      </c>
      <c r="M19" s="44" t="s">
        <v>79</v>
      </c>
      <c r="N19" s="11">
        <v>18.544009881516928</v>
      </c>
      <c r="O19" s="9">
        <v>29.774537494869978</v>
      </c>
      <c r="P19" s="9">
        <v>14.056068286744194</v>
      </c>
      <c r="Q19" s="9">
        <v>21.202574135765733</v>
      </c>
      <c r="R19" s="9">
        <v>19.651593174609602</v>
      </c>
      <c r="S19" s="1"/>
      <c r="T19" s="23">
        <v>15</v>
      </c>
      <c r="U19" s="28"/>
      <c r="V19" s="28"/>
      <c r="W19" s="28"/>
      <c r="X19" s="28"/>
      <c r="Y19" s="11"/>
      <c r="Z19" s="9"/>
      <c r="AA19" s="9"/>
      <c r="AB19" s="9"/>
      <c r="AC19" s="9"/>
      <c r="AD19" s="1"/>
      <c r="AE19" s="48" t="s">
        <v>17</v>
      </c>
      <c r="AF19" s="29">
        <v>240</v>
      </c>
      <c r="AG19" s="29">
        <v>125</v>
      </c>
      <c r="AH19" s="48" t="s">
        <v>17</v>
      </c>
      <c r="AI19" s="29">
        <v>323</v>
      </c>
      <c r="AJ19" s="29">
        <v>103</v>
      </c>
      <c r="AK19" s="48" t="s">
        <v>17</v>
      </c>
      <c r="AL19" s="29">
        <v>273</v>
      </c>
      <c r="AM19" s="29">
        <v>179</v>
      </c>
      <c r="AN19" s="48" t="s">
        <v>17</v>
      </c>
      <c r="AO19" s="29">
        <v>260</v>
      </c>
      <c r="AP19" s="29">
        <v>99</v>
      </c>
      <c r="AQ19" s="48" t="s">
        <v>17</v>
      </c>
      <c r="AR19" s="29">
        <v>241</v>
      </c>
      <c r="AS19" s="29">
        <v>106</v>
      </c>
    </row>
    <row r="20" spans="1:45" ht="15.5">
      <c r="A20" s="24">
        <v>16</v>
      </c>
      <c r="B20" s="19" t="s">
        <v>50</v>
      </c>
      <c r="C20" s="19" t="s">
        <v>51</v>
      </c>
      <c r="D20" s="11">
        <v>72.249567472753768</v>
      </c>
      <c r="E20" s="9">
        <v>63.007936008093459</v>
      </c>
      <c r="F20" s="9">
        <v>9.8488578017961039</v>
      </c>
      <c r="G20" s="9">
        <v>61.204574992397426</v>
      </c>
      <c r="H20" s="9">
        <v>81.024687595818591</v>
      </c>
      <c r="I20" s="3"/>
      <c r="J20" s="21">
        <v>16</v>
      </c>
      <c r="K20" s="44" t="s">
        <v>48</v>
      </c>
      <c r="L20" s="44" t="s">
        <v>81</v>
      </c>
      <c r="M20" s="44" t="s">
        <v>79</v>
      </c>
      <c r="N20" s="11">
        <v>99.026048147532194</v>
      </c>
      <c r="O20" s="9">
        <v>100.53259057365221</v>
      </c>
      <c r="P20" s="9">
        <v>115.86519728910599</v>
      </c>
      <c r="Q20" s="9">
        <v>92.854167086109655</v>
      </c>
      <c r="R20" s="9">
        <v>96.23119899362743</v>
      </c>
      <c r="S20" s="1"/>
      <c r="T20" s="23">
        <v>16</v>
      </c>
      <c r="U20" s="28"/>
      <c r="V20" s="28"/>
      <c r="W20" s="28"/>
      <c r="X20" s="28"/>
      <c r="Y20" s="11"/>
      <c r="Z20" s="9"/>
      <c r="AA20" s="9"/>
      <c r="AB20" s="9"/>
      <c r="AC20" s="9"/>
      <c r="AD20" s="1"/>
      <c r="AE20" s="48" t="s">
        <v>18</v>
      </c>
      <c r="AF20" s="29">
        <v>600</v>
      </c>
      <c r="AG20" s="29">
        <v>208</v>
      </c>
      <c r="AH20" s="48" t="s">
        <v>18</v>
      </c>
      <c r="AI20" s="29">
        <v>600</v>
      </c>
      <c r="AJ20" s="29">
        <v>116</v>
      </c>
      <c r="AK20" s="48" t="s">
        <v>18</v>
      </c>
      <c r="AL20" s="29">
        <v>600</v>
      </c>
      <c r="AM20" s="29">
        <v>10</v>
      </c>
      <c r="AN20" s="48" t="s">
        <v>18</v>
      </c>
      <c r="AO20" s="29">
        <v>600</v>
      </c>
      <c r="AP20" s="29">
        <v>32</v>
      </c>
      <c r="AQ20" s="48" t="s">
        <v>18</v>
      </c>
      <c r="AR20" s="29">
        <v>572</v>
      </c>
      <c r="AS20" s="29">
        <v>231</v>
      </c>
    </row>
    <row r="21" spans="1:45" ht="15.5">
      <c r="A21" s="24">
        <v>17</v>
      </c>
      <c r="B21" s="19" t="s">
        <v>65</v>
      </c>
      <c r="C21" s="19" t="s">
        <v>66</v>
      </c>
      <c r="D21" s="11">
        <v>236</v>
      </c>
      <c r="E21" s="9">
        <v>278</v>
      </c>
      <c r="F21" s="9">
        <v>277</v>
      </c>
      <c r="G21" s="9">
        <v>272</v>
      </c>
      <c r="H21" s="9">
        <v>188</v>
      </c>
      <c r="I21" s="3"/>
      <c r="J21" s="21">
        <v>17</v>
      </c>
      <c r="K21" s="44" t="s">
        <v>80</v>
      </c>
      <c r="L21" s="44" t="s">
        <v>81</v>
      </c>
      <c r="M21" s="44" t="s">
        <v>79</v>
      </c>
      <c r="N21" s="11">
        <v>19.429755484111528</v>
      </c>
      <c r="O21" s="9">
        <v>27.519600573855996</v>
      </c>
      <c r="P21" s="9">
        <v>27.218764385322658</v>
      </c>
      <c r="Q21" s="9">
        <v>23.641604742744615</v>
      </c>
      <c r="R21" s="9">
        <v>24.522772359096134</v>
      </c>
      <c r="S21" s="1"/>
      <c r="T21" s="23">
        <v>17</v>
      </c>
      <c r="U21" s="28"/>
      <c r="V21" s="28"/>
      <c r="W21" s="28"/>
      <c r="X21" s="28"/>
      <c r="Y21" s="11"/>
      <c r="Z21" s="9"/>
      <c r="AA21" s="9"/>
      <c r="AB21" s="9"/>
      <c r="AC21" s="9"/>
      <c r="AD21" s="1"/>
      <c r="AE21" s="48" t="s">
        <v>19</v>
      </c>
      <c r="AF21" s="29">
        <f>600+(600-AF19)</f>
        <v>960</v>
      </c>
      <c r="AG21" s="29">
        <f>AG19</f>
        <v>125</v>
      </c>
      <c r="AH21" s="48" t="s">
        <v>19</v>
      </c>
      <c r="AI21" s="29">
        <f>600+(600-AI19)</f>
        <v>877</v>
      </c>
      <c r="AJ21" s="29">
        <f>AJ19</f>
        <v>103</v>
      </c>
      <c r="AK21" s="48" t="s">
        <v>19</v>
      </c>
      <c r="AL21" s="29">
        <f t="shared" ref="AL21" si="30">600+(600-AL19)</f>
        <v>927</v>
      </c>
      <c r="AM21" s="29">
        <f t="shared" ref="AM21" si="31">AM19</f>
        <v>179</v>
      </c>
      <c r="AN21" s="48" t="s">
        <v>19</v>
      </c>
      <c r="AO21" s="29">
        <f t="shared" ref="AO21" si="32">600+(600-AO19)</f>
        <v>940</v>
      </c>
      <c r="AP21" s="29">
        <f t="shared" ref="AP21" si="33">AP19</f>
        <v>99</v>
      </c>
      <c r="AQ21" s="48" t="s">
        <v>19</v>
      </c>
      <c r="AR21" s="29">
        <f t="shared" ref="AR21" si="34">600+(600-AR19)</f>
        <v>959</v>
      </c>
      <c r="AS21" s="29">
        <f t="shared" ref="AS21" si="35">AS19</f>
        <v>106</v>
      </c>
    </row>
    <row r="22" spans="1:45" ht="15.5">
      <c r="A22" s="24">
        <v>18</v>
      </c>
      <c r="B22" s="19" t="s">
        <v>76</v>
      </c>
      <c r="C22" s="19" t="s">
        <v>75</v>
      </c>
      <c r="D22" s="11">
        <v>38.052595180880893</v>
      </c>
      <c r="E22" s="9">
        <v>55.731499172371095</v>
      </c>
      <c r="F22" s="9">
        <v>35.227829907617071</v>
      </c>
      <c r="G22" s="9">
        <v>45.122056690713912</v>
      </c>
      <c r="H22" s="9">
        <v>47.381430961928537</v>
      </c>
      <c r="I22" s="3"/>
      <c r="J22" s="21">
        <v>18</v>
      </c>
      <c r="K22" s="27"/>
      <c r="L22" s="27"/>
      <c r="M22" s="27"/>
      <c r="N22" s="11"/>
      <c r="O22" s="9"/>
      <c r="P22" s="9"/>
      <c r="Q22" s="9"/>
      <c r="R22" s="9"/>
      <c r="S22" s="1"/>
      <c r="T22" s="23">
        <v>18</v>
      </c>
      <c r="U22" s="28"/>
      <c r="V22" s="28"/>
      <c r="W22" s="28"/>
      <c r="X22" s="28"/>
      <c r="Y22" s="11"/>
      <c r="Z22" s="9"/>
      <c r="AA22" s="9"/>
      <c r="AB22" s="9"/>
      <c r="AC22" s="9"/>
      <c r="AD22" s="1"/>
      <c r="AE22" s="48" t="s">
        <v>20</v>
      </c>
      <c r="AF22" s="29">
        <v>360</v>
      </c>
      <c r="AG22" s="29">
        <v>600</v>
      </c>
      <c r="AH22" s="48" t="s">
        <v>20</v>
      </c>
      <c r="AI22" s="29">
        <v>375</v>
      </c>
      <c r="AJ22" s="29">
        <v>548</v>
      </c>
      <c r="AK22" s="48" t="s">
        <v>20</v>
      </c>
      <c r="AL22" s="29">
        <v>330</v>
      </c>
      <c r="AM22" s="29">
        <v>567</v>
      </c>
      <c r="AN22" s="48" t="s">
        <v>20</v>
      </c>
      <c r="AO22" s="29">
        <v>345</v>
      </c>
      <c r="AP22" s="29">
        <v>563</v>
      </c>
      <c r="AQ22" s="48" t="s">
        <v>20</v>
      </c>
      <c r="AR22" s="29">
        <v>360</v>
      </c>
      <c r="AS22" s="29">
        <v>600</v>
      </c>
    </row>
    <row r="23" spans="1:45" ht="15.5">
      <c r="A23" s="24">
        <v>19</v>
      </c>
      <c r="B23" s="19" t="s">
        <v>73</v>
      </c>
      <c r="C23" s="19" t="s">
        <v>74</v>
      </c>
      <c r="D23" s="11">
        <v>218.00917411888886</v>
      </c>
      <c r="E23" s="9">
        <v>205.03902067655318</v>
      </c>
      <c r="F23" s="9">
        <v>211.5892246783848</v>
      </c>
      <c r="G23" s="9">
        <v>215.52262062252305</v>
      </c>
      <c r="H23" s="9">
        <v>232</v>
      </c>
      <c r="I23" s="3"/>
      <c r="J23" s="21">
        <v>19</v>
      </c>
      <c r="K23" s="27"/>
      <c r="L23" s="27"/>
      <c r="M23" s="27"/>
      <c r="N23" s="11"/>
      <c r="O23" s="9"/>
      <c r="P23" s="9"/>
      <c r="Q23" s="9"/>
      <c r="R23" s="9"/>
      <c r="S23" s="1"/>
      <c r="T23" s="23">
        <v>19</v>
      </c>
      <c r="U23" s="28"/>
      <c r="V23" s="28"/>
      <c r="W23" s="28"/>
      <c r="X23" s="28"/>
      <c r="Y23" s="11"/>
      <c r="Z23" s="9"/>
      <c r="AA23" s="9"/>
      <c r="AB23" s="9"/>
      <c r="AC23" s="9"/>
      <c r="AD23" s="1"/>
      <c r="AE23" s="48" t="s">
        <v>21</v>
      </c>
      <c r="AF23" s="29">
        <v>424</v>
      </c>
      <c r="AG23" s="29">
        <v>625</v>
      </c>
      <c r="AH23" s="49" t="s">
        <v>21</v>
      </c>
      <c r="AI23" s="30">
        <v>453</v>
      </c>
      <c r="AJ23" s="30">
        <v>578</v>
      </c>
      <c r="AK23" s="48" t="s">
        <v>21</v>
      </c>
      <c r="AL23" s="29">
        <v>399</v>
      </c>
      <c r="AM23" s="29">
        <v>537</v>
      </c>
      <c r="AN23" s="48" t="s">
        <v>21</v>
      </c>
      <c r="AO23" s="29">
        <v>433</v>
      </c>
      <c r="AP23" s="29">
        <v>589</v>
      </c>
      <c r="AQ23" s="49" t="s">
        <v>21</v>
      </c>
      <c r="AR23" s="30">
        <v>437</v>
      </c>
      <c r="AS23" s="30">
        <v>638</v>
      </c>
    </row>
    <row r="24" spans="1:45" ht="15.5">
      <c r="A24" s="24">
        <v>20</v>
      </c>
      <c r="B24" s="19"/>
      <c r="C24" s="19"/>
      <c r="D24" s="9"/>
      <c r="E24" s="9"/>
      <c r="F24" s="9"/>
      <c r="G24" s="9"/>
      <c r="H24" s="9"/>
      <c r="I24" s="3"/>
      <c r="J24" s="21">
        <v>20</v>
      </c>
      <c r="K24" s="27"/>
      <c r="L24" s="27"/>
      <c r="M24" s="27"/>
      <c r="N24" s="11"/>
      <c r="O24" s="9"/>
      <c r="P24" s="9"/>
      <c r="Q24" s="9"/>
      <c r="R24" s="9"/>
      <c r="S24" s="1"/>
      <c r="T24" s="23">
        <v>20</v>
      </c>
      <c r="U24" s="28"/>
      <c r="V24" s="28"/>
      <c r="W24" s="28"/>
      <c r="X24" s="28"/>
      <c r="Y24" s="11"/>
      <c r="Z24" s="9"/>
      <c r="AA24" s="9"/>
      <c r="AB24" s="9"/>
      <c r="AC24" s="9"/>
      <c r="AD24" s="1"/>
      <c r="AE24" s="48" t="s">
        <v>22</v>
      </c>
      <c r="AF24" s="29">
        <v>515</v>
      </c>
      <c r="AG24" s="29">
        <v>600</v>
      </c>
      <c r="AH24" s="49" t="s">
        <v>22</v>
      </c>
      <c r="AI24" s="30">
        <v>528</v>
      </c>
      <c r="AJ24" s="30">
        <v>550</v>
      </c>
      <c r="AK24" s="48" t="s">
        <v>22</v>
      </c>
      <c r="AL24" s="29">
        <v>471</v>
      </c>
      <c r="AM24" s="29">
        <v>548</v>
      </c>
      <c r="AN24" s="48" t="s">
        <v>22</v>
      </c>
      <c r="AO24" s="29">
        <v>519</v>
      </c>
      <c r="AP24" s="29">
        <v>568</v>
      </c>
      <c r="AQ24" s="49" t="s">
        <v>22</v>
      </c>
      <c r="AR24" s="30">
        <v>522</v>
      </c>
      <c r="AS24" s="30">
        <v>619</v>
      </c>
    </row>
    <row r="25" spans="1:45" ht="15.5">
      <c r="A25" s="24">
        <v>21</v>
      </c>
      <c r="B25" s="19"/>
      <c r="C25" s="19"/>
      <c r="D25" s="9"/>
      <c r="E25" s="9"/>
      <c r="F25" s="9"/>
      <c r="G25" s="9"/>
      <c r="H25" s="9"/>
      <c r="I25" s="3"/>
      <c r="J25" s="21">
        <v>21</v>
      </c>
      <c r="K25" s="27"/>
      <c r="L25" s="27"/>
      <c r="M25" s="27"/>
      <c r="N25" s="11"/>
      <c r="O25" s="9"/>
      <c r="P25" s="9"/>
      <c r="Q25" s="9"/>
      <c r="R25" s="9"/>
      <c r="S25" s="1"/>
      <c r="T25" s="23">
        <v>21</v>
      </c>
      <c r="U25" s="28"/>
      <c r="V25" s="28"/>
      <c r="W25" s="28"/>
      <c r="X25" s="28"/>
      <c r="Y25" s="11"/>
      <c r="Z25" s="9"/>
      <c r="AA25" s="9"/>
      <c r="AB25" s="9"/>
      <c r="AC25" s="9"/>
      <c r="AD25" s="1"/>
      <c r="AE25" s="48" t="s">
        <v>23</v>
      </c>
      <c r="AF25" s="29">
        <v>430</v>
      </c>
      <c r="AG25" s="29">
        <v>553</v>
      </c>
      <c r="AH25" s="49" t="s">
        <v>23</v>
      </c>
      <c r="AI25" s="30">
        <v>452</v>
      </c>
      <c r="AJ25" s="30">
        <v>515</v>
      </c>
      <c r="AK25" s="48" t="s">
        <v>23</v>
      </c>
      <c r="AL25" s="29">
        <v>403</v>
      </c>
      <c r="AM25" s="29">
        <v>528</v>
      </c>
      <c r="AN25" s="48" t="s">
        <v>23</v>
      </c>
      <c r="AO25" s="29">
        <v>428</v>
      </c>
      <c r="AP25" s="29">
        <v>528</v>
      </c>
      <c r="AQ25" s="49" t="s">
        <v>23</v>
      </c>
      <c r="AR25" s="30">
        <v>439</v>
      </c>
      <c r="AS25" s="30">
        <v>557</v>
      </c>
    </row>
    <row r="26" spans="1:45" ht="15.5">
      <c r="A26" s="24">
        <v>22</v>
      </c>
      <c r="B26" s="19"/>
      <c r="C26" s="19"/>
      <c r="D26" s="9"/>
      <c r="E26" s="9"/>
      <c r="F26" s="9"/>
      <c r="G26" s="9"/>
      <c r="H26" s="9"/>
      <c r="I26" s="3"/>
      <c r="J26" s="21">
        <v>22</v>
      </c>
      <c r="K26" s="27"/>
      <c r="L26" s="27"/>
      <c r="M26" s="27"/>
      <c r="N26" s="11"/>
      <c r="O26" s="9"/>
      <c r="P26" s="9"/>
      <c r="Q26" s="9"/>
      <c r="R26" s="9"/>
      <c r="S26" s="1"/>
      <c r="T26" s="23">
        <v>22</v>
      </c>
      <c r="U26" s="28"/>
      <c r="V26" s="28"/>
      <c r="W26" s="28"/>
      <c r="X26" s="28"/>
      <c r="Y26" s="11"/>
      <c r="Z26" s="9"/>
      <c r="AA26" s="9"/>
      <c r="AB26" s="9"/>
      <c r="AC26" s="9"/>
      <c r="AD26" s="1"/>
      <c r="AE26" s="48" t="s">
        <v>24</v>
      </c>
      <c r="AF26" s="31">
        <v>1180</v>
      </c>
      <c r="AG26" s="31">
        <v>1180</v>
      </c>
      <c r="AH26" s="49" t="s">
        <v>24</v>
      </c>
      <c r="AI26" s="30">
        <v>1180</v>
      </c>
      <c r="AJ26" s="30">
        <v>1180</v>
      </c>
      <c r="AK26" s="48" t="s">
        <v>24</v>
      </c>
      <c r="AL26" s="31">
        <v>1180</v>
      </c>
      <c r="AM26" s="31">
        <v>1180</v>
      </c>
      <c r="AN26" s="48" t="s">
        <v>24</v>
      </c>
      <c r="AO26" s="31">
        <v>1180</v>
      </c>
      <c r="AP26" s="31">
        <v>1180</v>
      </c>
      <c r="AQ26" s="49" t="s">
        <v>24</v>
      </c>
      <c r="AR26" s="30">
        <v>1180</v>
      </c>
      <c r="AS26" s="30">
        <v>1180</v>
      </c>
    </row>
    <row r="27" spans="1:45" ht="15.5">
      <c r="A27" s="24">
        <v>23</v>
      </c>
      <c r="B27" s="19"/>
      <c r="C27" s="19"/>
      <c r="D27" s="9"/>
      <c r="E27" s="9"/>
      <c r="F27" s="9"/>
      <c r="G27" s="9"/>
      <c r="H27" s="9"/>
      <c r="I27" s="1"/>
      <c r="J27" s="21">
        <v>23</v>
      </c>
      <c r="K27" s="27"/>
      <c r="L27" s="27"/>
      <c r="M27" s="27"/>
      <c r="N27" s="11"/>
      <c r="O27" s="9"/>
      <c r="P27" s="9"/>
      <c r="Q27" s="9"/>
      <c r="R27" s="9"/>
      <c r="S27" s="1"/>
      <c r="T27" s="23">
        <v>23</v>
      </c>
      <c r="U27" s="28"/>
      <c r="V27" s="28"/>
      <c r="W27" s="28"/>
      <c r="X27" s="28"/>
      <c r="Y27" s="11"/>
      <c r="Z27" s="9"/>
      <c r="AA27" s="9"/>
      <c r="AB27" s="9"/>
      <c r="AC27" s="9"/>
      <c r="AD27" s="1"/>
      <c r="AE27" s="46" t="s">
        <v>67</v>
      </c>
      <c r="AF27" s="8">
        <v>600</v>
      </c>
      <c r="AG27" s="37">
        <v>0</v>
      </c>
      <c r="AH27" s="46" t="s">
        <v>67</v>
      </c>
      <c r="AI27" s="9">
        <v>600</v>
      </c>
      <c r="AJ27" s="38">
        <v>0</v>
      </c>
      <c r="AK27" s="46" t="s">
        <v>67</v>
      </c>
      <c r="AL27" s="8">
        <v>600</v>
      </c>
      <c r="AM27" s="37">
        <v>0</v>
      </c>
      <c r="AN27" s="46" t="s">
        <v>67</v>
      </c>
      <c r="AO27" s="9">
        <v>600</v>
      </c>
      <c r="AP27" s="38">
        <v>0</v>
      </c>
      <c r="AQ27" s="46" t="s">
        <v>67</v>
      </c>
      <c r="AR27" s="8">
        <v>600</v>
      </c>
      <c r="AS27" s="37">
        <v>0</v>
      </c>
    </row>
    <row r="28" spans="1:45" ht="15.5">
      <c r="A28" s="24">
        <v>24</v>
      </c>
      <c r="B28" s="19"/>
      <c r="C28" s="19"/>
      <c r="D28" s="17"/>
      <c r="E28" s="12"/>
      <c r="F28" s="12"/>
      <c r="G28" s="12"/>
      <c r="H28" s="12"/>
      <c r="I28" s="7"/>
      <c r="J28" s="21">
        <v>24</v>
      </c>
      <c r="K28" s="27"/>
      <c r="L28" s="27"/>
      <c r="M28" s="27"/>
      <c r="N28" s="17"/>
      <c r="O28" s="12"/>
      <c r="P28" s="12"/>
      <c r="Q28" s="12"/>
      <c r="R28" s="12"/>
      <c r="S28" s="7"/>
      <c r="T28" s="23">
        <v>24</v>
      </c>
      <c r="U28" s="28"/>
      <c r="V28" s="28"/>
      <c r="W28" s="28"/>
      <c r="X28" s="28"/>
      <c r="Y28" s="17"/>
      <c r="Z28" s="12"/>
      <c r="AA28" s="12"/>
      <c r="AB28" s="12"/>
      <c r="AC28" s="12"/>
      <c r="AD28" s="7"/>
      <c r="AE28" s="46" t="s">
        <v>68</v>
      </c>
      <c r="AF28" s="8">
        <v>432</v>
      </c>
      <c r="AG28" s="37">
        <v>465</v>
      </c>
      <c r="AH28" s="46" t="s">
        <v>68</v>
      </c>
      <c r="AI28" s="9">
        <v>431</v>
      </c>
      <c r="AJ28" s="38">
        <v>439</v>
      </c>
      <c r="AK28" s="46" t="s">
        <v>68</v>
      </c>
      <c r="AL28" s="8">
        <v>414</v>
      </c>
      <c r="AM28" s="37">
        <v>447</v>
      </c>
      <c r="AN28" s="46" t="s">
        <v>68</v>
      </c>
      <c r="AO28" s="9">
        <v>437</v>
      </c>
      <c r="AP28" s="38">
        <v>465</v>
      </c>
      <c r="AQ28" s="46" t="s">
        <v>68</v>
      </c>
      <c r="AR28" s="8">
        <v>427</v>
      </c>
      <c r="AS28" s="37">
        <v>494</v>
      </c>
    </row>
    <row r="29" spans="1:45" ht="15.5">
      <c r="A29" s="24">
        <v>25</v>
      </c>
      <c r="B29" s="19"/>
      <c r="C29" s="19"/>
      <c r="D29" s="18"/>
      <c r="E29" s="13"/>
      <c r="F29" s="9"/>
      <c r="G29" s="9"/>
      <c r="H29" s="9"/>
      <c r="I29" s="1"/>
      <c r="J29" s="21">
        <v>25</v>
      </c>
      <c r="K29" s="27"/>
      <c r="L29" s="27"/>
      <c r="M29" s="27"/>
      <c r="N29" s="11"/>
      <c r="O29" s="9"/>
      <c r="P29" s="9"/>
      <c r="Q29" s="9"/>
      <c r="R29" s="9"/>
      <c r="S29" s="1"/>
      <c r="T29" s="23">
        <v>25</v>
      </c>
      <c r="U29" s="28"/>
      <c r="V29" s="28"/>
      <c r="W29" s="28"/>
      <c r="X29" s="28"/>
      <c r="Y29" s="11"/>
      <c r="Z29" s="9"/>
      <c r="AA29" s="9"/>
      <c r="AB29" s="9"/>
      <c r="AC29" s="9"/>
      <c r="AD29" s="1"/>
      <c r="AE29" s="46" t="s">
        <v>69</v>
      </c>
      <c r="AF29" s="8">
        <v>320</v>
      </c>
      <c r="AG29" s="37">
        <v>506</v>
      </c>
      <c r="AH29" s="46" t="s">
        <v>69</v>
      </c>
      <c r="AI29" s="9">
        <v>333</v>
      </c>
      <c r="AJ29" s="38">
        <v>488</v>
      </c>
      <c r="AK29" s="46" t="s">
        <v>69</v>
      </c>
      <c r="AL29" s="8">
        <v>279</v>
      </c>
      <c r="AM29" s="37">
        <v>500</v>
      </c>
      <c r="AN29" s="46" t="s">
        <v>69</v>
      </c>
      <c r="AO29" s="9">
        <v>320</v>
      </c>
      <c r="AP29" s="38">
        <v>503</v>
      </c>
      <c r="AQ29" s="46" t="s">
        <v>69</v>
      </c>
      <c r="AR29" s="8">
        <v>297</v>
      </c>
      <c r="AS29" s="37">
        <v>544</v>
      </c>
    </row>
    <row r="30" spans="1:45" ht="15.5">
      <c r="A30" s="24">
        <v>26</v>
      </c>
      <c r="B30" s="19"/>
      <c r="C30" s="19"/>
      <c r="D30" s="11"/>
      <c r="E30" s="9"/>
      <c r="F30" s="9"/>
      <c r="G30" s="9"/>
      <c r="H30" s="9"/>
      <c r="I30" s="1"/>
      <c r="J30" s="21">
        <v>26</v>
      </c>
      <c r="K30" s="27"/>
      <c r="L30" s="27"/>
      <c r="M30" s="27"/>
      <c r="N30" s="11"/>
      <c r="O30" s="9"/>
      <c r="P30" s="9"/>
      <c r="Q30" s="9"/>
      <c r="R30" s="9"/>
      <c r="S30" s="1"/>
      <c r="T30" s="23">
        <v>26</v>
      </c>
      <c r="U30" s="28"/>
      <c r="V30" s="28"/>
      <c r="W30" s="28"/>
      <c r="X30" s="28"/>
      <c r="Y30" s="11"/>
      <c r="Z30" s="9"/>
      <c r="AA30" s="9"/>
      <c r="AB30" s="9"/>
      <c r="AC30" s="9"/>
      <c r="AD30" s="1"/>
      <c r="AE30" s="46" t="s">
        <v>70</v>
      </c>
      <c r="AF30" s="8">
        <v>538</v>
      </c>
      <c r="AG30" s="37">
        <v>508</v>
      </c>
      <c r="AH30" s="46" t="s">
        <v>70</v>
      </c>
      <c r="AI30" s="9">
        <v>538</v>
      </c>
      <c r="AJ30" s="38">
        <v>492</v>
      </c>
      <c r="AK30" s="46" t="s">
        <v>70</v>
      </c>
      <c r="AL30" s="8">
        <v>488</v>
      </c>
      <c r="AM30" s="37">
        <v>467</v>
      </c>
      <c r="AN30" s="46" t="s">
        <v>70</v>
      </c>
      <c r="AO30" s="9">
        <v>535</v>
      </c>
      <c r="AP30" s="38">
        <v>518</v>
      </c>
      <c r="AQ30" s="46" t="s">
        <v>70</v>
      </c>
      <c r="AR30" s="8">
        <v>529</v>
      </c>
      <c r="AS30" s="37">
        <v>544</v>
      </c>
    </row>
    <row r="31" spans="1:45" ht="15.5">
      <c r="A31" s="24">
        <v>27</v>
      </c>
      <c r="B31" s="19"/>
      <c r="C31" s="19"/>
      <c r="D31" s="11"/>
      <c r="E31" s="9"/>
      <c r="F31" s="9"/>
      <c r="G31" s="9"/>
      <c r="H31" s="9"/>
      <c r="I31" s="1"/>
      <c r="J31" s="21">
        <v>27</v>
      </c>
      <c r="K31" s="27"/>
      <c r="L31" s="27"/>
      <c r="M31" s="27"/>
      <c r="N31" s="11"/>
      <c r="O31" s="9"/>
      <c r="P31" s="9"/>
      <c r="Q31" s="9"/>
      <c r="R31" s="9"/>
      <c r="S31" s="1"/>
      <c r="T31" s="23">
        <v>27</v>
      </c>
      <c r="U31" s="28"/>
      <c r="V31" s="28"/>
      <c r="W31" s="28"/>
      <c r="X31" s="28"/>
      <c r="Y31" s="11"/>
      <c r="Z31" s="9"/>
      <c r="AA31" s="9"/>
      <c r="AB31" s="9"/>
      <c r="AC31" s="9"/>
      <c r="AD31" s="1"/>
      <c r="AE31" s="46" t="s">
        <v>71</v>
      </c>
      <c r="AF31" s="8">
        <v>430</v>
      </c>
      <c r="AG31" s="37">
        <v>503</v>
      </c>
      <c r="AH31" s="46" t="s">
        <v>71</v>
      </c>
      <c r="AI31" s="9">
        <v>440</v>
      </c>
      <c r="AJ31" s="38">
        <v>494</v>
      </c>
      <c r="AK31" s="46" t="s">
        <v>71</v>
      </c>
      <c r="AL31" s="8">
        <v>418</v>
      </c>
      <c r="AM31" s="37">
        <v>482</v>
      </c>
      <c r="AN31" s="46" t="s">
        <v>71</v>
      </c>
      <c r="AO31" s="9">
        <v>427</v>
      </c>
      <c r="AP31" s="38">
        <v>509</v>
      </c>
      <c r="AQ31" s="46" t="s">
        <v>71</v>
      </c>
      <c r="AR31" s="8">
        <v>421</v>
      </c>
      <c r="AS31" s="37">
        <v>541</v>
      </c>
    </row>
    <row r="32" spans="1:45" ht="15.5">
      <c r="A32" s="24">
        <v>28</v>
      </c>
      <c r="B32" s="19"/>
      <c r="C32" s="19"/>
      <c r="D32" s="11"/>
      <c r="E32" s="9"/>
      <c r="F32" s="9"/>
      <c r="G32" s="9"/>
      <c r="H32" s="9"/>
      <c r="I32" s="1"/>
      <c r="J32" s="21">
        <v>28</v>
      </c>
      <c r="K32" s="27"/>
      <c r="L32" s="27"/>
      <c r="M32" s="27"/>
      <c r="N32" s="11"/>
      <c r="O32" s="9"/>
      <c r="P32" s="9"/>
      <c r="Q32" s="9"/>
      <c r="R32" s="9"/>
      <c r="S32" s="1"/>
      <c r="T32" s="23">
        <v>28</v>
      </c>
      <c r="U32" s="28"/>
      <c r="V32" s="28"/>
      <c r="W32" s="28"/>
      <c r="X32" s="28"/>
      <c r="Y32" s="11"/>
      <c r="Z32" s="9"/>
      <c r="AA32" s="9"/>
      <c r="AB32" s="9"/>
      <c r="AC32" s="9"/>
      <c r="AD32" s="1"/>
      <c r="AE32" s="46"/>
      <c r="AF32" s="8"/>
      <c r="AG32" s="37"/>
      <c r="AH32" s="46"/>
      <c r="AI32" s="9"/>
      <c r="AJ32" s="38"/>
      <c r="AK32" s="46"/>
      <c r="AL32" s="8"/>
      <c r="AM32" s="37"/>
      <c r="AN32" s="46"/>
      <c r="AO32" s="9"/>
      <c r="AP32" s="38"/>
      <c r="AQ32" s="46"/>
      <c r="AR32" s="8"/>
      <c r="AS32" s="37"/>
    </row>
    <row r="33" spans="1:45" ht="15.5">
      <c r="A33" s="24">
        <v>29</v>
      </c>
      <c r="B33" s="19"/>
      <c r="C33" s="19"/>
      <c r="D33" s="11"/>
      <c r="E33" s="9"/>
      <c r="F33" s="9"/>
      <c r="G33" s="9"/>
      <c r="H33" s="9"/>
      <c r="I33" s="1"/>
      <c r="J33" s="21">
        <v>29</v>
      </c>
      <c r="K33" s="27"/>
      <c r="L33" s="27"/>
      <c r="M33" s="27"/>
      <c r="N33" s="11"/>
      <c r="O33" s="9"/>
      <c r="P33" s="9"/>
      <c r="Q33" s="9"/>
      <c r="R33" s="9"/>
      <c r="S33" s="1"/>
      <c r="T33" s="23">
        <v>29</v>
      </c>
      <c r="U33" s="28"/>
      <c r="V33" s="28"/>
      <c r="W33" s="28"/>
      <c r="X33" s="28"/>
      <c r="Y33" s="11"/>
      <c r="Z33" s="9"/>
      <c r="AA33" s="9"/>
      <c r="AB33" s="9"/>
      <c r="AC33" s="9"/>
      <c r="AD33" s="1"/>
      <c r="AE33" s="26"/>
      <c r="AF33" s="8"/>
      <c r="AG33" s="6"/>
      <c r="AH33" s="5"/>
      <c r="AI33" s="9"/>
      <c r="AJ33" s="16"/>
      <c r="AK33" s="26"/>
      <c r="AL33" s="8"/>
      <c r="AM33" s="6"/>
      <c r="AN33" s="5"/>
      <c r="AO33" s="9"/>
      <c r="AP33" s="16"/>
      <c r="AQ33" s="26"/>
      <c r="AR33" s="8"/>
      <c r="AS33" s="6"/>
    </row>
    <row r="34" spans="1:45" ht="15.5">
      <c r="A34" s="24">
        <v>30</v>
      </c>
      <c r="B34" s="19"/>
      <c r="C34" s="19"/>
      <c r="D34" s="11"/>
      <c r="E34" s="9"/>
      <c r="F34" s="9"/>
      <c r="G34" s="9"/>
      <c r="H34" s="9"/>
      <c r="I34" s="1"/>
      <c r="J34" s="21">
        <v>30</v>
      </c>
      <c r="K34" s="27"/>
      <c r="L34" s="27"/>
      <c r="M34" s="27"/>
      <c r="N34" s="11"/>
      <c r="O34" s="9"/>
      <c r="P34" s="9"/>
      <c r="Q34" s="9"/>
      <c r="R34" s="9"/>
      <c r="S34" s="1"/>
      <c r="T34" s="23">
        <v>30</v>
      </c>
      <c r="U34" s="28"/>
      <c r="V34" s="28"/>
      <c r="W34" s="28"/>
      <c r="X34" s="28"/>
      <c r="Y34" s="11"/>
      <c r="Z34" s="9"/>
      <c r="AA34" s="9"/>
      <c r="AB34" s="9"/>
      <c r="AC34" s="9"/>
      <c r="AD34" s="1"/>
      <c r="AE34" s="26"/>
      <c r="AF34" s="8"/>
      <c r="AG34" s="6"/>
      <c r="AH34" s="5"/>
      <c r="AI34" s="9"/>
      <c r="AJ34" s="16"/>
      <c r="AK34" s="26"/>
      <c r="AL34" s="8"/>
      <c r="AM34" s="6"/>
      <c r="AN34" s="5"/>
      <c r="AO34" s="9"/>
      <c r="AP34" s="16"/>
      <c r="AQ34" s="26"/>
      <c r="AR34" s="8"/>
      <c r="AS34" s="6"/>
    </row>
  </sheetData>
  <mergeCells count="23">
    <mergeCell ref="A1:H1"/>
    <mergeCell ref="J1:R1"/>
    <mergeCell ref="T1:AC1"/>
    <mergeCell ref="AE1:AS1"/>
    <mergeCell ref="A2:C4"/>
    <mergeCell ref="D2:F3"/>
    <mergeCell ref="G2:H3"/>
    <mergeCell ref="J2:M4"/>
    <mergeCell ref="N2:P3"/>
    <mergeCell ref="Q2:R3"/>
    <mergeCell ref="T2:X4"/>
    <mergeCell ref="Y2:AA3"/>
    <mergeCell ref="AB2:AC3"/>
    <mergeCell ref="AE2:AG2"/>
    <mergeCell ref="AH2:AJ2"/>
    <mergeCell ref="AN2:AP2"/>
    <mergeCell ref="AQ2:AS2"/>
    <mergeCell ref="AF3:AG3"/>
    <mergeCell ref="AI3:AJ3"/>
    <mergeCell ref="AL3:AM3"/>
    <mergeCell ref="AO3:AP3"/>
    <mergeCell ref="AR3:AS3"/>
    <mergeCell ref="AK2:AM2"/>
  </mergeCells>
  <phoneticPr fontId="7" type="noConversion"/>
  <conditionalFormatting sqref="Y1:AC1 Y4:AC34 Y2">
    <cfRule type="cellIs" dxfId="8" priority="1" operator="lessThan">
      <formula>0</formula>
    </cfRule>
  </conditionalFormatting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工作表18"/>
  <dimension ref="A1:AS34"/>
  <sheetViews>
    <sheetView topLeftCell="N1" zoomScaleNormal="100" workbookViewId="0">
      <selection activeCell="AI3" sqref="AI3:AJ3"/>
    </sheetView>
  </sheetViews>
  <sheetFormatPr defaultRowHeight="15"/>
  <sheetData>
    <row r="1" spans="1:45" ht="23">
      <c r="A1" s="57" t="s">
        <v>58</v>
      </c>
      <c r="B1" s="57"/>
      <c r="C1" s="57"/>
      <c r="D1" s="57"/>
      <c r="E1" s="57"/>
      <c r="F1" s="57"/>
      <c r="G1" s="57"/>
      <c r="H1" s="58"/>
      <c r="I1" s="1"/>
      <c r="J1" s="59" t="s">
        <v>60</v>
      </c>
      <c r="K1" s="59"/>
      <c r="L1" s="59"/>
      <c r="M1" s="59"/>
      <c r="N1" s="59"/>
      <c r="O1" s="59"/>
      <c r="P1" s="59"/>
      <c r="Q1" s="59"/>
      <c r="R1" s="59"/>
      <c r="S1" s="1"/>
      <c r="T1" s="60" t="s">
        <v>59</v>
      </c>
      <c r="U1" s="60"/>
      <c r="V1" s="60"/>
      <c r="W1" s="60"/>
      <c r="X1" s="60"/>
      <c r="Y1" s="60"/>
      <c r="Z1" s="60"/>
      <c r="AA1" s="60"/>
      <c r="AB1" s="60"/>
      <c r="AC1" s="60"/>
      <c r="AD1" s="1"/>
      <c r="AE1" s="61" t="s">
        <v>180</v>
      </c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</row>
    <row r="2" spans="1:45" ht="18">
      <c r="A2" s="63" t="s">
        <v>55</v>
      </c>
      <c r="B2" s="63"/>
      <c r="C2" s="63"/>
      <c r="D2" s="65"/>
      <c r="E2" s="66"/>
      <c r="F2" s="67"/>
      <c r="G2" s="65"/>
      <c r="H2" s="67"/>
      <c r="I2" s="2"/>
      <c r="J2" s="71" t="s">
        <v>56</v>
      </c>
      <c r="K2" s="71"/>
      <c r="L2" s="71"/>
      <c r="M2" s="71"/>
      <c r="N2" s="73"/>
      <c r="O2" s="74"/>
      <c r="P2" s="75"/>
      <c r="Q2" s="73"/>
      <c r="R2" s="75"/>
      <c r="S2" s="2"/>
      <c r="T2" s="90" t="s">
        <v>57</v>
      </c>
      <c r="U2" s="90"/>
      <c r="V2" s="90"/>
      <c r="W2" s="90"/>
      <c r="X2" s="90"/>
      <c r="Y2" s="92"/>
      <c r="Z2" s="93"/>
      <c r="AA2" s="94"/>
      <c r="AB2" s="92"/>
      <c r="AC2" s="94"/>
      <c r="AD2" s="2"/>
      <c r="AE2" s="54" t="s">
        <v>120</v>
      </c>
      <c r="AF2" s="55"/>
      <c r="AG2" s="56"/>
      <c r="AH2" s="81" t="s">
        <v>121</v>
      </c>
      <c r="AI2" s="82"/>
      <c r="AJ2" s="83"/>
      <c r="AK2" s="54" t="s">
        <v>122</v>
      </c>
      <c r="AL2" s="55"/>
      <c r="AM2" s="56"/>
      <c r="AN2" s="81" t="s">
        <v>123</v>
      </c>
      <c r="AO2" s="82"/>
      <c r="AP2" s="83"/>
      <c r="AQ2" s="54" t="s">
        <v>166</v>
      </c>
      <c r="AR2" s="55"/>
      <c r="AS2" s="56"/>
    </row>
    <row r="3" spans="1:45" ht="15.5">
      <c r="A3" s="63"/>
      <c r="B3" s="63"/>
      <c r="C3" s="63"/>
      <c r="D3" s="68"/>
      <c r="E3" s="69"/>
      <c r="F3" s="70"/>
      <c r="G3" s="68"/>
      <c r="H3" s="70"/>
      <c r="I3" s="1"/>
      <c r="J3" s="71"/>
      <c r="K3" s="71"/>
      <c r="L3" s="71"/>
      <c r="M3" s="71"/>
      <c r="N3" s="76"/>
      <c r="O3" s="77"/>
      <c r="P3" s="78"/>
      <c r="Q3" s="76"/>
      <c r="R3" s="78"/>
      <c r="S3" s="1"/>
      <c r="T3" s="90"/>
      <c r="U3" s="90"/>
      <c r="V3" s="90"/>
      <c r="W3" s="90"/>
      <c r="X3" s="90"/>
      <c r="Y3" s="95"/>
      <c r="Z3" s="96"/>
      <c r="AA3" s="97"/>
      <c r="AB3" s="95"/>
      <c r="AC3" s="97"/>
      <c r="AD3" s="1"/>
      <c r="AE3" s="52" t="s">
        <v>178</v>
      </c>
      <c r="AF3" s="85" t="s">
        <v>177</v>
      </c>
      <c r="AG3" s="85"/>
      <c r="AH3" s="52" t="s">
        <v>178</v>
      </c>
      <c r="AI3" s="85" t="s">
        <v>177</v>
      </c>
      <c r="AJ3" s="85"/>
      <c r="AK3" s="52" t="s">
        <v>178</v>
      </c>
      <c r="AL3" s="85" t="s">
        <v>177</v>
      </c>
      <c r="AM3" s="85"/>
      <c r="AN3" s="52" t="s">
        <v>178</v>
      </c>
      <c r="AO3" s="85" t="s">
        <v>177</v>
      </c>
      <c r="AP3" s="85"/>
      <c r="AQ3" s="52" t="s">
        <v>178</v>
      </c>
      <c r="AR3" s="85" t="s">
        <v>177</v>
      </c>
      <c r="AS3" s="85"/>
    </row>
    <row r="4" spans="1:45" ht="59.4" customHeight="1">
      <c r="A4" s="63"/>
      <c r="B4" s="64"/>
      <c r="C4" s="64"/>
      <c r="D4" s="19" t="s">
        <v>25</v>
      </c>
      <c r="E4" s="19" t="s">
        <v>26</v>
      </c>
      <c r="F4" s="19" t="s">
        <v>27</v>
      </c>
      <c r="G4" s="19" t="s">
        <v>28</v>
      </c>
      <c r="H4" s="19" t="s">
        <v>29</v>
      </c>
      <c r="I4" s="4"/>
      <c r="J4" s="71"/>
      <c r="K4" s="72"/>
      <c r="L4" s="72"/>
      <c r="M4" s="72"/>
      <c r="N4" s="27" t="s">
        <v>25</v>
      </c>
      <c r="O4" s="27" t="s">
        <v>26</v>
      </c>
      <c r="P4" s="27" t="s">
        <v>27</v>
      </c>
      <c r="Q4" s="27" t="s">
        <v>28</v>
      </c>
      <c r="R4" s="27" t="s">
        <v>29</v>
      </c>
      <c r="S4" s="4"/>
      <c r="T4" s="90"/>
      <c r="U4" s="91"/>
      <c r="V4" s="91"/>
      <c r="W4" s="91"/>
      <c r="X4" s="91"/>
      <c r="Y4" s="28" t="s">
        <v>25</v>
      </c>
      <c r="Z4" s="28" t="s">
        <v>26</v>
      </c>
      <c r="AA4" s="28" t="s">
        <v>27</v>
      </c>
      <c r="AB4" s="28" t="s">
        <v>28</v>
      </c>
      <c r="AC4" s="28" t="s">
        <v>29</v>
      </c>
      <c r="AD4" s="4"/>
      <c r="AE4" s="48"/>
      <c r="AF4" s="48" t="s">
        <v>0</v>
      </c>
      <c r="AG4" s="48" t="s">
        <v>1</v>
      </c>
      <c r="AH4" s="48"/>
      <c r="AI4" s="48" t="s">
        <v>0</v>
      </c>
      <c r="AJ4" s="48" t="s">
        <v>1</v>
      </c>
      <c r="AK4" s="48" t="s">
        <v>2</v>
      </c>
      <c r="AL4" s="48" t="s">
        <v>0</v>
      </c>
      <c r="AM4" s="48" t="s">
        <v>1</v>
      </c>
      <c r="AN4" s="49" t="s">
        <v>2</v>
      </c>
      <c r="AO4" s="49" t="s">
        <v>0</v>
      </c>
      <c r="AP4" s="49" t="s">
        <v>1</v>
      </c>
      <c r="AQ4" s="48" t="s">
        <v>2</v>
      </c>
      <c r="AR4" s="48" t="s">
        <v>0</v>
      </c>
      <c r="AS4" s="48" t="s">
        <v>1</v>
      </c>
    </row>
    <row r="5" spans="1:45" ht="15.5">
      <c r="A5" s="24">
        <v>1</v>
      </c>
      <c r="B5" s="19" t="s">
        <v>30</v>
      </c>
      <c r="C5" s="19" t="s">
        <v>32</v>
      </c>
      <c r="D5" s="11">
        <v>263</v>
      </c>
      <c r="E5" s="9">
        <v>265</v>
      </c>
      <c r="F5" s="9">
        <v>360</v>
      </c>
      <c r="G5" s="9">
        <v>325</v>
      </c>
      <c r="H5" s="9">
        <v>291</v>
      </c>
      <c r="I5" s="1"/>
      <c r="J5" s="21">
        <v>1</v>
      </c>
      <c r="K5" s="27" t="s">
        <v>30</v>
      </c>
      <c r="L5" s="27" t="s">
        <v>35</v>
      </c>
      <c r="M5" s="27" t="s">
        <v>38</v>
      </c>
      <c r="N5" s="9">
        <v>57.43713454015829</v>
      </c>
      <c r="O5" s="9">
        <v>61.016985758935874</v>
      </c>
      <c r="P5" s="9">
        <v>70.404928771551667</v>
      </c>
      <c r="Q5" s="9">
        <v>62.512256157532789</v>
      </c>
      <c r="R5" s="9">
        <v>61.854135371696358</v>
      </c>
      <c r="S5" s="1"/>
      <c r="T5" s="23">
        <v>1</v>
      </c>
      <c r="U5" s="28" t="s">
        <v>30</v>
      </c>
      <c r="V5" s="28" t="s">
        <v>35</v>
      </c>
      <c r="W5" s="28" t="s">
        <v>37</v>
      </c>
      <c r="X5" s="28" t="s">
        <v>38</v>
      </c>
      <c r="Y5" s="11">
        <v>33927</v>
      </c>
      <c r="Z5" s="9">
        <v>29945</v>
      </c>
      <c r="AA5" s="9">
        <v>39600</v>
      </c>
      <c r="AB5" s="9">
        <v>45825</v>
      </c>
      <c r="AC5" s="9">
        <v>37830</v>
      </c>
      <c r="AD5" s="1"/>
      <c r="AE5" s="48" t="s">
        <v>3</v>
      </c>
      <c r="AF5" s="29">
        <v>600</v>
      </c>
      <c r="AG5" s="29">
        <v>552</v>
      </c>
      <c r="AH5" s="48" t="s">
        <v>3</v>
      </c>
      <c r="AI5" s="29">
        <v>600</v>
      </c>
      <c r="AJ5" s="29">
        <v>550</v>
      </c>
      <c r="AK5" s="48" t="s">
        <v>3</v>
      </c>
      <c r="AL5" s="29">
        <v>600</v>
      </c>
      <c r="AM5" s="29">
        <v>461</v>
      </c>
      <c r="AN5" s="48" t="s">
        <v>3</v>
      </c>
      <c r="AO5" s="29">
        <v>600</v>
      </c>
      <c r="AP5" s="29">
        <v>453</v>
      </c>
      <c r="AQ5" s="48" t="s">
        <v>3</v>
      </c>
      <c r="AR5" s="29">
        <v>600</v>
      </c>
      <c r="AS5" s="29">
        <v>523</v>
      </c>
    </row>
    <row r="6" spans="1:45" ht="15.5">
      <c r="A6" s="24">
        <v>2</v>
      </c>
      <c r="B6" s="19" t="s">
        <v>30</v>
      </c>
      <c r="C6" s="19" t="s">
        <v>33</v>
      </c>
      <c r="D6" s="11">
        <v>353</v>
      </c>
      <c r="E6" s="9">
        <v>361</v>
      </c>
      <c r="F6" s="9">
        <v>456</v>
      </c>
      <c r="G6" s="9">
        <v>451</v>
      </c>
      <c r="H6" s="9">
        <v>410</v>
      </c>
      <c r="I6" s="1"/>
      <c r="J6" s="21">
        <v>2</v>
      </c>
      <c r="K6" s="27" t="s">
        <v>31</v>
      </c>
      <c r="L6" s="27" t="s">
        <v>41</v>
      </c>
      <c r="M6" s="27" t="s">
        <v>34</v>
      </c>
      <c r="N6" s="9">
        <v>77.940871041602719</v>
      </c>
      <c r="O6" s="9">
        <v>83.709002997431384</v>
      </c>
      <c r="P6" s="9">
        <v>95.046694776519402</v>
      </c>
      <c r="Q6" s="9">
        <v>93.278324939559099</v>
      </c>
      <c r="R6" s="9">
        <v>90.884974876255953</v>
      </c>
      <c r="S6" s="1"/>
      <c r="T6" s="23">
        <v>2</v>
      </c>
      <c r="U6" s="28" t="s">
        <v>31</v>
      </c>
      <c r="V6" s="28" t="s">
        <v>41</v>
      </c>
      <c r="W6" s="28" t="s">
        <v>34</v>
      </c>
      <c r="X6" s="28" t="s">
        <v>42</v>
      </c>
      <c r="Y6" s="11">
        <v>231104</v>
      </c>
      <c r="Z6" s="9">
        <v>218610</v>
      </c>
      <c r="AA6" s="9">
        <v>209229</v>
      </c>
      <c r="AB6" s="9">
        <v>221735</v>
      </c>
      <c r="AC6" s="9">
        <v>194472</v>
      </c>
      <c r="AD6" s="1"/>
      <c r="AE6" s="48" t="s">
        <v>4</v>
      </c>
      <c r="AF6" s="29">
        <v>471</v>
      </c>
      <c r="AG6" s="29">
        <v>754</v>
      </c>
      <c r="AH6" s="48" t="s">
        <v>4</v>
      </c>
      <c r="AI6" s="29">
        <v>487</v>
      </c>
      <c r="AJ6" s="29">
        <v>754</v>
      </c>
      <c r="AK6" s="48" t="s">
        <v>4</v>
      </c>
      <c r="AL6" s="29">
        <v>490</v>
      </c>
      <c r="AM6" s="29">
        <v>770</v>
      </c>
      <c r="AN6" s="48" t="s">
        <v>4</v>
      </c>
      <c r="AO6" s="29">
        <v>459</v>
      </c>
      <c r="AP6" s="29">
        <v>724</v>
      </c>
      <c r="AQ6" s="48" t="s">
        <v>4</v>
      </c>
      <c r="AR6" s="29">
        <v>470</v>
      </c>
      <c r="AS6" s="29">
        <v>766</v>
      </c>
    </row>
    <row r="7" spans="1:45" ht="15.5">
      <c r="A7" s="24">
        <v>3</v>
      </c>
      <c r="B7" s="19" t="s">
        <v>31</v>
      </c>
      <c r="C7" s="19" t="s">
        <v>34</v>
      </c>
      <c r="D7" s="11">
        <v>628</v>
      </c>
      <c r="E7" s="9">
        <v>630</v>
      </c>
      <c r="F7" s="9">
        <v>719</v>
      </c>
      <c r="G7" s="9">
        <v>727</v>
      </c>
      <c r="H7" s="9">
        <v>657</v>
      </c>
      <c r="I7" s="1"/>
      <c r="J7" s="21">
        <v>3</v>
      </c>
      <c r="K7" s="27" t="s">
        <v>31</v>
      </c>
      <c r="L7" s="27" t="s">
        <v>44</v>
      </c>
      <c r="M7" s="27" t="s">
        <v>37</v>
      </c>
      <c r="N7" s="9">
        <v>31.971577846170426</v>
      </c>
      <c r="O7" s="9">
        <v>38.071756424578425</v>
      </c>
      <c r="P7" s="9">
        <v>54.6887865603668</v>
      </c>
      <c r="Q7" s="9">
        <v>46.892863800668799</v>
      </c>
      <c r="R7" s="9">
        <v>43.062646843962924</v>
      </c>
      <c r="S7" s="1"/>
      <c r="T7" s="23">
        <v>3</v>
      </c>
      <c r="U7" s="28" t="s">
        <v>41</v>
      </c>
      <c r="V7" s="28" t="s">
        <v>39</v>
      </c>
      <c r="W7" s="28" t="s">
        <v>34</v>
      </c>
      <c r="X7" s="28" t="s">
        <v>42</v>
      </c>
      <c r="Y7" s="11">
        <v>79890</v>
      </c>
      <c r="Z7" s="9">
        <v>98554.5</v>
      </c>
      <c r="AA7" s="9">
        <v>61966.5</v>
      </c>
      <c r="AB7" s="9">
        <v>68346.5</v>
      </c>
      <c r="AC7" s="9">
        <v>66383</v>
      </c>
      <c r="AD7" s="1"/>
      <c r="AE7" s="48" t="s">
        <v>5</v>
      </c>
      <c r="AF7" s="29">
        <v>600</v>
      </c>
      <c r="AG7" s="29">
        <v>815</v>
      </c>
      <c r="AH7" s="48" t="s">
        <v>5</v>
      </c>
      <c r="AI7" s="29">
        <v>600</v>
      </c>
      <c r="AJ7" s="29">
        <v>815</v>
      </c>
      <c r="AK7" s="48" t="s">
        <v>5</v>
      </c>
      <c r="AL7" s="29">
        <v>600</v>
      </c>
      <c r="AM7" s="29">
        <v>821</v>
      </c>
      <c r="AN7" s="48" t="s">
        <v>5</v>
      </c>
      <c r="AO7" s="29">
        <v>600</v>
      </c>
      <c r="AP7" s="29">
        <v>778</v>
      </c>
      <c r="AQ7" s="48" t="s">
        <v>5</v>
      </c>
      <c r="AR7" s="29">
        <v>600</v>
      </c>
      <c r="AS7" s="29">
        <v>814</v>
      </c>
    </row>
    <row r="8" spans="1:45" ht="15.5">
      <c r="A8" s="24">
        <v>4</v>
      </c>
      <c r="B8" s="19" t="s">
        <v>35</v>
      </c>
      <c r="C8" s="19" t="s">
        <v>38</v>
      </c>
      <c r="D8" s="11">
        <v>258</v>
      </c>
      <c r="E8" s="9">
        <v>226</v>
      </c>
      <c r="F8" s="9">
        <v>220</v>
      </c>
      <c r="G8" s="9">
        <v>282</v>
      </c>
      <c r="H8" s="9">
        <v>260</v>
      </c>
      <c r="I8" s="1"/>
      <c r="J8" s="21">
        <v>4</v>
      </c>
      <c r="K8" s="27" t="s">
        <v>35</v>
      </c>
      <c r="L8" s="27" t="s">
        <v>37</v>
      </c>
      <c r="M8" s="27" t="s">
        <v>38</v>
      </c>
      <c r="N8" s="9">
        <v>129.38404247747306</v>
      </c>
      <c r="O8" s="9">
        <v>123.27761134085257</v>
      </c>
      <c r="P8" s="9">
        <v>130.25169217174474</v>
      </c>
      <c r="Q8" s="9">
        <v>138.08844653873564</v>
      </c>
      <c r="R8" s="9">
        <v>139.46860505810503</v>
      </c>
      <c r="S8" s="1"/>
      <c r="T8" s="23">
        <v>4</v>
      </c>
      <c r="U8" s="28" t="s">
        <v>46</v>
      </c>
      <c r="V8" s="28" t="s">
        <v>43</v>
      </c>
      <c r="W8" s="28" t="s">
        <v>33</v>
      </c>
      <c r="X8" s="28" t="s">
        <v>47</v>
      </c>
      <c r="Y8" s="11">
        <v>474594</v>
      </c>
      <c r="Z8" s="9">
        <v>425464</v>
      </c>
      <c r="AA8" s="9">
        <v>390614</v>
      </c>
      <c r="AB8" s="9">
        <v>328500</v>
      </c>
      <c r="AC8" s="9">
        <v>415499</v>
      </c>
      <c r="AD8" s="1"/>
      <c r="AE8" s="48" t="s">
        <v>6</v>
      </c>
      <c r="AF8" s="29">
        <f>AF7+(AF7-AF6)</f>
        <v>729</v>
      </c>
      <c r="AG8" s="29">
        <f>AG6</f>
        <v>754</v>
      </c>
      <c r="AH8" s="48" t="s">
        <v>6</v>
      </c>
      <c r="AI8" s="29">
        <f>AI7+(AI7-AI6)</f>
        <v>713</v>
      </c>
      <c r="AJ8" s="29">
        <f>AJ6</f>
        <v>754</v>
      </c>
      <c r="AK8" s="48" t="s">
        <v>6</v>
      </c>
      <c r="AL8" s="29">
        <f t="shared" ref="AL8" si="0">AL7+(AL7-AL6)</f>
        <v>710</v>
      </c>
      <c r="AM8" s="29">
        <f t="shared" ref="AM8" si="1">AM6</f>
        <v>770</v>
      </c>
      <c r="AN8" s="48" t="s">
        <v>6</v>
      </c>
      <c r="AO8" s="29">
        <f t="shared" ref="AO8" si="2">AO7+(AO7-AO6)</f>
        <v>741</v>
      </c>
      <c r="AP8" s="29">
        <f t="shared" ref="AP8" si="3">AP6</f>
        <v>724</v>
      </c>
      <c r="AQ8" s="48" t="s">
        <v>6</v>
      </c>
      <c r="AR8" s="29">
        <f t="shared" ref="AR8" si="4">AR7+(AR7-AR6)</f>
        <v>730</v>
      </c>
      <c r="AS8" s="29">
        <f t="shared" ref="AS8" si="5">AS6</f>
        <v>766</v>
      </c>
    </row>
    <row r="9" spans="1:45" ht="15.5">
      <c r="A9" s="24">
        <v>5</v>
      </c>
      <c r="B9" s="19" t="s">
        <v>36</v>
      </c>
      <c r="C9" s="19" t="s">
        <v>33</v>
      </c>
      <c r="D9" s="11">
        <v>90</v>
      </c>
      <c r="E9" s="9">
        <v>96</v>
      </c>
      <c r="F9" s="9">
        <v>96</v>
      </c>
      <c r="G9" s="9">
        <v>126</v>
      </c>
      <c r="H9" s="9">
        <v>119</v>
      </c>
      <c r="I9" s="1"/>
      <c r="J9" s="21">
        <v>5</v>
      </c>
      <c r="K9" s="27" t="s">
        <v>39</v>
      </c>
      <c r="L9" s="27" t="s">
        <v>34</v>
      </c>
      <c r="M9" s="27" t="s">
        <v>61</v>
      </c>
      <c r="N9" s="9">
        <v>150.4064755098853</v>
      </c>
      <c r="O9" s="9">
        <v>135.80421576862256</v>
      </c>
      <c r="P9" s="9">
        <v>134.8322949586873</v>
      </c>
      <c r="Q9" s="9">
        <v>153.93328734817229</v>
      </c>
      <c r="R9" s="9">
        <v>157.00687396482846</v>
      </c>
      <c r="S9" s="1"/>
      <c r="T9" s="23">
        <v>5</v>
      </c>
      <c r="U9" s="28" t="s">
        <v>48</v>
      </c>
      <c r="V9" s="28" t="s">
        <v>43</v>
      </c>
      <c r="W9" s="28" t="s">
        <v>34</v>
      </c>
      <c r="X9" s="28" t="s">
        <v>44</v>
      </c>
      <c r="Y9" s="11">
        <v>512244</v>
      </c>
      <c r="Z9" s="9">
        <v>386802</v>
      </c>
      <c r="AA9" s="9">
        <v>335328</v>
      </c>
      <c r="AB9" s="9">
        <v>422280</v>
      </c>
      <c r="AC9" s="9">
        <v>364798</v>
      </c>
      <c r="AD9" s="1"/>
      <c r="AE9" s="48" t="s">
        <v>77</v>
      </c>
      <c r="AF9" s="29">
        <v>600</v>
      </c>
      <c r="AG9" s="29">
        <v>905</v>
      </c>
      <c r="AH9" s="48" t="s">
        <v>77</v>
      </c>
      <c r="AI9" s="29">
        <v>600</v>
      </c>
      <c r="AJ9" s="29">
        <v>911</v>
      </c>
      <c r="AK9" s="48" t="s">
        <v>77</v>
      </c>
      <c r="AL9" s="29">
        <v>600</v>
      </c>
      <c r="AM9" s="29">
        <v>917</v>
      </c>
      <c r="AN9" s="48" t="s">
        <v>77</v>
      </c>
      <c r="AO9" s="29">
        <v>600</v>
      </c>
      <c r="AP9" s="29">
        <v>904</v>
      </c>
      <c r="AQ9" s="48" t="s">
        <v>77</v>
      </c>
      <c r="AR9" s="29">
        <v>600</v>
      </c>
      <c r="AS9" s="29">
        <v>933</v>
      </c>
    </row>
    <row r="10" spans="1:45" ht="15.5">
      <c r="A10" s="24">
        <v>6</v>
      </c>
      <c r="B10" s="19" t="s">
        <v>37</v>
      </c>
      <c r="C10" s="19" t="s">
        <v>34</v>
      </c>
      <c r="D10" s="11">
        <v>365</v>
      </c>
      <c r="E10" s="9">
        <v>365</v>
      </c>
      <c r="F10" s="9">
        <v>359</v>
      </c>
      <c r="G10" s="9">
        <v>402</v>
      </c>
      <c r="H10" s="9">
        <v>366</v>
      </c>
      <c r="I10" s="1"/>
      <c r="J10" s="21">
        <v>6</v>
      </c>
      <c r="K10" s="27" t="s">
        <v>40</v>
      </c>
      <c r="L10" s="27" t="s">
        <v>34</v>
      </c>
      <c r="M10" s="27" t="s">
        <v>62</v>
      </c>
      <c r="N10" s="9">
        <v>14.796762245057353</v>
      </c>
      <c r="O10" s="9">
        <v>22.09789211568873</v>
      </c>
      <c r="P10" s="9">
        <v>22.58385252065634</v>
      </c>
      <c r="Q10" s="9">
        <v>13.033356325913834</v>
      </c>
      <c r="R10" s="9">
        <v>11.496563017585702</v>
      </c>
      <c r="S10" s="1"/>
      <c r="T10" s="23">
        <v>6</v>
      </c>
      <c r="U10" s="28" t="s">
        <v>52</v>
      </c>
      <c r="V10" s="28" t="s">
        <v>53</v>
      </c>
      <c r="W10" s="28" t="s">
        <v>54</v>
      </c>
      <c r="X10" s="28" t="s">
        <v>50</v>
      </c>
      <c r="Y10" s="11">
        <v>4646</v>
      </c>
      <c r="Z10" s="9">
        <v>3855</v>
      </c>
      <c r="AA10" s="9">
        <v>6766</v>
      </c>
      <c r="AB10" s="9">
        <v>4799</v>
      </c>
      <c r="AC10" s="9">
        <v>7906.5</v>
      </c>
      <c r="AD10" s="1"/>
      <c r="AE10" s="48" t="s">
        <v>8</v>
      </c>
      <c r="AF10" s="29">
        <v>494</v>
      </c>
      <c r="AG10" s="29">
        <v>1152</v>
      </c>
      <c r="AH10" s="48" t="s">
        <v>8</v>
      </c>
      <c r="AI10" s="29">
        <v>467</v>
      </c>
      <c r="AJ10" s="29">
        <v>1126</v>
      </c>
      <c r="AK10" s="48" t="s">
        <v>8</v>
      </c>
      <c r="AL10" s="29">
        <v>487</v>
      </c>
      <c r="AM10" s="29">
        <v>1133</v>
      </c>
      <c r="AN10" s="48" t="s">
        <v>8</v>
      </c>
      <c r="AO10" s="29">
        <v>492</v>
      </c>
      <c r="AP10" s="29">
        <v>1155</v>
      </c>
      <c r="AQ10" s="48" t="s">
        <v>8</v>
      </c>
      <c r="AR10" s="29">
        <v>482</v>
      </c>
      <c r="AS10" s="29">
        <v>1156</v>
      </c>
    </row>
    <row r="11" spans="1:45" ht="15.5">
      <c r="A11" s="24">
        <v>7</v>
      </c>
      <c r="B11" s="19" t="s">
        <v>39</v>
      </c>
      <c r="C11" s="19" t="s">
        <v>40</v>
      </c>
      <c r="D11" s="11">
        <v>212</v>
      </c>
      <c r="E11" s="9">
        <v>266</v>
      </c>
      <c r="F11" s="9">
        <v>226</v>
      </c>
      <c r="G11" s="9">
        <v>216</v>
      </c>
      <c r="H11" s="9">
        <v>236</v>
      </c>
      <c r="I11" s="1"/>
      <c r="J11" s="21">
        <v>7</v>
      </c>
      <c r="K11" s="27" t="s">
        <v>41</v>
      </c>
      <c r="L11" s="27" t="s">
        <v>34</v>
      </c>
      <c r="M11" s="27" t="s">
        <v>62</v>
      </c>
      <c r="N11" s="9">
        <v>151.2370424216692</v>
      </c>
      <c r="O11" s="9">
        <v>143.05092813530186</v>
      </c>
      <c r="P11" s="9">
        <v>145.76814456110785</v>
      </c>
      <c r="Q11" s="9">
        <v>146.61446298264278</v>
      </c>
      <c r="R11" s="9">
        <v>146.35462496067586</v>
      </c>
      <c r="S11" s="1"/>
      <c r="T11" s="23">
        <v>7</v>
      </c>
      <c r="U11" s="40" t="s">
        <v>76</v>
      </c>
      <c r="V11" s="40" t="s">
        <v>73</v>
      </c>
      <c r="W11" s="40" t="s">
        <v>75</v>
      </c>
      <c r="X11" s="40" t="s">
        <v>74</v>
      </c>
      <c r="Y11" s="11">
        <v>4683</v>
      </c>
      <c r="Z11" s="9">
        <v>3630</v>
      </c>
      <c r="AA11" s="9">
        <v>3322</v>
      </c>
      <c r="AB11" s="9">
        <v>2622.5</v>
      </c>
      <c r="AC11" s="9">
        <v>3861</v>
      </c>
      <c r="AD11" s="1"/>
      <c r="AE11" s="48" t="s">
        <v>9</v>
      </c>
      <c r="AF11" s="29">
        <v>600</v>
      </c>
      <c r="AG11" s="29">
        <v>1180</v>
      </c>
      <c r="AH11" s="48" t="s">
        <v>9</v>
      </c>
      <c r="AI11" s="29">
        <v>600</v>
      </c>
      <c r="AJ11" s="29">
        <v>1180</v>
      </c>
      <c r="AK11" s="48" t="s">
        <v>9</v>
      </c>
      <c r="AL11" s="29">
        <v>600</v>
      </c>
      <c r="AM11" s="29">
        <v>1180</v>
      </c>
      <c r="AN11" s="48" t="s">
        <v>9</v>
      </c>
      <c r="AO11" s="29">
        <v>600</v>
      </c>
      <c r="AP11" s="29">
        <v>1180</v>
      </c>
      <c r="AQ11" s="48" t="s">
        <v>9</v>
      </c>
      <c r="AR11" s="29">
        <v>600</v>
      </c>
      <c r="AS11" s="29">
        <v>1180</v>
      </c>
    </row>
    <row r="12" spans="1:45" ht="15.5">
      <c r="A12" s="24">
        <v>8</v>
      </c>
      <c r="B12" s="19" t="s">
        <v>41</v>
      </c>
      <c r="C12" s="19" t="s">
        <v>42</v>
      </c>
      <c r="D12" s="11">
        <v>736</v>
      </c>
      <c r="E12" s="9">
        <v>694</v>
      </c>
      <c r="F12" s="9">
        <v>582</v>
      </c>
      <c r="G12" s="9">
        <v>610</v>
      </c>
      <c r="H12" s="9">
        <v>592</v>
      </c>
      <c r="I12" s="1"/>
      <c r="J12" s="21">
        <v>8</v>
      </c>
      <c r="K12" s="27" t="s">
        <v>42</v>
      </c>
      <c r="L12" s="27" t="s">
        <v>34</v>
      </c>
      <c r="M12" s="27" t="s">
        <v>62</v>
      </c>
      <c r="N12" s="9">
        <v>28.76295757833077</v>
      </c>
      <c r="O12" s="9">
        <v>36.949071864698119</v>
      </c>
      <c r="P12" s="9">
        <v>34.231855438892168</v>
      </c>
      <c r="Q12" s="9">
        <v>33.385537017357208</v>
      </c>
      <c r="R12" s="9">
        <v>33.645375039324101</v>
      </c>
      <c r="S12" s="1"/>
      <c r="T12" s="23">
        <v>8</v>
      </c>
      <c r="U12" s="28"/>
      <c r="V12" s="28"/>
      <c r="W12" s="28"/>
      <c r="X12" s="28"/>
      <c r="Y12" s="11"/>
      <c r="Z12" s="9"/>
      <c r="AA12" s="9"/>
      <c r="AB12" s="9"/>
      <c r="AC12" s="9"/>
      <c r="AD12" s="1"/>
      <c r="AE12" s="48" t="s">
        <v>10</v>
      </c>
      <c r="AF12" s="29">
        <f>AF11+(AF11-AF10)</f>
        <v>706</v>
      </c>
      <c r="AG12" s="29">
        <f>AG10</f>
        <v>1152</v>
      </c>
      <c r="AH12" s="48" t="s">
        <v>10</v>
      </c>
      <c r="AI12" s="29">
        <f>AI11+(AI11-AI10)</f>
        <v>733</v>
      </c>
      <c r="AJ12" s="29">
        <f>AJ10</f>
        <v>1126</v>
      </c>
      <c r="AK12" s="48" t="s">
        <v>10</v>
      </c>
      <c r="AL12" s="29">
        <f t="shared" ref="AL12" si="6">AL11+(AL11-AL10)</f>
        <v>713</v>
      </c>
      <c r="AM12" s="29">
        <f t="shared" ref="AM12" si="7">AM10</f>
        <v>1133</v>
      </c>
      <c r="AN12" s="48" t="s">
        <v>10</v>
      </c>
      <c r="AO12" s="29">
        <f t="shared" ref="AO12" si="8">AO11+(AO11-AO10)</f>
        <v>708</v>
      </c>
      <c r="AP12" s="29">
        <f t="shared" ref="AP12" si="9">AP10</f>
        <v>1155</v>
      </c>
      <c r="AQ12" s="48" t="s">
        <v>10</v>
      </c>
      <c r="AR12" s="29">
        <f t="shared" ref="AR12" si="10">AR11+(AR11-AR10)</f>
        <v>718</v>
      </c>
      <c r="AS12" s="29">
        <f t="shared" ref="AS12" si="11">AS10</f>
        <v>1156</v>
      </c>
    </row>
    <row r="13" spans="1:45" ht="15.5">
      <c r="A13" s="24">
        <v>9</v>
      </c>
      <c r="B13" s="19" t="s">
        <v>43</v>
      </c>
      <c r="C13" s="19" t="s">
        <v>44</v>
      </c>
      <c r="D13" s="11">
        <v>918</v>
      </c>
      <c r="E13" s="9">
        <v>754</v>
      </c>
      <c r="F13" s="9">
        <v>672</v>
      </c>
      <c r="G13" s="9">
        <v>720</v>
      </c>
      <c r="H13" s="9">
        <v>734</v>
      </c>
      <c r="I13" s="1"/>
      <c r="J13" s="21">
        <v>9</v>
      </c>
      <c r="K13" s="27" t="s">
        <v>43</v>
      </c>
      <c r="L13" s="27" t="s">
        <v>41</v>
      </c>
      <c r="M13" s="27" t="s">
        <v>34</v>
      </c>
      <c r="N13" s="9">
        <v>135.74401093614395</v>
      </c>
      <c r="O13" s="9">
        <v>132.83505969772642</v>
      </c>
      <c r="P13" s="9">
        <v>133.7287139775832</v>
      </c>
      <c r="Q13" s="9">
        <v>134.34587246339234</v>
      </c>
      <c r="R13" s="9">
        <v>137.54061195145249</v>
      </c>
      <c r="S13" s="1"/>
      <c r="T13" s="23">
        <v>9</v>
      </c>
      <c r="U13" s="28"/>
      <c r="V13" s="28"/>
      <c r="W13" s="28"/>
      <c r="X13" s="28"/>
      <c r="Y13" s="11"/>
      <c r="Z13" s="9"/>
      <c r="AA13" s="9"/>
      <c r="AB13" s="9"/>
      <c r="AC13" s="9"/>
      <c r="AD13" s="1"/>
      <c r="AE13" s="48" t="s">
        <v>11</v>
      </c>
      <c r="AF13" s="29">
        <v>232</v>
      </c>
      <c r="AG13" s="29">
        <v>978</v>
      </c>
      <c r="AH13" s="48" t="s">
        <v>11</v>
      </c>
      <c r="AI13" s="29">
        <v>253</v>
      </c>
      <c r="AJ13" s="29">
        <v>919</v>
      </c>
      <c r="AK13" s="48" t="s">
        <v>167</v>
      </c>
      <c r="AL13" s="29">
        <v>309</v>
      </c>
      <c r="AM13" s="29">
        <v>982</v>
      </c>
      <c r="AN13" s="48" t="s">
        <v>11</v>
      </c>
      <c r="AO13" s="29">
        <v>295</v>
      </c>
      <c r="AP13" s="29">
        <v>979</v>
      </c>
      <c r="AQ13" s="48" t="s">
        <v>11</v>
      </c>
      <c r="AR13" s="29">
        <v>304</v>
      </c>
      <c r="AS13" s="29">
        <v>983</v>
      </c>
    </row>
    <row r="14" spans="1:45" ht="15.5">
      <c r="A14" s="24">
        <v>10</v>
      </c>
      <c r="B14" s="19" t="s">
        <v>45</v>
      </c>
      <c r="C14" s="19" t="s">
        <v>43</v>
      </c>
      <c r="D14" s="11">
        <v>44.643028571099428</v>
      </c>
      <c r="E14" s="9">
        <v>78.638413005350003</v>
      </c>
      <c r="F14" s="9">
        <v>59.908263203000637</v>
      </c>
      <c r="G14" s="9">
        <v>64.776538962806583</v>
      </c>
      <c r="H14" s="9">
        <v>52.801515129776341</v>
      </c>
      <c r="I14" s="1"/>
      <c r="J14" s="21">
        <v>10</v>
      </c>
      <c r="K14" s="27" t="s">
        <v>44</v>
      </c>
      <c r="L14" s="27" t="s">
        <v>32</v>
      </c>
      <c r="M14" s="27" t="s">
        <v>62</v>
      </c>
      <c r="N14" s="9">
        <v>48.572172101239609</v>
      </c>
      <c r="O14" s="9">
        <v>58.565019016344053</v>
      </c>
      <c r="P14" s="9">
        <v>49.574968050831636</v>
      </c>
      <c r="Q14" s="9">
        <v>47.708955804502487</v>
      </c>
      <c r="R14" s="9">
        <v>50.077281009394284</v>
      </c>
      <c r="S14" s="1"/>
      <c r="T14" s="23">
        <v>10</v>
      </c>
      <c r="U14" s="28"/>
      <c r="V14" s="28"/>
      <c r="W14" s="28"/>
      <c r="X14" s="28"/>
      <c r="Y14" s="11"/>
      <c r="Z14" s="9"/>
      <c r="AA14" s="9"/>
      <c r="AB14" s="9"/>
      <c r="AC14" s="9"/>
      <c r="AD14" s="1"/>
      <c r="AE14" s="48" t="s">
        <v>12</v>
      </c>
      <c r="AF14" s="29">
        <f>600+(600-AF13)</f>
        <v>968</v>
      </c>
      <c r="AG14" s="29">
        <f>AG13</f>
        <v>978</v>
      </c>
      <c r="AH14" s="48" t="s">
        <v>12</v>
      </c>
      <c r="AI14" s="29">
        <f>600+(600-AI13)</f>
        <v>947</v>
      </c>
      <c r="AJ14" s="29">
        <f>AJ13</f>
        <v>919</v>
      </c>
      <c r="AK14" s="48" t="s">
        <v>12</v>
      </c>
      <c r="AL14" s="29">
        <f t="shared" ref="AL14" si="12">600+(600-AL13)</f>
        <v>891</v>
      </c>
      <c r="AM14" s="29">
        <f t="shared" ref="AM14" si="13">AM13</f>
        <v>982</v>
      </c>
      <c r="AN14" s="48" t="s">
        <v>12</v>
      </c>
      <c r="AO14" s="29">
        <f t="shared" ref="AO14" si="14">600+(600-AO13)</f>
        <v>905</v>
      </c>
      <c r="AP14" s="29">
        <f t="shared" ref="AP14" si="15">AP13</f>
        <v>979</v>
      </c>
      <c r="AQ14" s="48" t="s">
        <v>12</v>
      </c>
      <c r="AR14" s="29">
        <f t="shared" ref="AR14" si="16">600+(600-AR13)</f>
        <v>896</v>
      </c>
      <c r="AS14" s="29">
        <f t="shared" ref="AS14" si="17">AS13</f>
        <v>983</v>
      </c>
    </row>
    <row r="15" spans="1:45" ht="15.5">
      <c r="A15" s="24">
        <v>11</v>
      </c>
      <c r="B15" s="19" t="s">
        <v>46</v>
      </c>
      <c r="C15" s="19" t="s">
        <v>47</v>
      </c>
      <c r="D15" s="11">
        <v>768</v>
      </c>
      <c r="E15" s="9">
        <v>690</v>
      </c>
      <c r="F15" s="9">
        <v>700</v>
      </c>
      <c r="G15" s="9">
        <v>528</v>
      </c>
      <c r="H15" s="9">
        <v>714</v>
      </c>
      <c r="I15" s="1"/>
      <c r="J15" s="21">
        <v>11</v>
      </c>
      <c r="K15" s="27" t="s">
        <v>44</v>
      </c>
      <c r="L15" s="27" t="s">
        <v>33</v>
      </c>
      <c r="M15" s="27" t="s">
        <v>62</v>
      </c>
      <c r="N15" s="9">
        <v>51.481317092760293</v>
      </c>
      <c r="O15" s="9">
        <v>61.775751523904624</v>
      </c>
      <c r="P15" s="9">
        <v>55.655565572135053</v>
      </c>
      <c r="Q15" s="9">
        <v>55.585550693844326</v>
      </c>
      <c r="R15" s="9">
        <v>55.920741986683197</v>
      </c>
      <c r="S15" s="1"/>
      <c r="T15" s="23">
        <v>11</v>
      </c>
      <c r="U15" s="28"/>
      <c r="V15" s="28"/>
      <c r="W15" s="28"/>
      <c r="X15" s="28"/>
      <c r="Y15" s="11"/>
      <c r="Z15" s="9"/>
      <c r="AA15" s="9"/>
      <c r="AB15" s="9"/>
      <c r="AC15" s="9"/>
      <c r="AD15" s="1"/>
      <c r="AE15" s="48" t="s">
        <v>13</v>
      </c>
      <c r="AF15" s="29">
        <v>141</v>
      </c>
      <c r="AG15" s="29">
        <v>680</v>
      </c>
      <c r="AH15" s="48" t="s">
        <v>13</v>
      </c>
      <c r="AI15" s="29">
        <v>223</v>
      </c>
      <c r="AJ15" s="29">
        <v>628</v>
      </c>
      <c r="AK15" s="48" t="s">
        <v>13</v>
      </c>
      <c r="AL15" s="29">
        <v>264</v>
      </c>
      <c r="AM15" s="29">
        <v>713</v>
      </c>
      <c r="AN15" s="48" t="s">
        <v>13</v>
      </c>
      <c r="AO15" s="29">
        <v>240</v>
      </c>
      <c r="AP15" s="29">
        <v>695</v>
      </c>
      <c r="AQ15" s="48" t="s">
        <v>13</v>
      </c>
      <c r="AR15" s="29">
        <v>233</v>
      </c>
      <c r="AS15" s="29">
        <v>696</v>
      </c>
    </row>
    <row r="16" spans="1:45" ht="15.5">
      <c r="A16" s="24">
        <v>12</v>
      </c>
      <c r="B16" s="19" t="s">
        <v>48</v>
      </c>
      <c r="C16" s="19" t="s">
        <v>31</v>
      </c>
      <c r="D16" s="11">
        <v>490.16323811563024</v>
      </c>
      <c r="E16" s="9">
        <v>396.61064030103881</v>
      </c>
      <c r="F16" s="9">
        <v>279</v>
      </c>
      <c r="G16" s="9">
        <v>446</v>
      </c>
      <c r="H16" s="9">
        <v>337</v>
      </c>
      <c r="I16" s="1"/>
      <c r="J16" s="21">
        <v>12</v>
      </c>
      <c r="K16" s="27" t="s">
        <v>47</v>
      </c>
      <c r="L16" s="27" t="s">
        <v>30</v>
      </c>
      <c r="M16" s="27" t="s">
        <v>62</v>
      </c>
      <c r="N16" s="9">
        <v>99.247297436482029</v>
      </c>
      <c r="O16" s="9">
        <v>104.20528212220914</v>
      </c>
      <c r="P16" s="9">
        <v>97.465939350074407</v>
      </c>
      <c r="Q16" s="9">
        <v>104.46899283975729</v>
      </c>
      <c r="R16" s="9">
        <v>99.315373792454707</v>
      </c>
      <c r="S16" s="1"/>
      <c r="T16" s="23">
        <v>12</v>
      </c>
      <c r="U16" s="28"/>
      <c r="V16" s="28"/>
      <c r="W16" s="28"/>
      <c r="X16" s="28"/>
      <c r="Y16" s="11"/>
      <c r="Z16" s="9"/>
      <c r="AA16" s="9"/>
      <c r="AB16" s="9"/>
      <c r="AC16" s="9"/>
      <c r="AD16" s="1"/>
      <c r="AE16" s="48" t="s">
        <v>14</v>
      </c>
      <c r="AF16" s="29">
        <f>600+(600-AF15)</f>
        <v>1059</v>
      </c>
      <c r="AG16" s="29">
        <f>AG15</f>
        <v>680</v>
      </c>
      <c r="AH16" s="48" t="s">
        <v>14</v>
      </c>
      <c r="AI16" s="29">
        <f>600+(600-AI15)</f>
        <v>977</v>
      </c>
      <c r="AJ16" s="29">
        <f>AJ15</f>
        <v>628</v>
      </c>
      <c r="AK16" s="48" t="s">
        <v>14</v>
      </c>
      <c r="AL16" s="29">
        <f t="shared" ref="AL16" si="18">600+(600-AL15)</f>
        <v>936</v>
      </c>
      <c r="AM16" s="29">
        <f t="shared" ref="AM16" si="19">AM15</f>
        <v>713</v>
      </c>
      <c r="AN16" s="48" t="s">
        <v>14</v>
      </c>
      <c r="AO16" s="29">
        <f t="shared" ref="AO16" si="20">600+(600-AO15)</f>
        <v>960</v>
      </c>
      <c r="AP16" s="29">
        <f t="shared" ref="AP16" si="21">AP15</f>
        <v>695</v>
      </c>
      <c r="AQ16" s="48" t="s">
        <v>14</v>
      </c>
      <c r="AR16" s="29">
        <f t="shared" ref="AR16" si="22">600+(600-AR15)</f>
        <v>967</v>
      </c>
      <c r="AS16" s="29">
        <f t="shared" ref="AS16" si="23">AS15</f>
        <v>696</v>
      </c>
    </row>
    <row r="17" spans="1:45" ht="15.5">
      <c r="A17" s="24">
        <v>13</v>
      </c>
      <c r="B17" s="19" t="s">
        <v>49</v>
      </c>
      <c r="C17" s="19" t="s">
        <v>37</v>
      </c>
      <c r="D17" s="11">
        <v>752.40746939407768</v>
      </c>
      <c r="E17" s="9">
        <v>661.36601061741897</v>
      </c>
      <c r="F17" s="9">
        <v>639</v>
      </c>
      <c r="G17" s="9">
        <v>771</v>
      </c>
      <c r="H17" s="9">
        <v>628</v>
      </c>
      <c r="I17" s="1"/>
      <c r="J17" s="21">
        <v>13</v>
      </c>
      <c r="K17" s="27" t="s">
        <v>47</v>
      </c>
      <c r="L17" s="27" t="s">
        <v>48</v>
      </c>
      <c r="M17" s="27" t="s">
        <v>62</v>
      </c>
      <c r="N17" s="9">
        <v>61.110274309958164</v>
      </c>
      <c r="O17" s="9">
        <v>79.380238516618121</v>
      </c>
      <c r="P17" s="9">
        <v>73.949713257259717</v>
      </c>
      <c r="Q17" s="9">
        <v>43.898317223553612</v>
      </c>
      <c r="R17" s="9">
        <v>75.384594754006457</v>
      </c>
      <c r="S17" s="1"/>
      <c r="T17" s="23">
        <v>13</v>
      </c>
      <c r="U17" s="28"/>
      <c r="V17" s="28"/>
      <c r="W17" s="28"/>
      <c r="X17" s="28"/>
      <c r="Y17" s="11"/>
      <c r="Z17" s="9"/>
      <c r="AA17" s="9"/>
      <c r="AB17" s="9"/>
      <c r="AC17" s="9"/>
      <c r="AD17" s="1"/>
      <c r="AE17" s="48" t="s">
        <v>15</v>
      </c>
      <c r="AF17" s="29">
        <v>98</v>
      </c>
      <c r="AG17" s="29">
        <v>668</v>
      </c>
      <c r="AH17" s="48" t="s">
        <v>15</v>
      </c>
      <c r="AI17" s="29">
        <v>145</v>
      </c>
      <c r="AJ17" s="29">
        <v>618</v>
      </c>
      <c r="AK17" s="48" t="s">
        <v>15</v>
      </c>
      <c r="AL17" s="29">
        <v>206</v>
      </c>
      <c r="AM17" s="29">
        <v>728</v>
      </c>
      <c r="AN17" s="48" t="s">
        <v>15</v>
      </c>
      <c r="AO17" s="29">
        <v>176</v>
      </c>
      <c r="AP17" s="29">
        <v>705</v>
      </c>
      <c r="AQ17" s="48" t="s">
        <v>15</v>
      </c>
      <c r="AR17" s="29">
        <v>191</v>
      </c>
      <c r="AS17" s="29">
        <v>728</v>
      </c>
    </row>
    <row r="18" spans="1:45" ht="15.5">
      <c r="A18" s="24">
        <v>14</v>
      </c>
      <c r="B18" s="19" t="s">
        <v>49</v>
      </c>
      <c r="C18" s="19" t="s">
        <v>33</v>
      </c>
      <c r="D18" s="11">
        <v>842.25708664278989</v>
      </c>
      <c r="E18" s="9">
        <v>757.31961548609047</v>
      </c>
      <c r="F18" s="9">
        <v>735</v>
      </c>
      <c r="G18" s="9">
        <v>897</v>
      </c>
      <c r="H18" s="9">
        <v>747</v>
      </c>
      <c r="I18" s="1"/>
      <c r="J18" s="21">
        <v>14</v>
      </c>
      <c r="K18" s="44" t="s">
        <v>48</v>
      </c>
      <c r="L18" s="44" t="s">
        <v>78</v>
      </c>
      <c r="M18" s="44" t="s">
        <v>79</v>
      </c>
      <c r="N18" s="11">
        <v>56.856251118909029</v>
      </c>
      <c r="O18" s="9">
        <v>55.843562915260513</v>
      </c>
      <c r="P18" s="9">
        <v>39.545719590605053</v>
      </c>
      <c r="Q18" s="9">
        <v>59.25869762695897</v>
      </c>
      <c r="R18" s="9">
        <v>53.150889822209919</v>
      </c>
      <c r="S18" s="1"/>
      <c r="T18" s="23">
        <v>14</v>
      </c>
      <c r="U18" s="28"/>
      <c r="V18" s="28"/>
      <c r="W18" s="28"/>
      <c r="X18" s="28"/>
      <c r="Y18" s="11"/>
      <c r="Z18" s="9"/>
      <c r="AA18" s="9"/>
      <c r="AB18" s="9"/>
      <c r="AC18" s="9"/>
      <c r="AD18" s="1"/>
      <c r="AE18" s="48" t="s">
        <v>16</v>
      </c>
      <c r="AF18" s="29">
        <f>600+(600-AF17)</f>
        <v>1102</v>
      </c>
      <c r="AG18" s="29">
        <f>AG17</f>
        <v>668</v>
      </c>
      <c r="AH18" s="48" t="s">
        <v>16</v>
      </c>
      <c r="AI18" s="29">
        <f>600+(600-AI17)</f>
        <v>1055</v>
      </c>
      <c r="AJ18" s="29">
        <f>AJ17</f>
        <v>618</v>
      </c>
      <c r="AK18" s="48" t="s">
        <v>16</v>
      </c>
      <c r="AL18" s="29">
        <f t="shared" ref="AL18" si="24">600+(600-AL17)</f>
        <v>994</v>
      </c>
      <c r="AM18" s="29">
        <f t="shared" ref="AM18" si="25">AM17</f>
        <v>728</v>
      </c>
      <c r="AN18" s="48" t="s">
        <v>16</v>
      </c>
      <c r="AO18" s="29">
        <f t="shared" ref="AO18" si="26">600+(600-AO17)</f>
        <v>1024</v>
      </c>
      <c r="AP18" s="29">
        <f t="shared" ref="AP18" si="27">AP17</f>
        <v>705</v>
      </c>
      <c r="AQ18" s="48" t="s">
        <v>16</v>
      </c>
      <c r="AR18" s="29">
        <f t="shared" ref="AR18" si="28">600+(600-AR17)</f>
        <v>1009</v>
      </c>
      <c r="AS18" s="29">
        <f t="shared" ref="AS18" si="29">AS17</f>
        <v>728</v>
      </c>
    </row>
    <row r="19" spans="1:45" ht="15.5">
      <c r="A19" s="24">
        <v>15</v>
      </c>
      <c r="B19" s="19" t="s">
        <v>48</v>
      </c>
      <c r="C19" s="19" t="s">
        <v>34</v>
      </c>
      <c r="D19" s="11">
        <v>1116.9476263460162</v>
      </c>
      <c r="E19" s="9">
        <v>1026.2358403408059</v>
      </c>
      <c r="F19" s="9">
        <v>998</v>
      </c>
      <c r="G19" s="9">
        <v>1173</v>
      </c>
      <c r="H19" s="9">
        <v>994</v>
      </c>
      <c r="I19" s="1"/>
      <c r="J19" s="21">
        <v>15</v>
      </c>
      <c r="K19" s="44" t="s">
        <v>80</v>
      </c>
      <c r="L19" s="44" t="s">
        <v>78</v>
      </c>
      <c r="M19" s="44" t="s">
        <v>79</v>
      </c>
      <c r="N19" s="11">
        <v>20.845012560494187</v>
      </c>
      <c r="O19" s="9">
        <v>17.058898857632943</v>
      </c>
      <c r="P19" s="9">
        <v>15.015443340673198</v>
      </c>
      <c r="Q19" s="9">
        <v>17.884589566197189</v>
      </c>
      <c r="R19" s="9">
        <v>16.012123031733726</v>
      </c>
      <c r="S19" s="1"/>
      <c r="T19" s="23">
        <v>15</v>
      </c>
      <c r="U19" s="28"/>
      <c r="V19" s="28"/>
      <c r="W19" s="28"/>
      <c r="X19" s="28"/>
      <c r="Y19" s="11"/>
      <c r="Z19" s="9"/>
      <c r="AA19" s="9"/>
      <c r="AB19" s="9"/>
      <c r="AC19" s="9"/>
      <c r="AD19" s="1"/>
      <c r="AE19" s="48" t="s">
        <v>17</v>
      </c>
      <c r="AF19" s="29">
        <v>216</v>
      </c>
      <c r="AG19" s="29">
        <v>61</v>
      </c>
      <c r="AH19" s="48" t="s">
        <v>17</v>
      </c>
      <c r="AI19" s="29">
        <v>255</v>
      </c>
      <c r="AJ19" s="29">
        <v>22</v>
      </c>
      <c r="AK19" s="48" t="s">
        <v>17</v>
      </c>
      <c r="AL19" s="29">
        <v>250</v>
      </c>
      <c r="AM19" s="29">
        <v>94</v>
      </c>
      <c r="AN19" s="48" t="s">
        <v>17</v>
      </c>
      <c r="AO19" s="29">
        <v>336</v>
      </c>
      <c r="AP19" s="29">
        <v>102</v>
      </c>
      <c r="AQ19" s="48" t="s">
        <v>17</v>
      </c>
      <c r="AR19" s="29">
        <v>243</v>
      </c>
      <c r="AS19" s="29">
        <v>86</v>
      </c>
    </row>
    <row r="20" spans="1:45" ht="15.5">
      <c r="A20" s="24">
        <v>16</v>
      </c>
      <c r="B20" s="19" t="s">
        <v>50</v>
      </c>
      <c r="C20" s="19" t="s">
        <v>51</v>
      </c>
      <c r="D20" s="11">
        <v>66.760766921898067</v>
      </c>
      <c r="E20" s="9">
        <v>50.990195135927848</v>
      </c>
      <c r="F20" s="9">
        <v>85.094065598019228</v>
      </c>
      <c r="G20" s="9">
        <v>66.753277073114546</v>
      </c>
      <c r="H20" s="9">
        <v>81.055536516637773</v>
      </c>
      <c r="I20" s="3"/>
      <c r="J20" s="21">
        <v>16</v>
      </c>
      <c r="K20" s="44" t="s">
        <v>48</v>
      </c>
      <c r="L20" s="44" t="s">
        <v>81</v>
      </c>
      <c r="M20" s="44" t="s">
        <v>79</v>
      </c>
      <c r="N20" s="11">
        <v>100.02758255018817</v>
      </c>
      <c r="O20" s="9">
        <v>90.686585864714573</v>
      </c>
      <c r="P20" s="9">
        <v>103.68354459025691</v>
      </c>
      <c r="Q20" s="9">
        <v>106.59300736176569</v>
      </c>
      <c r="R20" s="9">
        <v>106.83807671951877</v>
      </c>
      <c r="S20" s="1"/>
      <c r="T20" s="23">
        <v>16</v>
      </c>
      <c r="U20" s="28"/>
      <c r="V20" s="28"/>
      <c r="W20" s="28"/>
      <c r="X20" s="28"/>
      <c r="Y20" s="11"/>
      <c r="Z20" s="9"/>
      <c r="AA20" s="9"/>
      <c r="AB20" s="9"/>
      <c r="AC20" s="9"/>
      <c r="AD20" s="1"/>
      <c r="AE20" s="48" t="s">
        <v>18</v>
      </c>
      <c r="AF20" s="29">
        <v>554</v>
      </c>
      <c r="AG20" s="29">
        <v>64</v>
      </c>
      <c r="AH20" s="48" t="s">
        <v>18</v>
      </c>
      <c r="AI20" s="29">
        <v>578</v>
      </c>
      <c r="AJ20" s="29">
        <v>154</v>
      </c>
      <c r="AK20" s="48" t="s">
        <v>18</v>
      </c>
      <c r="AL20" s="29">
        <v>600</v>
      </c>
      <c r="AM20" s="29">
        <v>182</v>
      </c>
      <c r="AN20" s="48" t="s">
        <v>18</v>
      </c>
      <c r="AO20" s="29">
        <v>600</v>
      </c>
      <c r="AP20" s="29">
        <v>7</v>
      </c>
      <c r="AQ20" s="48" t="s">
        <v>18</v>
      </c>
      <c r="AR20" s="29">
        <v>600</v>
      </c>
      <c r="AS20" s="29">
        <v>186</v>
      </c>
    </row>
    <row r="21" spans="1:45" ht="15.5">
      <c r="A21" s="24">
        <v>17</v>
      </c>
      <c r="B21" s="19" t="s">
        <v>65</v>
      </c>
      <c r="C21" s="19" t="s">
        <v>66</v>
      </c>
      <c r="D21" s="11">
        <v>275</v>
      </c>
      <c r="E21" s="9">
        <v>269</v>
      </c>
      <c r="F21" s="9">
        <v>263</v>
      </c>
      <c r="G21" s="9">
        <v>276</v>
      </c>
      <c r="H21" s="9">
        <v>247</v>
      </c>
      <c r="I21" s="3"/>
      <c r="J21" s="21">
        <v>17</v>
      </c>
      <c r="K21" s="44" t="s">
        <v>80</v>
      </c>
      <c r="L21" s="44" t="s">
        <v>81</v>
      </c>
      <c r="M21" s="44" t="s">
        <v>79</v>
      </c>
      <c r="N21" s="11">
        <v>25.677589783250038</v>
      </c>
      <c r="O21" s="9">
        <v>17.603994792136014</v>
      </c>
      <c r="P21" s="9">
        <v>18.944437070892317</v>
      </c>
      <c r="Q21" s="9">
        <v>18.37314604049724</v>
      </c>
      <c r="R21" s="9">
        <v>28.010707366525974</v>
      </c>
      <c r="S21" s="1"/>
      <c r="T21" s="23">
        <v>17</v>
      </c>
      <c r="U21" s="28"/>
      <c r="V21" s="28"/>
      <c r="W21" s="28"/>
      <c r="X21" s="28"/>
      <c r="Y21" s="11"/>
      <c r="Z21" s="9"/>
      <c r="AA21" s="9"/>
      <c r="AB21" s="9"/>
      <c r="AC21" s="9"/>
      <c r="AD21" s="1"/>
      <c r="AE21" s="48" t="s">
        <v>19</v>
      </c>
      <c r="AF21" s="29">
        <f>600+(600-AF19)</f>
        <v>984</v>
      </c>
      <c r="AG21" s="29">
        <f>AG19</f>
        <v>61</v>
      </c>
      <c r="AH21" s="48" t="s">
        <v>19</v>
      </c>
      <c r="AI21" s="29">
        <f>600+(600-AI19)</f>
        <v>945</v>
      </c>
      <c r="AJ21" s="29">
        <f>AJ19</f>
        <v>22</v>
      </c>
      <c r="AK21" s="48" t="s">
        <v>19</v>
      </c>
      <c r="AL21" s="29">
        <f t="shared" ref="AL21" si="30">600+(600-AL19)</f>
        <v>950</v>
      </c>
      <c r="AM21" s="29">
        <f t="shared" ref="AM21" si="31">AM19</f>
        <v>94</v>
      </c>
      <c r="AN21" s="48" t="s">
        <v>19</v>
      </c>
      <c r="AO21" s="29">
        <f t="shared" ref="AO21" si="32">600+(600-AO19)</f>
        <v>864</v>
      </c>
      <c r="AP21" s="29">
        <f t="shared" ref="AP21" si="33">AP19</f>
        <v>102</v>
      </c>
      <c r="AQ21" s="48" t="s">
        <v>19</v>
      </c>
      <c r="AR21" s="29">
        <f t="shared" ref="AR21" si="34">600+(600-AR19)</f>
        <v>957</v>
      </c>
      <c r="AS21" s="29">
        <f t="shared" ref="AS21" si="35">AS19</f>
        <v>86</v>
      </c>
    </row>
    <row r="22" spans="1:45" ht="15.5">
      <c r="A22" s="24">
        <v>18</v>
      </c>
      <c r="B22" s="19" t="s">
        <v>76</v>
      </c>
      <c r="C22" s="19" t="s">
        <v>75</v>
      </c>
      <c r="D22" s="11">
        <v>44.911023145771239</v>
      </c>
      <c r="E22" s="9">
        <v>34.014702703389901</v>
      </c>
      <c r="F22" s="9">
        <v>32.249030993194197</v>
      </c>
      <c r="G22" s="9">
        <v>29.427877939124322</v>
      </c>
      <c r="H22" s="9">
        <v>38.626415831655933</v>
      </c>
      <c r="I22" s="3"/>
      <c r="J22" s="21">
        <v>18</v>
      </c>
      <c r="K22" s="27"/>
      <c r="L22" s="27"/>
      <c r="M22" s="27"/>
      <c r="N22" s="11"/>
      <c r="O22" s="9"/>
      <c r="P22" s="9"/>
      <c r="Q22" s="9"/>
      <c r="R22" s="9"/>
      <c r="S22" s="1"/>
      <c r="T22" s="23">
        <v>18</v>
      </c>
      <c r="U22" s="28"/>
      <c r="V22" s="28"/>
      <c r="W22" s="28"/>
      <c r="X22" s="28"/>
      <c r="Y22" s="11"/>
      <c r="Z22" s="9"/>
      <c r="AA22" s="9"/>
      <c r="AB22" s="9"/>
      <c r="AC22" s="9"/>
      <c r="AD22" s="1"/>
      <c r="AE22" s="48" t="s">
        <v>20</v>
      </c>
      <c r="AF22" s="29">
        <v>362</v>
      </c>
      <c r="AG22" s="29">
        <v>551</v>
      </c>
      <c r="AH22" s="48" t="s">
        <v>20</v>
      </c>
      <c r="AI22" s="29">
        <v>349</v>
      </c>
      <c r="AJ22" s="29">
        <v>567</v>
      </c>
      <c r="AK22" s="48" t="s">
        <v>20</v>
      </c>
      <c r="AL22" s="29">
        <v>347</v>
      </c>
      <c r="AM22" s="29">
        <v>540</v>
      </c>
      <c r="AN22" s="49" t="s">
        <v>20</v>
      </c>
      <c r="AO22" s="30">
        <v>347</v>
      </c>
      <c r="AP22" s="30">
        <v>543</v>
      </c>
      <c r="AQ22" s="48" t="s">
        <v>20</v>
      </c>
      <c r="AR22" s="29">
        <v>308</v>
      </c>
      <c r="AS22" s="29">
        <v>540</v>
      </c>
    </row>
    <row r="23" spans="1:45" ht="15.5">
      <c r="A23" s="24">
        <v>19</v>
      </c>
      <c r="B23" s="19" t="s">
        <v>73</v>
      </c>
      <c r="C23" s="19" t="s">
        <v>74</v>
      </c>
      <c r="D23" s="11">
        <v>210.46614929722071</v>
      </c>
      <c r="E23" s="9">
        <v>213.75921032788273</v>
      </c>
      <c r="F23" s="9">
        <v>207.06037766796427</v>
      </c>
      <c r="G23" s="9">
        <v>180.06943105369106</v>
      </c>
      <c r="H23" s="9">
        <v>205.7790076757102</v>
      </c>
      <c r="I23" s="3"/>
      <c r="J23" s="21">
        <v>19</v>
      </c>
      <c r="K23" s="27"/>
      <c r="L23" s="27"/>
      <c r="M23" s="27"/>
      <c r="N23" s="11"/>
      <c r="O23" s="9"/>
      <c r="P23" s="9"/>
      <c r="Q23" s="9"/>
      <c r="R23" s="9"/>
      <c r="S23" s="1"/>
      <c r="T23" s="23">
        <v>19</v>
      </c>
      <c r="U23" s="28"/>
      <c r="V23" s="28"/>
      <c r="W23" s="28"/>
      <c r="X23" s="28"/>
      <c r="Y23" s="11"/>
      <c r="Z23" s="9"/>
      <c r="AA23" s="9"/>
      <c r="AB23" s="9"/>
      <c r="AC23" s="9"/>
      <c r="AD23" s="1"/>
      <c r="AE23" s="48" t="s">
        <v>21</v>
      </c>
      <c r="AF23" s="29">
        <v>432</v>
      </c>
      <c r="AG23" s="29">
        <v>568</v>
      </c>
      <c r="AH23" s="49" t="s">
        <v>21</v>
      </c>
      <c r="AI23" s="30">
        <v>439</v>
      </c>
      <c r="AJ23" s="30">
        <v>600</v>
      </c>
      <c r="AK23" s="48" t="s">
        <v>21</v>
      </c>
      <c r="AL23" s="29">
        <v>430</v>
      </c>
      <c r="AM23" s="29">
        <v>573</v>
      </c>
      <c r="AN23" s="49" t="s">
        <v>21</v>
      </c>
      <c r="AO23" s="30">
        <v>424</v>
      </c>
      <c r="AP23" s="30">
        <v>557</v>
      </c>
      <c r="AQ23" s="48" t="s">
        <v>21</v>
      </c>
      <c r="AR23" s="29">
        <v>411</v>
      </c>
      <c r="AS23" s="29">
        <v>588</v>
      </c>
    </row>
    <row r="24" spans="1:45" ht="15.5">
      <c r="A24" s="24">
        <v>20</v>
      </c>
      <c r="B24" s="19"/>
      <c r="C24" s="19"/>
      <c r="D24" s="11"/>
      <c r="E24" s="9"/>
      <c r="F24" s="9"/>
      <c r="G24" s="9"/>
      <c r="H24" s="9"/>
      <c r="I24" s="3"/>
      <c r="J24" s="21">
        <v>20</v>
      </c>
      <c r="K24" s="27"/>
      <c r="L24" s="27"/>
      <c r="M24" s="27"/>
      <c r="N24" s="11"/>
      <c r="O24" s="9"/>
      <c r="P24" s="9"/>
      <c r="Q24" s="9"/>
      <c r="R24" s="9"/>
      <c r="S24" s="1"/>
      <c r="T24" s="23">
        <v>20</v>
      </c>
      <c r="U24" s="28"/>
      <c r="V24" s="28"/>
      <c r="W24" s="28"/>
      <c r="X24" s="28"/>
      <c r="Y24" s="11"/>
      <c r="Z24" s="9"/>
      <c r="AA24" s="9"/>
      <c r="AB24" s="9"/>
      <c r="AC24" s="9"/>
      <c r="AD24" s="1"/>
      <c r="AE24" s="48" t="s">
        <v>22</v>
      </c>
      <c r="AF24" s="29">
        <v>506</v>
      </c>
      <c r="AG24" s="29">
        <v>547</v>
      </c>
      <c r="AH24" s="49" t="s">
        <v>22</v>
      </c>
      <c r="AI24" s="30">
        <v>506</v>
      </c>
      <c r="AJ24" s="30">
        <v>581</v>
      </c>
      <c r="AK24" s="48" t="s">
        <v>22</v>
      </c>
      <c r="AL24" s="29">
        <v>507</v>
      </c>
      <c r="AM24" s="29">
        <v>557</v>
      </c>
      <c r="AN24" s="49" t="s">
        <v>22</v>
      </c>
      <c r="AO24" s="30">
        <v>490</v>
      </c>
      <c r="AP24" s="30">
        <v>527</v>
      </c>
      <c r="AQ24" s="48" t="s">
        <v>22</v>
      </c>
      <c r="AR24" s="29">
        <v>504</v>
      </c>
      <c r="AS24" s="29">
        <v>561</v>
      </c>
    </row>
    <row r="25" spans="1:45" ht="15.5">
      <c r="A25" s="24">
        <v>21</v>
      </c>
      <c r="B25" s="19"/>
      <c r="C25" s="19"/>
      <c r="D25" s="9"/>
      <c r="E25" s="9"/>
      <c r="F25" s="9"/>
      <c r="G25" s="9"/>
      <c r="H25" s="9"/>
      <c r="I25" s="3"/>
      <c r="J25" s="21">
        <v>21</v>
      </c>
      <c r="K25" s="27"/>
      <c r="L25" s="27"/>
      <c r="M25" s="27"/>
      <c r="N25" s="11"/>
      <c r="O25" s="9"/>
      <c r="P25" s="9"/>
      <c r="Q25" s="9"/>
      <c r="R25" s="9"/>
      <c r="S25" s="1"/>
      <c r="T25" s="23">
        <v>21</v>
      </c>
      <c r="U25" s="28"/>
      <c r="V25" s="28"/>
      <c r="W25" s="28"/>
      <c r="X25" s="28"/>
      <c r="Y25" s="11"/>
      <c r="Z25" s="9"/>
      <c r="AA25" s="9"/>
      <c r="AB25" s="9"/>
      <c r="AC25" s="9"/>
      <c r="AD25" s="1"/>
      <c r="AE25" s="48" t="s">
        <v>23</v>
      </c>
      <c r="AF25" s="29">
        <v>413</v>
      </c>
      <c r="AG25" s="29">
        <v>504</v>
      </c>
      <c r="AH25" s="49" t="s">
        <v>23</v>
      </c>
      <c r="AI25" s="30">
        <v>429</v>
      </c>
      <c r="AJ25" s="30">
        <v>550</v>
      </c>
      <c r="AK25" s="48" t="s">
        <v>23</v>
      </c>
      <c r="AL25" s="29">
        <v>426</v>
      </c>
      <c r="AM25" s="29">
        <v>488</v>
      </c>
      <c r="AN25" s="49" t="s">
        <v>23</v>
      </c>
      <c r="AO25" s="30">
        <v>414</v>
      </c>
      <c r="AP25" s="30">
        <v>491</v>
      </c>
      <c r="AQ25" s="48" t="s">
        <v>23</v>
      </c>
      <c r="AR25" s="29">
        <v>408</v>
      </c>
      <c r="AS25" s="29">
        <v>507</v>
      </c>
    </row>
    <row r="26" spans="1:45" ht="15.5">
      <c r="A26" s="24">
        <v>22</v>
      </c>
      <c r="B26" s="19"/>
      <c r="C26" s="19"/>
      <c r="D26" s="9"/>
      <c r="E26" s="9"/>
      <c r="F26" s="9"/>
      <c r="G26" s="9"/>
      <c r="H26" s="9"/>
      <c r="I26" s="3"/>
      <c r="J26" s="21">
        <v>22</v>
      </c>
      <c r="K26" s="27"/>
      <c r="L26" s="27"/>
      <c r="M26" s="27"/>
      <c r="N26" s="11"/>
      <c r="O26" s="9"/>
      <c r="P26" s="9"/>
      <c r="Q26" s="9"/>
      <c r="R26" s="9"/>
      <c r="S26" s="1"/>
      <c r="T26" s="23">
        <v>22</v>
      </c>
      <c r="U26" s="28"/>
      <c r="V26" s="28"/>
      <c r="W26" s="28"/>
      <c r="X26" s="28"/>
      <c r="Y26" s="11"/>
      <c r="Z26" s="9"/>
      <c r="AA26" s="9"/>
      <c r="AB26" s="9"/>
      <c r="AC26" s="9"/>
      <c r="AD26" s="1"/>
      <c r="AE26" s="48" t="s">
        <v>24</v>
      </c>
      <c r="AF26" s="31">
        <v>1180</v>
      </c>
      <c r="AG26" s="31">
        <v>1180</v>
      </c>
      <c r="AH26" s="49" t="s">
        <v>24</v>
      </c>
      <c r="AI26" s="30">
        <v>1180</v>
      </c>
      <c r="AJ26" s="30">
        <v>1180</v>
      </c>
      <c r="AK26" s="48" t="s">
        <v>24</v>
      </c>
      <c r="AL26" s="31">
        <v>1180</v>
      </c>
      <c r="AM26" s="31">
        <v>1180</v>
      </c>
      <c r="AN26" s="49" t="s">
        <v>24</v>
      </c>
      <c r="AO26" s="30">
        <v>1180</v>
      </c>
      <c r="AP26" s="30">
        <v>1180</v>
      </c>
      <c r="AQ26" s="32" t="s">
        <v>24</v>
      </c>
      <c r="AR26" s="31">
        <v>1180</v>
      </c>
      <c r="AS26" s="31">
        <v>1180</v>
      </c>
    </row>
    <row r="27" spans="1:45" ht="15.5">
      <c r="A27" s="24">
        <v>23</v>
      </c>
      <c r="B27" s="19"/>
      <c r="C27" s="19"/>
      <c r="D27" s="9"/>
      <c r="E27" s="9"/>
      <c r="F27" s="9"/>
      <c r="G27" s="9"/>
      <c r="H27" s="9"/>
      <c r="I27" s="1"/>
      <c r="J27" s="21">
        <v>23</v>
      </c>
      <c r="K27" s="27"/>
      <c r="L27" s="27"/>
      <c r="M27" s="27"/>
      <c r="N27" s="11"/>
      <c r="O27" s="9"/>
      <c r="P27" s="9"/>
      <c r="Q27" s="9"/>
      <c r="R27" s="9"/>
      <c r="S27" s="1"/>
      <c r="T27" s="23">
        <v>23</v>
      </c>
      <c r="U27" s="28"/>
      <c r="V27" s="28"/>
      <c r="W27" s="28"/>
      <c r="X27" s="28"/>
      <c r="Y27" s="11"/>
      <c r="Z27" s="9"/>
      <c r="AA27" s="9"/>
      <c r="AB27" s="9"/>
      <c r="AC27" s="9"/>
      <c r="AD27" s="1"/>
      <c r="AE27" s="46" t="s">
        <v>67</v>
      </c>
      <c r="AF27" s="8">
        <v>600</v>
      </c>
      <c r="AG27" s="37">
        <v>0</v>
      </c>
      <c r="AH27" s="46" t="s">
        <v>67</v>
      </c>
      <c r="AI27" s="9">
        <v>600</v>
      </c>
      <c r="AJ27" s="38">
        <v>0</v>
      </c>
      <c r="AK27" s="46" t="s">
        <v>67</v>
      </c>
      <c r="AL27" s="8">
        <v>600</v>
      </c>
      <c r="AM27" s="37">
        <v>0</v>
      </c>
      <c r="AN27" s="46" t="s">
        <v>67</v>
      </c>
      <c r="AO27" s="9">
        <v>600</v>
      </c>
      <c r="AP27" s="38">
        <v>0</v>
      </c>
      <c r="AQ27" s="46" t="s">
        <v>67</v>
      </c>
      <c r="AR27" s="8">
        <v>600</v>
      </c>
      <c r="AS27" s="37">
        <v>0</v>
      </c>
    </row>
    <row r="28" spans="1:45" ht="15.5">
      <c r="A28" s="24">
        <v>24</v>
      </c>
      <c r="B28" s="19"/>
      <c r="C28" s="19"/>
      <c r="D28" s="9"/>
      <c r="E28" s="12"/>
      <c r="F28" s="12"/>
      <c r="G28" s="12"/>
      <c r="H28" s="12"/>
      <c r="I28" s="7"/>
      <c r="J28" s="21">
        <v>24</v>
      </c>
      <c r="K28" s="27"/>
      <c r="L28" s="27"/>
      <c r="M28" s="27"/>
      <c r="N28" s="17"/>
      <c r="O28" s="12"/>
      <c r="P28" s="12"/>
      <c r="Q28" s="12"/>
      <c r="R28" s="12"/>
      <c r="S28" s="7"/>
      <c r="T28" s="23">
        <v>24</v>
      </c>
      <c r="U28" s="28"/>
      <c r="V28" s="28"/>
      <c r="W28" s="28"/>
      <c r="X28" s="28"/>
      <c r="Y28" s="17"/>
      <c r="Z28" s="12"/>
      <c r="AA28" s="12"/>
      <c r="AB28" s="12"/>
      <c r="AC28" s="12"/>
      <c r="AD28" s="7"/>
      <c r="AE28" s="46" t="s">
        <v>68</v>
      </c>
      <c r="AF28" s="8">
        <v>418</v>
      </c>
      <c r="AG28" s="37">
        <v>448</v>
      </c>
      <c r="AH28" s="46" t="s">
        <v>68</v>
      </c>
      <c r="AI28" s="9">
        <v>419</v>
      </c>
      <c r="AJ28" s="38">
        <v>494</v>
      </c>
      <c r="AK28" s="46" t="s">
        <v>68</v>
      </c>
      <c r="AL28" s="8">
        <v>408</v>
      </c>
      <c r="AM28" s="37">
        <v>424</v>
      </c>
      <c r="AN28" s="46" t="s">
        <v>68</v>
      </c>
      <c r="AO28" s="9">
        <v>408</v>
      </c>
      <c r="AP28" s="38">
        <v>442</v>
      </c>
      <c r="AQ28" s="46" t="s">
        <v>68</v>
      </c>
      <c r="AR28" s="8">
        <v>419</v>
      </c>
      <c r="AS28" s="37">
        <v>465</v>
      </c>
    </row>
    <row r="29" spans="1:45" ht="15.5">
      <c r="A29" s="24">
        <v>25</v>
      </c>
      <c r="B29" s="19"/>
      <c r="C29" s="19"/>
      <c r="D29" s="18"/>
      <c r="E29" s="13"/>
      <c r="F29" s="9"/>
      <c r="G29" s="9"/>
      <c r="H29" s="9"/>
      <c r="I29" s="1"/>
      <c r="J29" s="21">
        <v>25</v>
      </c>
      <c r="K29" s="27"/>
      <c r="L29" s="27"/>
      <c r="M29" s="27"/>
      <c r="N29" s="11"/>
      <c r="O29" s="9"/>
      <c r="P29" s="9"/>
      <c r="Q29" s="9"/>
      <c r="R29" s="9"/>
      <c r="S29" s="1"/>
      <c r="T29" s="23">
        <v>25</v>
      </c>
      <c r="U29" s="28"/>
      <c r="V29" s="28"/>
      <c r="W29" s="28"/>
      <c r="X29" s="28"/>
      <c r="Y29" s="11"/>
      <c r="Z29" s="9"/>
      <c r="AA29" s="9"/>
      <c r="AB29" s="9"/>
      <c r="AC29" s="9"/>
      <c r="AD29" s="1"/>
      <c r="AE29" s="46" t="s">
        <v>69</v>
      </c>
      <c r="AF29" s="8">
        <v>304</v>
      </c>
      <c r="AG29" s="37">
        <v>499</v>
      </c>
      <c r="AH29" s="46" t="s">
        <v>69</v>
      </c>
      <c r="AI29" s="9">
        <v>307</v>
      </c>
      <c r="AJ29" s="38">
        <v>524</v>
      </c>
      <c r="AK29" s="46" t="s">
        <v>69</v>
      </c>
      <c r="AL29" s="8">
        <v>291</v>
      </c>
      <c r="AM29" s="37">
        <v>461</v>
      </c>
      <c r="AN29" s="46" t="s">
        <v>69</v>
      </c>
      <c r="AO29" s="9">
        <v>318</v>
      </c>
      <c r="AP29" s="38">
        <v>470</v>
      </c>
      <c r="AQ29" s="46" t="s">
        <v>69</v>
      </c>
      <c r="AR29" s="8">
        <v>282</v>
      </c>
      <c r="AS29" s="37">
        <v>478</v>
      </c>
    </row>
    <row r="30" spans="1:45" ht="15.5">
      <c r="A30" s="24">
        <v>26</v>
      </c>
      <c r="B30" s="19"/>
      <c r="C30" s="19"/>
      <c r="D30" s="11"/>
      <c r="E30" s="9"/>
      <c r="F30" s="9"/>
      <c r="G30" s="9"/>
      <c r="H30" s="9"/>
      <c r="I30" s="1"/>
      <c r="J30" s="21">
        <v>26</v>
      </c>
      <c r="K30" s="27"/>
      <c r="L30" s="27"/>
      <c r="M30" s="27"/>
      <c r="N30" s="11"/>
      <c r="O30" s="9"/>
      <c r="P30" s="9"/>
      <c r="Q30" s="9"/>
      <c r="R30" s="9"/>
      <c r="S30" s="1"/>
      <c r="T30" s="23">
        <v>26</v>
      </c>
      <c r="U30" s="28"/>
      <c r="V30" s="28"/>
      <c r="W30" s="28"/>
      <c r="X30" s="28"/>
      <c r="Y30" s="11"/>
      <c r="Z30" s="9"/>
      <c r="AA30" s="9"/>
      <c r="AB30" s="9"/>
      <c r="AC30" s="9"/>
      <c r="AD30" s="1"/>
      <c r="AE30" s="46" t="s">
        <v>70</v>
      </c>
      <c r="AF30" s="8">
        <v>514</v>
      </c>
      <c r="AG30" s="37">
        <v>485</v>
      </c>
      <c r="AH30" s="46" t="s">
        <v>70</v>
      </c>
      <c r="AI30" s="9">
        <v>520</v>
      </c>
      <c r="AJ30" s="38">
        <v>542</v>
      </c>
      <c r="AK30" s="46" t="s">
        <v>70</v>
      </c>
      <c r="AL30" s="8">
        <v>498</v>
      </c>
      <c r="AM30" s="37">
        <v>466</v>
      </c>
      <c r="AN30" s="46" t="s">
        <v>70</v>
      </c>
      <c r="AO30" s="9">
        <v>498</v>
      </c>
      <c r="AP30" s="38">
        <v>465</v>
      </c>
      <c r="AQ30" s="46" t="s">
        <v>70</v>
      </c>
      <c r="AR30" s="8">
        <v>486</v>
      </c>
      <c r="AS30" s="37">
        <v>505</v>
      </c>
    </row>
    <row r="31" spans="1:45" ht="15.5">
      <c r="A31" s="24">
        <v>27</v>
      </c>
      <c r="B31" s="19"/>
      <c r="C31" s="19"/>
      <c r="D31" s="11"/>
      <c r="E31" s="9"/>
      <c r="F31" s="9"/>
      <c r="G31" s="9"/>
      <c r="H31" s="9"/>
      <c r="I31" s="1"/>
      <c r="J31" s="21">
        <v>27</v>
      </c>
      <c r="K31" s="27"/>
      <c r="L31" s="27"/>
      <c r="M31" s="27"/>
      <c r="N31" s="11"/>
      <c r="O31" s="9"/>
      <c r="P31" s="9"/>
      <c r="Q31" s="9"/>
      <c r="R31" s="9"/>
      <c r="S31" s="1"/>
      <c r="T31" s="23">
        <v>27</v>
      </c>
      <c r="U31" s="28"/>
      <c r="V31" s="28"/>
      <c r="W31" s="28"/>
      <c r="X31" s="28"/>
      <c r="Y31" s="11"/>
      <c r="Z31" s="9"/>
      <c r="AA31" s="9"/>
      <c r="AB31" s="9"/>
      <c r="AC31" s="9"/>
      <c r="AD31" s="1"/>
      <c r="AE31" s="46" t="s">
        <v>71</v>
      </c>
      <c r="AF31" s="8">
        <v>427</v>
      </c>
      <c r="AG31" s="37">
        <v>492</v>
      </c>
      <c r="AH31" s="46" t="s">
        <v>71</v>
      </c>
      <c r="AI31" s="9">
        <v>418</v>
      </c>
      <c r="AJ31" s="38">
        <v>528</v>
      </c>
      <c r="AK31" s="46" t="s">
        <v>71</v>
      </c>
      <c r="AL31" s="8">
        <v>404</v>
      </c>
      <c r="AM31" s="37">
        <v>456</v>
      </c>
      <c r="AN31" s="46" t="s">
        <v>71</v>
      </c>
      <c r="AO31" s="9">
        <v>413</v>
      </c>
      <c r="AP31" s="38">
        <v>471</v>
      </c>
      <c r="AQ31" s="46" t="s">
        <v>71</v>
      </c>
      <c r="AR31" s="8">
        <v>405</v>
      </c>
      <c r="AS31" s="37">
        <v>501</v>
      </c>
    </row>
    <row r="32" spans="1:45" ht="15.5">
      <c r="A32" s="24">
        <v>28</v>
      </c>
      <c r="B32" s="19"/>
      <c r="C32" s="19"/>
      <c r="D32" s="11"/>
      <c r="E32" s="9"/>
      <c r="F32" s="9"/>
      <c r="G32" s="9"/>
      <c r="H32" s="9"/>
      <c r="I32" s="1"/>
      <c r="J32" s="21">
        <v>28</v>
      </c>
      <c r="K32" s="27"/>
      <c r="L32" s="27"/>
      <c r="M32" s="27"/>
      <c r="N32" s="11"/>
      <c r="O32" s="9"/>
      <c r="P32" s="9"/>
      <c r="Q32" s="9"/>
      <c r="R32" s="9"/>
      <c r="S32" s="1"/>
      <c r="T32" s="23">
        <v>28</v>
      </c>
      <c r="U32" s="28"/>
      <c r="V32" s="28"/>
      <c r="W32" s="28"/>
      <c r="X32" s="28"/>
      <c r="Y32" s="11"/>
      <c r="Z32" s="9"/>
      <c r="AA32" s="9"/>
      <c r="AB32" s="9"/>
      <c r="AC32" s="9"/>
      <c r="AD32" s="1"/>
      <c r="AE32" s="46"/>
      <c r="AF32" s="8"/>
      <c r="AG32" s="37"/>
      <c r="AH32" s="46"/>
      <c r="AI32" s="9"/>
      <c r="AJ32" s="38"/>
      <c r="AK32" s="46"/>
      <c r="AL32" s="8"/>
      <c r="AM32" s="37"/>
      <c r="AN32" s="46"/>
      <c r="AO32" s="9"/>
      <c r="AP32" s="38"/>
      <c r="AQ32" s="46"/>
      <c r="AR32" s="8"/>
      <c r="AS32" s="37"/>
    </row>
    <row r="33" spans="1:45" ht="15.5">
      <c r="A33" s="24">
        <v>29</v>
      </c>
      <c r="B33" s="19"/>
      <c r="C33" s="19"/>
      <c r="D33" s="11"/>
      <c r="E33" s="9"/>
      <c r="F33" s="9"/>
      <c r="G33" s="9"/>
      <c r="H33" s="9"/>
      <c r="I33" s="1"/>
      <c r="J33" s="21">
        <v>29</v>
      </c>
      <c r="K33" s="27"/>
      <c r="L33" s="27"/>
      <c r="M33" s="27"/>
      <c r="N33" s="11"/>
      <c r="O33" s="9"/>
      <c r="P33" s="9"/>
      <c r="Q33" s="9"/>
      <c r="R33" s="9"/>
      <c r="S33" s="1"/>
      <c r="T33" s="23">
        <v>29</v>
      </c>
      <c r="U33" s="28"/>
      <c r="V33" s="28"/>
      <c r="W33" s="28"/>
      <c r="X33" s="28"/>
      <c r="Y33" s="11"/>
      <c r="Z33" s="9"/>
      <c r="AA33" s="9"/>
      <c r="AB33" s="9"/>
      <c r="AC33" s="9"/>
      <c r="AD33" s="1"/>
      <c r="AE33" s="26"/>
      <c r="AF33" s="8"/>
      <c r="AG33" s="6"/>
      <c r="AH33" s="5"/>
      <c r="AI33" s="9"/>
      <c r="AJ33" s="16"/>
      <c r="AK33" s="26"/>
      <c r="AL33" s="8"/>
      <c r="AM33" s="6"/>
      <c r="AN33" s="5"/>
      <c r="AO33" s="9"/>
      <c r="AP33" s="16"/>
      <c r="AQ33" s="26"/>
      <c r="AR33" s="8"/>
      <c r="AS33" s="6"/>
    </row>
    <row r="34" spans="1:45" ht="15.5">
      <c r="A34" s="24">
        <v>30</v>
      </c>
      <c r="B34" s="19"/>
      <c r="C34" s="19"/>
      <c r="D34" s="11"/>
      <c r="E34" s="9"/>
      <c r="F34" s="9"/>
      <c r="G34" s="9"/>
      <c r="H34" s="9"/>
      <c r="I34" s="1"/>
      <c r="J34" s="21">
        <v>30</v>
      </c>
      <c r="K34" s="27"/>
      <c r="L34" s="27"/>
      <c r="M34" s="27"/>
      <c r="N34" s="11"/>
      <c r="O34" s="9"/>
      <c r="P34" s="9"/>
      <c r="Q34" s="9"/>
      <c r="R34" s="9"/>
      <c r="S34" s="1"/>
      <c r="T34" s="23">
        <v>30</v>
      </c>
      <c r="U34" s="28"/>
      <c r="V34" s="28"/>
      <c r="W34" s="28"/>
      <c r="X34" s="28"/>
      <c r="Y34" s="11"/>
      <c r="Z34" s="9"/>
      <c r="AA34" s="9"/>
      <c r="AB34" s="9"/>
      <c r="AC34" s="9"/>
      <c r="AD34" s="1"/>
      <c r="AE34" s="26"/>
      <c r="AF34" s="8"/>
      <c r="AG34" s="6"/>
      <c r="AH34" s="5"/>
      <c r="AI34" s="9"/>
      <c r="AJ34" s="16"/>
      <c r="AK34" s="26"/>
      <c r="AL34" s="8"/>
      <c r="AM34" s="6"/>
      <c r="AN34" s="5"/>
      <c r="AO34" s="9"/>
      <c r="AP34" s="16"/>
      <c r="AQ34" s="26"/>
      <c r="AR34" s="8"/>
      <c r="AS34" s="6"/>
    </row>
  </sheetData>
  <mergeCells count="23">
    <mergeCell ref="A1:H1"/>
    <mergeCell ref="J1:R1"/>
    <mergeCell ref="T1:AC1"/>
    <mergeCell ref="AE1:AS1"/>
    <mergeCell ref="A2:C4"/>
    <mergeCell ref="D2:F3"/>
    <mergeCell ref="G2:H3"/>
    <mergeCell ref="J2:M4"/>
    <mergeCell ref="N2:P3"/>
    <mergeCell ref="Q2:R3"/>
    <mergeCell ref="T2:X4"/>
    <mergeCell ref="Y2:AA3"/>
    <mergeCell ref="AB2:AC3"/>
    <mergeCell ref="AE2:AG2"/>
    <mergeCell ref="AH2:AJ2"/>
    <mergeCell ref="AN2:AP2"/>
    <mergeCell ref="AQ2:AS2"/>
    <mergeCell ref="AF3:AG3"/>
    <mergeCell ref="AI3:AJ3"/>
    <mergeCell ref="AL3:AM3"/>
    <mergeCell ref="AO3:AP3"/>
    <mergeCell ref="AR3:AS3"/>
    <mergeCell ref="AK2:AM2"/>
  </mergeCells>
  <phoneticPr fontId="7" type="noConversion"/>
  <conditionalFormatting sqref="Y1:AC1 Y4:AC34 Y2">
    <cfRule type="cellIs" dxfId="7" priority="1" operator="lessThan">
      <formula>0</formula>
    </cfRule>
  </conditionalFormatting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工作表19"/>
  <dimension ref="A1:AS34"/>
  <sheetViews>
    <sheetView topLeftCell="Y1" zoomScale="85" zoomScaleNormal="85" workbookViewId="0">
      <selection activeCell="AI3" sqref="AI3:AJ3"/>
    </sheetView>
  </sheetViews>
  <sheetFormatPr defaultRowHeight="15"/>
  <cols>
    <col min="21" max="22" width="4.6640625" customWidth="1"/>
    <col min="23" max="23" width="4.5" customWidth="1"/>
    <col min="24" max="24" width="4.9140625" customWidth="1"/>
  </cols>
  <sheetData>
    <row r="1" spans="1:45" ht="23">
      <c r="A1" s="57" t="s">
        <v>58</v>
      </c>
      <c r="B1" s="57"/>
      <c r="C1" s="57"/>
      <c r="D1" s="57"/>
      <c r="E1" s="57"/>
      <c r="F1" s="57"/>
      <c r="G1" s="57"/>
      <c r="H1" s="58"/>
      <c r="I1" s="1"/>
      <c r="J1" s="59" t="s">
        <v>60</v>
      </c>
      <c r="K1" s="59"/>
      <c r="L1" s="59"/>
      <c r="M1" s="59"/>
      <c r="N1" s="59"/>
      <c r="O1" s="59"/>
      <c r="P1" s="59"/>
      <c r="Q1" s="59"/>
      <c r="R1" s="59"/>
      <c r="S1" s="1"/>
      <c r="T1" s="60" t="s">
        <v>59</v>
      </c>
      <c r="U1" s="60"/>
      <c r="V1" s="60"/>
      <c r="W1" s="60"/>
      <c r="X1" s="60"/>
      <c r="Y1" s="60"/>
      <c r="Z1" s="60"/>
      <c r="AA1" s="60"/>
      <c r="AB1" s="60"/>
      <c r="AC1" s="60"/>
      <c r="AD1" s="1"/>
      <c r="AE1" s="61" t="s">
        <v>180</v>
      </c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</row>
    <row r="2" spans="1:45" ht="18">
      <c r="A2" s="63" t="s">
        <v>55</v>
      </c>
      <c r="B2" s="63"/>
      <c r="C2" s="63"/>
      <c r="D2" s="65"/>
      <c r="E2" s="66"/>
      <c r="F2" s="67"/>
      <c r="G2" s="65"/>
      <c r="H2" s="67"/>
      <c r="I2" s="2"/>
      <c r="J2" s="71" t="s">
        <v>56</v>
      </c>
      <c r="K2" s="71"/>
      <c r="L2" s="71"/>
      <c r="M2" s="71"/>
      <c r="N2" s="73"/>
      <c r="O2" s="74"/>
      <c r="P2" s="75"/>
      <c r="Q2" s="73"/>
      <c r="R2" s="75"/>
      <c r="S2" s="2"/>
      <c r="T2" s="90" t="s">
        <v>57</v>
      </c>
      <c r="U2" s="90"/>
      <c r="V2" s="90"/>
      <c r="W2" s="90"/>
      <c r="X2" s="90"/>
      <c r="Y2" s="92"/>
      <c r="Z2" s="93"/>
      <c r="AA2" s="94"/>
      <c r="AB2" s="92"/>
      <c r="AC2" s="94"/>
      <c r="AD2" s="2"/>
      <c r="AE2" s="54" t="s">
        <v>125</v>
      </c>
      <c r="AF2" s="55"/>
      <c r="AG2" s="56"/>
      <c r="AH2" s="81" t="s">
        <v>126</v>
      </c>
      <c r="AI2" s="82"/>
      <c r="AJ2" s="83"/>
      <c r="AK2" s="54" t="s">
        <v>127</v>
      </c>
      <c r="AL2" s="55"/>
      <c r="AM2" s="56"/>
      <c r="AN2" s="81" t="s">
        <v>128</v>
      </c>
      <c r="AO2" s="82"/>
      <c r="AP2" s="83"/>
      <c r="AQ2" s="54" t="s">
        <v>129</v>
      </c>
      <c r="AR2" s="55"/>
      <c r="AS2" s="56"/>
    </row>
    <row r="3" spans="1:45" ht="15.5">
      <c r="A3" s="63"/>
      <c r="B3" s="63"/>
      <c r="C3" s="63"/>
      <c r="D3" s="68"/>
      <c r="E3" s="69"/>
      <c r="F3" s="70"/>
      <c r="G3" s="68"/>
      <c r="H3" s="70"/>
      <c r="I3" s="1"/>
      <c r="J3" s="71"/>
      <c r="K3" s="71"/>
      <c r="L3" s="71"/>
      <c r="M3" s="71"/>
      <c r="N3" s="76"/>
      <c r="O3" s="77"/>
      <c r="P3" s="78"/>
      <c r="Q3" s="76"/>
      <c r="R3" s="78"/>
      <c r="S3" s="1"/>
      <c r="T3" s="90"/>
      <c r="U3" s="90"/>
      <c r="V3" s="90"/>
      <c r="W3" s="90"/>
      <c r="X3" s="90"/>
      <c r="Y3" s="95"/>
      <c r="Z3" s="96"/>
      <c r="AA3" s="97"/>
      <c r="AB3" s="95"/>
      <c r="AC3" s="97"/>
      <c r="AD3" s="1"/>
      <c r="AE3" s="52" t="s">
        <v>178</v>
      </c>
      <c r="AF3" s="85" t="s">
        <v>177</v>
      </c>
      <c r="AG3" s="85"/>
      <c r="AH3" s="52" t="s">
        <v>178</v>
      </c>
      <c r="AI3" s="85" t="s">
        <v>177</v>
      </c>
      <c r="AJ3" s="85"/>
      <c r="AK3" s="52" t="s">
        <v>178</v>
      </c>
      <c r="AL3" s="85" t="s">
        <v>177</v>
      </c>
      <c r="AM3" s="85"/>
      <c r="AN3" s="52" t="s">
        <v>178</v>
      </c>
      <c r="AO3" s="85" t="s">
        <v>177</v>
      </c>
      <c r="AP3" s="85"/>
      <c r="AQ3" s="52" t="s">
        <v>178</v>
      </c>
      <c r="AR3" s="85" t="s">
        <v>177</v>
      </c>
      <c r="AS3" s="85"/>
    </row>
    <row r="4" spans="1:45" ht="43.25" customHeight="1">
      <c r="A4" s="63"/>
      <c r="B4" s="64"/>
      <c r="C4" s="64"/>
      <c r="D4" s="19" t="s">
        <v>25</v>
      </c>
      <c r="E4" s="19" t="s">
        <v>26</v>
      </c>
      <c r="F4" s="19" t="s">
        <v>27</v>
      </c>
      <c r="G4" s="19" t="s">
        <v>28</v>
      </c>
      <c r="H4" s="19" t="s">
        <v>29</v>
      </c>
      <c r="I4" s="4"/>
      <c r="J4" s="71"/>
      <c r="K4" s="72"/>
      <c r="L4" s="72"/>
      <c r="M4" s="72"/>
      <c r="N4" s="27" t="s">
        <v>25</v>
      </c>
      <c r="O4" s="27" t="s">
        <v>26</v>
      </c>
      <c r="P4" s="27" t="s">
        <v>27</v>
      </c>
      <c r="Q4" s="27" t="s">
        <v>28</v>
      </c>
      <c r="R4" s="27" t="s">
        <v>29</v>
      </c>
      <c r="S4" s="4"/>
      <c r="T4" s="90"/>
      <c r="U4" s="91"/>
      <c r="V4" s="91"/>
      <c r="W4" s="91"/>
      <c r="X4" s="91"/>
      <c r="Y4" s="28" t="s">
        <v>25</v>
      </c>
      <c r="Z4" s="28" t="s">
        <v>26</v>
      </c>
      <c r="AA4" s="28" t="s">
        <v>27</v>
      </c>
      <c r="AB4" s="28" t="s">
        <v>28</v>
      </c>
      <c r="AC4" s="28" t="s">
        <v>29</v>
      </c>
      <c r="AD4" s="4"/>
      <c r="AE4" s="48"/>
      <c r="AF4" s="48" t="s">
        <v>0</v>
      </c>
      <c r="AG4" s="48" t="s">
        <v>1</v>
      </c>
      <c r="AH4" s="48"/>
      <c r="AI4" s="48" t="s">
        <v>0</v>
      </c>
      <c r="AJ4" s="48" t="s">
        <v>1</v>
      </c>
      <c r="AK4" s="48" t="s">
        <v>2</v>
      </c>
      <c r="AL4" s="48" t="s">
        <v>0</v>
      </c>
      <c r="AM4" s="48" t="s">
        <v>1</v>
      </c>
      <c r="AN4" s="49" t="s">
        <v>2</v>
      </c>
      <c r="AO4" s="49" t="s">
        <v>0</v>
      </c>
      <c r="AP4" s="49" t="s">
        <v>1</v>
      </c>
      <c r="AQ4" s="48" t="s">
        <v>2</v>
      </c>
      <c r="AR4" s="48" t="s">
        <v>0</v>
      </c>
      <c r="AS4" s="48" t="s">
        <v>1</v>
      </c>
    </row>
    <row r="5" spans="1:45" ht="15.5">
      <c r="A5" s="24">
        <v>1</v>
      </c>
      <c r="B5" s="19" t="s">
        <v>30</v>
      </c>
      <c r="C5" s="19" t="s">
        <v>32</v>
      </c>
      <c r="D5" s="11">
        <v>280</v>
      </c>
      <c r="E5" s="9">
        <v>330</v>
      </c>
      <c r="F5" s="9">
        <v>322</v>
      </c>
      <c r="G5" s="9">
        <v>355</v>
      </c>
      <c r="H5" s="9">
        <v>332</v>
      </c>
      <c r="I5" s="1"/>
      <c r="J5" s="21">
        <v>1</v>
      </c>
      <c r="K5" s="27" t="s">
        <v>30</v>
      </c>
      <c r="L5" s="27" t="s">
        <v>35</v>
      </c>
      <c r="M5" s="27" t="s">
        <v>38</v>
      </c>
      <c r="N5" s="9">
        <v>63.14312224878568</v>
      </c>
      <c r="O5" s="9">
        <v>70.215721295990576</v>
      </c>
      <c r="P5" s="9">
        <v>63.718588978679826</v>
      </c>
      <c r="Q5" s="9">
        <v>71.139068100434855</v>
      </c>
      <c r="R5" s="9">
        <v>66.412969474871758</v>
      </c>
      <c r="S5" s="1"/>
      <c r="T5" s="23">
        <v>1</v>
      </c>
      <c r="U5" s="28" t="s">
        <v>30</v>
      </c>
      <c r="V5" s="28" t="s">
        <v>35</v>
      </c>
      <c r="W5" s="28" t="s">
        <v>37</v>
      </c>
      <c r="X5" s="28" t="s">
        <v>38</v>
      </c>
      <c r="Y5" s="11">
        <v>33320</v>
      </c>
      <c r="Z5" s="9">
        <v>33000</v>
      </c>
      <c r="AA5" s="9">
        <v>38640</v>
      </c>
      <c r="AB5" s="9">
        <v>39050</v>
      </c>
      <c r="AC5" s="9">
        <v>41168</v>
      </c>
      <c r="AD5" s="1"/>
      <c r="AE5" s="48" t="s">
        <v>3</v>
      </c>
      <c r="AF5" s="29">
        <v>600</v>
      </c>
      <c r="AG5" s="29">
        <v>516</v>
      </c>
      <c r="AH5" s="48" t="s">
        <v>3</v>
      </c>
      <c r="AI5" s="29">
        <v>600</v>
      </c>
      <c r="AJ5" s="29">
        <v>480</v>
      </c>
      <c r="AK5" s="48" t="s">
        <v>3</v>
      </c>
      <c r="AL5" s="29">
        <v>600</v>
      </c>
      <c r="AM5" s="29">
        <v>473</v>
      </c>
      <c r="AN5" s="48" t="s">
        <v>3</v>
      </c>
      <c r="AO5" s="29">
        <v>600</v>
      </c>
      <c r="AP5" s="29">
        <v>422</v>
      </c>
      <c r="AQ5" s="48" t="s">
        <v>3</v>
      </c>
      <c r="AR5" s="29">
        <v>600</v>
      </c>
      <c r="AS5" s="29">
        <v>474</v>
      </c>
    </row>
    <row r="6" spans="1:45" ht="15.5">
      <c r="A6" s="24">
        <v>2</v>
      </c>
      <c r="B6" s="19" t="s">
        <v>30</v>
      </c>
      <c r="C6" s="19" t="s">
        <v>33</v>
      </c>
      <c r="D6" s="11">
        <v>414</v>
      </c>
      <c r="E6" s="9">
        <v>458</v>
      </c>
      <c r="F6" s="9">
        <v>8415</v>
      </c>
      <c r="G6" s="9">
        <v>496</v>
      </c>
      <c r="H6" s="9">
        <v>454</v>
      </c>
      <c r="I6" s="1"/>
      <c r="J6" s="21">
        <v>2</v>
      </c>
      <c r="K6" s="27" t="s">
        <v>31</v>
      </c>
      <c r="L6" s="27" t="s">
        <v>41</v>
      </c>
      <c r="M6" s="27" t="s">
        <v>34</v>
      </c>
      <c r="N6" s="9">
        <v>82.55480587700643</v>
      </c>
      <c r="O6" s="9">
        <v>87.375400717428988</v>
      </c>
      <c r="P6" s="9">
        <v>84.426721571764574</v>
      </c>
      <c r="Q6" s="9">
        <v>97.496774785630976</v>
      </c>
      <c r="R6" s="9">
        <v>94.452936507302482</v>
      </c>
      <c r="S6" s="1"/>
      <c r="T6" s="23">
        <v>2</v>
      </c>
      <c r="U6" s="28" t="s">
        <v>31</v>
      </c>
      <c r="V6" s="28" t="s">
        <v>41</v>
      </c>
      <c r="W6" s="28" t="s">
        <v>34</v>
      </c>
      <c r="X6" s="28" t="s">
        <v>42</v>
      </c>
      <c r="Y6" s="11">
        <v>235056</v>
      </c>
      <c r="Z6" s="9">
        <v>238700</v>
      </c>
      <c r="AA6" s="9">
        <v>258762</v>
      </c>
      <c r="AB6" s="9">
        <v>232706</v>
      </c>
      <c r="AC6" s="9">
        <v>211094</v>
      </c>
      <c r="AD6" s="1"/>
      <c r="AE6" s="48" t="s">
        <v>4</v>
      </c>
      <c r="AF6" s="29">
        <v>481</v>
      </c>
      <c r="AG6" s="29">
        <v>751</v>
      </c>
      <c r="AH6" s="48" t="s">
        <v>4</v>
      </c>
      <c r="AI6" s="29">
        <v>500</v>
      </c>
      <c r="AJ6" s="29">
        <v>758</v>
      </c>
      <c r="AK6" s="48" t="s">
        <v>4</v>
      </c>
      <c r="AL6" s="29">
        <v>480</v>
      </c>
      <c r="AM6" s="29">
        <v>716</v>
      </c>
      <c r="AN6" s="48" t="s">
        <v>4</v>
      </c>
      <c r="AO6" s="29">
        <v>490</v>
      </c>
      <c r="AP6" s="29">
        <v>744</v>
      </c>
      <c r="AQ6" s="48" t="s">
        <v>4</v>
      </c>
      <c r="AR6" s="29">
        <v>476</v>
      </c>
      <c r="AS6" s="29">
        <v>758</v>
      </c>
    </row>
    <row r="7" spans="1:45" ht="15.5">
      <c r="A7" s="24">
        <v>3</v>
      </c>
      <c r="B7" s="19" t="s">
        <v>31</v>
      </c>
      <c r="C7" s="19" t="s">
        <v>34</v>
      </c>
      <c r="D7" s="11">
        <v>664</v>
      </c>
      <c r="E7" s="9">
        <v>700</v>
      </c>
      <c r="F7" s="9">
        <v>707</v>
      </c>
      <c r="G7" s="9">
        <v>758</v>
      </c>
      <c r="H7" s="9">
        <v>706</v>
      </c>
      <c r="I7" s="1"/>
      <c r="J7" s="21">
        <v>3</v>
      </c>
      <c r="K7" s="27" t="s">
        <v>31</v>
      </c>
      <c r="L7" s="27" t="s">
        <v>44</v>
      </c>
      <c r="M7" s="27" t="s">
        <v>37</v>
      </c>
      <c r="N7" s="9">
        <v>34.960081148783225</v>
      </c>
      <c r="O7" s="9">
        <v>43.838477878358425</v>
      </c>
      <c r="P7" s="9">
        <v>37.708585233910014</v>
      </c>
      <c r="Q7" s="9">
        <v>48.686768156664932</v>
      </c>
      <c r="R7" s="9">
        <v>49.090807105205528</v>
      </c>
      <c r="S7" s="1"/>
      <c r="T7" s="23">
        <v>3</v>
      </c>
      <c r="U7" s="28" t="s">
        <v>41</v>
      </c>
      <c r="V7" s="28" t="s">
        <v>39</v>
      </c>
      <c r="W7" s="28" t="s">
        <v>34</v>
      </c>
      <c r="X7" s="28" t="s">
        <v>42</v>
      </c>
      <c r="Y7" s="11">
        <v>76011</v>
      </c>
      <c r="Z7" s="9">
        <v>79029.5</v>
      </c>
      <c r="AA7" s="9">
        <v>89026</v>
      </c>
      <c r="AB7" s="9">
        <v>80337</v>
      </c>
      <c r="AC7" s="9">
        <v>73848</v>
      </c>
      <c r="AD7" s="1"/>
      <c r="AE7" s="48" t="s">
        <v>5</v>
      </c>
      <c r="AF7" s="29">
        <v>600</v>
      </c>
      <c r="AG7" s="29">
        <v>796</v>
      </c>
      <c r="AH7" s="48" t="s">
        <v>5</v>
      </c>
      <c r="AI7" s="29">
        <v>600</v>
      </c>
      <c r="AJ7" s="29">
        <v>810</v>
      </c>
      <c r="AK7" s="48" t="s">
        <v>5</v>
      </c>
      <c r="AL7" s="29">
        <v>600</v>
      </c>
      <c r="AM7" s="29">
        <v>795</v>
      </c>
      <c r="AN7" s="48" t="s">
        <v>5</v>
      </c>
      <c r="AO7" s="29">
        <v>600</v>
      </c>
      <c r="AP7" s="29">
        <v>777</v>
      </c>
      <c r="AQ7" s="48" t="s">
        <v>5</v>
      </c>
      <c r="AR7" s="29">
        <v>600</v>
      </c>
      <c r="AS7" s="29">
        <v>806</v>
      </c>
    </row>
    <row r="8" spans="1:45" ht="15.5">
      <c r="A8" s="24">
        <v>4</v>
      </c>
      <c r="B8" s="19" t="s">
        <v>35</v>
      </c>
      <c r="C8" s="19" t="s">
        <v>38</v>
      </c>
      <c r="D8" s="11">
        <v>238</v>
      </c>
      <c r="E8" s="9">
        <v>200</v>
      </c>
      <c r="F8" s="9">
        <v>240</v>
      </c>
      <c r="G8" s="9">
        <v>220</v>
      </c>
      <c r="H8" s="9">
        <v>248</v>
      </c>
      <c r="I8" s="1"/>
      <c r="J8" s="21">
        <v>4</v>
      </c>
      <c r="K8" s="27" t="s">
        <v>35</v>
      </c>
      <c r="L8" s="27" t="s">
        <v>37</v>
      </c>
      <c r="M8" s="27" t="s">
        <v>38</v>
      </c>
      <c r="N8" s="9">
        <v>138.57165031130259</v>
      </c>
      <c r="O8" s="9">
        <v>125.05113674744571</v>
      </c>
      <c r="P8" s="9">
        <v>113.28351520591409</v>
      </c>
      <c r="Q8" s="9">
        <v>146.60151153201278</v>
      </c>
      <c r="R8" s="9">
        <v>137.67748036634345</v>
      </c>
      <c r="S8" s="1"/>
      <c r="T8" s="23">
        <v>4</v>
      </c>
      <c r="U8" s="28" t="s">
        <v>46</v>
      </c>
      <c r="V8" s="28" t="s">
        <v>43</v>
      </c>
      <c r="W8" s="28" t="s">
        <v>33</v>
      </c>
      <c r="X8" s="28" t="s">
        <v>47</v>
      </c>
      <c r="Y8" s="11">
        <v>463527</v>
      </c>
      <c r="Z8" s="9">
        <v>450749</v>
      </c>
      <c r="AA8" s="9">
        <v>3805761</v>
      </c>
      <c r="AB8" s="9">
        <v>392049</v>
      </c>
      <c r="AC8" s="9">
        <v>380221</v>
      </c>
      <c r="AD8" s="1"/>
      <c r="AE8" s="48" t="s">
        <v>6</v>
      </c>
      <c r="AF8" s="29">
        <f>AF7+(AF7-AF6)</f>
        <v>719</v>
      </c>
      <c r="AG8" s="29">
        <f>AG6</f>
        <v>751</v>
      </c>
      <c r="AH8" s="48" t="s">
        <v>6</v>
      </c>
      <c r="AI8" s="29">
        <f>AI7+(AI7-AI6)</f>
        <v>700</v>
      </c>
      <c r="AJ8" s="29">
        <f>AJ6</f>
        <v>758</v>
      </c>
      <c r="AK8" s="48" t="s">
        <v>6</v>
      </c>
      <c r="AL8" s="29">
        <f t="shared" ref="AL8" si="0">AL7+(AL7-AL6)</f>
        <v>720</v>
      </c>
      <c r="AM8" s="29">
        <f t="shared" ref="AM8" si="1">AM6</f>
        <v>716</v>
      </c>
      <c r="AN8" s="48" t="s">
        <v>6</v>
      </c>
      <c r="AO8" s="29">
        <f t="shared" ref="AO8" si="2">AO7+(AO7-AO6)</f>
        <v>710</v>
      </c>
      <c r="AP8" s="29">
        <f t="shared" ref="AP8" si="3">AP6</f>
        <v>744</v>
      </c>
      <c r="AQ8" s="48" t="s">
        <v>6</v>
      </c>
      <c r="AR8" s="29">
        <f t="shared" ref="AR8" si="4">AR7+(AR7-AR6)</f>
        <v>724</v>
      </c>
      <c r="AS8" s="29">
        <f t="shared" ref="AS8" si="5">AS6</f>
        <v>758</v>
      </c>
    </row>
    <row r="9" spans="1:45" ht="15.5">
      <c r="A9" s="24">
        <v>5</v>
      </c>
      <c r="B9" s="19" t="s">
        <v>36</v>
      </c>
      <c r="C9" s="19" t="s">
        <v>33</v>
      </c>
      <c r="D9" s="11">
        <v>134</v>
      </c>
      <c r="E9" s="9">
        <v>128</v>
      </c>
      <c r="F9" s="9">
        <v>8093</v>
      </c>
      <c r="G9" s="9">
        <v>141</v>
      </c>
      <c r="H9" s="9">
        <v>122</v>
      </c>
      <c r="I9" s="1"/>
      <c r="J9" s="21">
        <v>5</v>
      </c>
      <c r="K9" s="27" t="s">
        <v>39</v>
      </c>
      <c r="L9" s="27" t="s">
        <v>34</v>
      </c>
      <c r="M9" s="27" t="s">
        <v>61</v>
      </c>
      <c r="N9" s="9">
        <v>138.22839707861391</v>
      </c>
      <c r="O9" s="9">
        <v>141.18805849199765</v>
      </c>
      <c r="P9" s="9">
        <v>143.70884268103717</v>
      </c>
      <c r="Q9" s="9">
        <v>142.35057996351986</v>
      </c>
      <c r="R9" s="9">
        <v>157.19501153122187</v>
      </c>
      <c r="S9" s="1"/>
      <c r="T9" s="23">
        <v>5</v>
      </c>
      <c r="U9" s="28" t="s">
        <v>48</v>
      </c>
      <c r="V9" s="28" t="s">
        <v>43</v>
      </c>
      <c r="W9" s="28" t="s">
        <v>34</v>
      </c>
      <c r="X9" s="28" t="s">
        <v>44</v>
      </c>
      <c r="Y9" s="11">
        <v>430760</v>
      </c>
      <c r="Z9" s="9">
        <v>443620</v>
      </c>
      <c r="AA9" s="9">
        <v>535215</v>
      </c>
      <c r="AB9" s="9">
        <v>376271</v>
      </c>
      <c r="AC9" s="9">
        <v>370923</v>
      </c>
      <c r="AD9" s="1"/>
      <c r="AE9" s="48" t="s">
        <v>77</v>
      </c>
      <c r="AF9" s="29">
        <v>600</v>
      </c>
      <c r="AG9" s="29">
        <v>930</v>
      </c>
      <c r="AH9" s="48" t="s">
        <v>77</v>
      </c>
      <c r="AI9" s="29">
        <v>600</v>
      </c>
      <c r="AJ9" s="29">
        <v>938</v>
      </c>
      <c r="AK9" s="48" t="s">
        <v>77</v>
      </c>
      <c r="AL9" s="29">
        <v>600</v>
      </c>
      <c r="AM9" s="29">
        <v>8888</v>
      </c>
      <c r="AN9" s="48" t="s">
        <v>77</v>
      </c>
      <c r="AO9" s="29">
        <v>600</v>
      </c>
      <c r="AP9" s="29">
        <v>918</v>
      </c>
      <c r="AQ9" s="48" t="s">
        <v>77</v>
      </c>
      <c r="AR9" s="29">
        <v>600</v>
      </c>
      <c r="AS9" s="29">
        <v>928</v>
      </c>
    </row>
    <row r="10" spans="1:45" ht="15.5">
      <c r="A10" s="24">
        <v>6</v>
      </c>
      <c r="B10" s="19" t="s">
        <v>37</v>
      </c>
      <c r="C10" s="19" t="s">
        <v>34</v>
      </c>
      <c r="D10" s="11">
        <v>384</v>
      </c>
      <c r="E10" s="9">
        <v>370</v>
      </c>
      <c r="F10" s="9">
        <v>385</v>
      </c>
      <c r="G10" s="9">
        <v>403</v>
      </c>
      <c r="H10" s="9">
        <v>374</v>
      </c>
      <c r="I10" s="1"/>
      <c r="J10" s="21">
        <v>6</v>
      </c>
      <c r="K10" s="27" t="s">
        <v>40</v>
      </c>
      <c r="L10" s="27" t="s">
        <v>34</v>
      </c>
      <c r="M10" s="27" t="s">
        <v>62</v>
      </c>
      <c r="N10" s="9">
        <v>20.885801460693013</v>
      </c>
      <c r="O10" s="9">
        <v>19.405970754001181</v>
      </c>
      <c r="P10" s="9">
        <v>18.145578659481398</v>
      </c>
      <c r="Q10" s="9">
        <v>18.824710018240047</v>
      </c>
      <c r="R10" s="9">
        <v>11.40249423438901</v>
      </c>
      <c r="S10" s="1"/>
      <c r="T10" s="23">
        <v>6</v>
      </c>
      <c r="U10" s="28" t="s">
        <v>52</v>
      </c>
      <c r="V10" s="28" t="s">
        <v>53</v>
      </c>
      <c r="W10" s="28" t="s">
        <v>54</v>
      </c>
      <c r="X10" s="28" t="s">
        <v>50</v>
      </c>
      <c r="Y10" s="11">
        <v>5830.5</v>
      </c>
      <c r="Z10" s="9">
        <v>5504</v>
      </c>
      <c r="AA10" s="9">
        <v>5224</v>
      </c>
      <c r="AB10" s="9">
        <v>6996</v>
      </c>
      <c r="AC10" s="9">
        <v>5594.5</v>
      </c>
      <c r="AD10" s="1"/>
      <c r="AE10" s="48" t="s">
        <v>8</v>
      </c>
      <c r="AF10" s="29">
        <v>524</v>
      </c>
      <c r="AG10" s="29">
        <v>1151</v>
      </c>
      <c r="AH10" s="48" t="s">
        <v>8</v>
      </c>
      <c r="AI10" s="29">
        <v>512</v>
      </c>
      <c r="AJ10" s="29">
        <v>1149</v>
      </c>
      <c r="AK10" s="48" t="s">
        <v>8</v>
      </c>
      <c r="AL10" s="29">
        <v>481</v>
      </c>
      <c r="AM10" s="29">
        <v>1141</v>
      </c>
      <c r="AN10" s="48" t="s">
        <v>8</v>
      </c>
      <c r="AO10" s="29">
        <v>512</v>
      </c>
      <c r="AP10" s="29">
        <v>1150</v>
      </c>
      <c r="AQ10" s="48" t="s">
        <v>8</v>
      </c>
      <c r="AR10" s="29">
        <v>481</v>
      </c>
      <c r="AS10" s="29">
        <v>1156</v>
      </c>
    </row>
    <row r="11" spans="1:45" ht="15.5">
      <c r="A11" s="24">
        <v>7</v>
      </c>
      <c r="B11" s="19" t="s">
        <v>39</v>
      </c>
      <c r="C11" s="19" t="s">
        <v>40</v>
      </c>
      <c r="D11" s="11">
        <v>152</v>
      </c>
      <c r="E11" s="9">
        <v>176</v>
      </c>
      <c r="F11" s="9">
        <v>238</v>
      </c>
      <c r="G11" s="9">
        <v>176</v>
      </c>
      <c r="H11" s="9">
        <v>238</v>
      </c>
      <c r="I11" s="1"/>
      <c r="J11" s="21">
        <v>7</v>
      </c>
      <c r="K11" s="27" t="s">
        <v>41</v>
      </c>
      <c r="L11" s="27" t="s">
        <v>34</v>
      </c>
      <c r="M11" s="27" t="s">
        <v>62</v>
      </c>
      <c r="N11" s="9">
        <v>149.68321975239601</v>
      </c>
      <c r="O11" s="9">
        <v>147.2902573938976</v>
      </c>
      <c r="P11" s="9">
        <v>148.30523650609106</v>
      </c>
      <c r="Q11" s="9">
        <v>141.75221981350958</v>
      </c>
      <c r="R11" s="9">
        <v>144.15535122408212</v>
      </c>
      <c r="S11" s="1"/>
      <c r="T11" s="23">
        <v>7</v>
      </c>
      <c r="U11" s="40" t="s">
        <v>76</v>
      </c>
      <c r="V11" s="40" t="s">
        <v>73</v>
      </c>
      <c r="W11" s="40" t="s">
        <v>75</v>
      </c>
      <c r="X11" s="40" t="s">
        <v>74</v>
      </c>
      <c r="Y11" s="11">
        <v>5159</v>
      </c>
      <c r="Z11" s="9">
        <v>5040</v>
      </c>
      <c r="AA11" s="9">
        <v>6868.5</v>
      </c>
      <c r="AB11" s="9">
        <v>3768</v>
      </c>
      <c r="AC11" s="9">
        <v>4961.5</v>
      </c>
      <c r="AD11" s="1"/>
      <c r="AE11" s="48" t="s">
        <v>9</v>
      </c>
      <c r="AF11" s="29">
        <v>600</v>
      </c>
      <c r="AG11" s="29">
        <v>1180</v>
      </c>
      <c r="AH11" s="48" t="s">
        <v>9</v>
      </c>
      <c r="AI11" s="29">
        <v>600</v>
      </c>
      <c r="AJ11" s="29">
        <v>1180</v>
      </c>
      <c r="AK11" s="48" t="s">
        <v>9</v>
      </c>
      <c r="AL11" s="29">
        <v>600</v>
      </c>
      <c r="AM11" s="29">
        <v>1180</v>
      </c>
      <c r="AN11" s="48" t="s">
        <v>9</v>
      </c>
      <c r="AO11" s="29">
        <v>600</v>
      </c>
      <c r="AP11" s="29">
        <v>1180</v>
      </c>
      <c r="AQ11" s="48" t="s">
        <v>9</v>
      </c>
      <c r="AR11" s="29">
        <v>600</v>
      </c>
      <c r="AS11" s="29">
        <v>1180</v>
      </c>
    </row>
    <row r="12" spans="1:45" ht="15.5">
      <c r="A12" s="24">
        <v>8</v>
      </c>
      <c r="B12" s="19" t="s">
        <v>41</v>
      </c>
      <c r="C12" s="19" t="s">
        <v>42</v>
      </c>
      <c r="D12" s="11">
        <v>708</v>
      </c>
      <c r="E12" s="9">
        <v>682</v>
      </c>
      <c r="F12" s="9">
        <v>732</v>
      </c>
      <c r="G12" s="9">
        <v>614</v>
      </c>
      <c r="H12" s="9">
        <v>598</v>
      </c>
      <c r="I12" s="1"/>
      <c r="J12" s="21">
        <v>8</v>
      </c>
      <c r="K12" s="27" t="s">
        <v>42</v>
      </c>
      <c r="L12" s="27" t="s">
        <v>34</v>
      </c>
      <c r="M12" s="27" t="s">
        <v>62</v>
      </c>
      <c r="N12" s="9">
        <v>30.316780247603969</v>
      </c>
      <c r="O12" s="9">
        <v>32.709742606102438</v>
      </c>
      <c r="P12" s="9">
        <v>31.694763493908901</v>
      </c>
      <c r="Q12" s="9">
        <v>38.247780186490381</v>
      </c>
      <c r="R12" s="9">
        <v>35.844648775917889</v>
      </c>
      <c r="S12" s="1"/>
      <c r="T12" s="23">
        <v>8</v>
      </c>
      <c r="U12" s="28"/>
      <c r="V12" s="28"/>
      <c r="W12" s="28"/>
      <c r="X12" s="28"/>
      <c r="Y12" s="11"/>
      <c r="Z12" s="9"/>
      <c r="AA12" s="9"/>
      <c r="AB12" s="9"/>
      <c r="AC12" s="9"/>
      <c r="AD12" s="1"/>
      <c r="AE12" s="48" t="s">
        <v>10</v>
      </c>
      <c r="AF12" s="29">
        <f>AF11+(AF11-AF10)</f>
        <v>676</v>
      </c>
      <c r="AG12" s="29">
        <f>AG10</f>
        <v>1151</v>
      </c>
      <c r="AH12" s="48" t="s">
        <v>10</v>
      </c>
      <c r="AI12" s="29">
        <f>AI11+(AI11-AI10)</f>
        <v>688</v>
      </c>
      <c r="AJ12" s="29">
        <f>AJ10</f>
        <v>1149</v>
      </c>
      <c r="AK12" s="48" t="s">
        <v>10</v>
      </c>
      <c r="AL12" s="29">
        <f t="shared" ref="AL12" si="6">AL11+(AL11-AL10)</f>
        <v>719</v>
      </c>
      <c r="AM12" s="29">
        <f t="shared" ref="AM12" si="7">AM10</f>
        <v>1141</v>
      </c>
      <c r="AN12" s="48" t="s">
        <v>10</v>
      </c>
      <c r="AO12" s="29">
        <f t="shared" ref="AO12" si="8">AO11+(AO11-AO10)</f>
        <v>688</v>
      </c>
      <c r="AP12" s="29">
        <f t="shared" ref="AP12" si="9">AP10</f>
        <v>1150</v>
      </c>
      <c r="AQ12" s="48" t="s">
        <v>10</v>
      </c>
      <c r="AR12" s="29">
        <f t="shared" ref="AR12" si="10">AR11+(AR11-AR10)</f>
        <v>719</v>
      </c>
      <c r="AS12" s="29">
        <f t="shared" ref="AS12" si="11">AS10</f>
        <v>1156</v>
      </c>
    </row>
    <row r="13" spans="1:45" ht="15.5">
      <c r="A13" s="24">
        <v>9</v>
      </c>
      <c r="B13" s="19" t="s">
        <v>43</v>
      </c>
      <c r="C13" s="19" t="s">
        <v>44</v>
      </c>
      <c r="D13" s="11">
        <v>880</v>
      </c>
      <c r="E13" s="9">
        <v>820</v>
      </c>
      <c r="F13" s="9">
        <v>930</v>
      </c>
      <c r="G13" s="9">
        <v>686</v>
      </c>
      <c r="H13" s="9">
        <v>714</v>
      </c>
      <c r="I13" s="1"/>
      <c r="J13" s="21">
        <v>9</v>
      </c>
      <c r="K13" s="27" t="s">
        <v>43</v>
      </c>
      <c r="L13" s="27" t="s">
        <v>41</v>
      </c>
      <c r="M13" s="27" t="s">
        <v>34</v>
      </c>
      <c r="N13" s="9">
        <v>137.98442075543625</v>
      </c>
      <c r="O13" s="9">
        <v>134.84106367273495</v>
      </c>
      <c r="P13" s="9">
        <v>142.39446686505434</v>
      </c>
      <c r="Q13" s="9">
        <v>138.76040735641178</v>
      </c>
      <c r="R13" s="9">
        <v>137.92496639267293</v>
      </c>
      <c r="S13" s="1"/>
      <c r="T13" s="23">
        <v>9</v>
      </c>
      <c r="U13" s="28"/>
      <c r="V13" s="28"/>
      <c r="W13" s="28"/>
      <c r="X13" s="28"/>
      <c r="Y13" s="11"/>
      <c r="Z13" s="9"/>
      <c r="AA13" s="9"/>
      <c r="AB13" s="9"/>
      <c r="AC13" s="9"/>
      <c r="AD13" s="1"/>
      <c r="AE13" s="48" t="s">
        <v>11</v>
      </c>
      <c r="AF13" s="29">
        <v>246</v>
      </c>
      <c r="AG13" s="29">
        <v>973</v>
      </c>
      <c r="AH13" s="48" t="s">
        <v>11</v>
      </c>
      <c r="AI13" s="29">
        <v>259</v>
      </c>
      <c r="AJ13" s="29">
        <v>961</v>
      </c>
      <c r="AK13" s="48" t="s">
        <v>11</v>
      </c>
      <c r="AL13" s="29">
        <v>234</v>
      </c>
      <c r="AM13" s="29">
        <v>954</v>
      </c>
      <c r="AN13" s="48" t="s">
        <v>11</v>
      </c>
      <c r="AO13" s="29">
        <v>293</v>
      </c>
      <c r="AP13" s="29">
        <v>938</v>
      </c>
      <c r="AQ13" s="48" t="s">
        <v>11</v>
      </c>
      <c r="AR13" s="29">
        <v>301</v>
      </c>
      <c r="AS13" s="29">
        <v>964</v>
      </c>
    </row>
    <row r="14" spans="1:45" ht="15.5">
      <c r="A14" s="24">
        <v>10</v>
      </c>
      <c r="B14" s="19" t="s">
        <v>45</v>
      </c>
      <c r="C14" s="19" t="s">
        <v>43</v>
      </c>
      <c r="D14" s="11">
        <v>83.024092888751269</v>
      </c>
      <c r="E14" s="9">
        <v>90</v>
      </c>
      <c r="F14" s="9">
        <v>85.37564055396598</v>
      </c>
      <c r="G14" s="9">
        <v>83.21658488546619</v>
      </c>
      <c r="H14" s="9">
        <v>73.334848469196416</v>
      </c>
      <c r="I14" s="1"/>
      <c r="J14" s="21">
        <v>10</v>
      </c>
      <c r="K14" s="27" t="s">
        <v>44</v>
      </c>
      <c r="L14" s="27" t="s">
        <v>32</v>
      </c>
      <c r="M14" s="27" t="s">
        <v>62</v>
      </c>
      <c r="N14" s="9">
        <v>45.441895628945204</v>
      </c>
      <c r="O14" s="9">
        <v>55.055632760831891</v>
      </c>
      <c r="P14" s="9">
        <v>46.065594998943972</v>
      </c>
      <c r="Q14" s="9">
        <v>40.288146347569011</v>
      </c>
      <c r="R14" s="9">
        <v>50.379004469258298</v>
      </c>
      <c r="S14" s="1"/>
      <c r="T14" s="23">
        <v>10</v>
      </c>
      <c r="U14" s="28"/>
      <c r="V14" s="28"/>
      <c r="W14" s="28"/>
      <c r="X14" s="28"/>
      <c r="Y14" s="11"/>
      <c r="Z14" s="9"/>
      <c r="AA14" s="9"/>
      <c r="AB14" s="9"/>
      <c r="AC14" s="9"/>
      <c r="AD14" s="1"/>
      <c r="AE14" s="48" t="s">
        <v>12</v>
      </c>
      <c r="AF14" s="29">
        <f>600+(600-AF13)</f>
        <v>954</v>
      </c>
      <c r="AG14" s="29">
        <f>AG13</f>
        <v>973</v>
      </c>
      <c r="AH14" s="48" t="s">
        <v>12</v>
      </c>
      <c r="AI14" s="29">
        <f>600+(600-AI13)</f>
        <v>941</v>
      </c>
      <c r="AJ14" s="29">
        <f>AJ13</f>
        <v>961</v>
      </c>
      <c r="AK14" s="48" t="s">
        <v>12</v>
      </c>
      <c r="AL14" s="29">
        <f t="shared" ref="AL14" si="12">600+(600-AL13)</f>
        <v>966</v>
      </c>
      <c r="AM14" s="29">
        <f t="shared" ref="AM14" si="13">AM13</f>
        <v>954</v>
      </c>
      <c r="AN14" s="48" t="s">
        <v>12</v>
      </c>
      <c r="AO14" s="29">
        <f t="shared" ref="AO14" si="14">600+(600-AO13)</f>
        <v>907</v>
      </c>
      <c r="AP14" s="29">
        <f t="shared" ref="AP14" si="15">AP13</f>
        <v>938</v>
      </c>
      <c r="AQ14" s="48" t="s">
        <v>12</v>
      </c>
      <c r="AR14" s="29">
        <f t="shared" ref="AR14" si="16">600+(600-AR13)</f>
        <v>899</v>
      </c>
      <c r="AS14" s="29">
        <f t="shared" ref="AS14" si="17">AS13</f>
        <v>964</v>
      </c>
    </row>
    <row r="15" spans="1:45" ht="15.5">
      <c r="A15" s="24">
        <v>11</v>
      </c>
      <c r="B15" s="19" t="s">
        <v>46</v>
      </c>
      <c r="C15" s="19" t="s">
        <v>47</v>
      </c>
      <c r="D15" s="11">
        <v>764</v>
      </c>
      <c r="E15" s="9">
        <v>754</v>
      </c>
      <c r="F15" s="9">
        <v>748</v>
      </c>
      <c r="G15" s="9">
        <v>686</v>
      </c>
      <c r="H15" s="9">
        <v>650</v>
      </c>
      <c r="I15" s="1"/>
      <c r="J15" s="21">
        <v>11</v>
      </c>
      <c r="K15" s="27" t="s">
        <v>44</v>
      </c>
      <c r="L15" s="27" t="s">
        <v>33</v>
      </c>
      <c r="M15" s="27" t="s">
        <v>62</v>
      </c>
      <c r="N15" s="9">
        <v>50.607328806933928</v>
      </c>
      <c r="O15" s="9">
        <v>58.658668194432771</v>
      </c>
      <c r="P15" s="9">
        <v>1.0560027883092593</v>
      </c>
      <c r="Q15" s="9">
        <v>51.208005088575952</v>
      </c>
      <c r="R15" s="9">
        <v>56.839558447446812</v>
      </c>
      <c r="S15" s="1"/>
      <c r="T15" s="23">
        <v>11</v>
      </c>
      <c r="U15" s="28"/>
      <c r="V15" s="28"/>
      <c r="W15" s="28"/>
      <c r="X15" s="28"/>
      <c r="Y15" s="11"/>
      <c r="Z15" s="9"/>
      <c r="AA15" s="9"/>
      <c r="AB15" s="9"/>
      <c r="AC15" s="9"/>
      <c r="AD15" s="1"/>
      <c r="AE15" s="48" t="s">
        <v>13</v>
      </c>
      <c r="AF15" s="29">
        <v>160</v>
      </c>
      <c r="AG15" s="29">
        <v>703</v>
      </c>
      <c r="AH15" s="48" t="s">
        <v>13</v>
      </c>
      <c r="AI15" s="29">
        <v>190</v>
      </c>
      <c r="AJ15" s="29">
        <v>640</v>
      </c>
      <c r="AK15" s="48" t="s">
        <v>13</v>
      </c>
      <c r="AL15" s="29">
        <v>135</v>
      </c>
      <c r="AM15" s="29">
        <v>692</v>
      </c>
      <c r="AN15" s="48" t="s">
        <v>13</v>
      </c>
      <c r="AO15" s="29">
        <v>257</v>
      </c>
      <c r="AP15" s="29">
        <v>744</v>
      </c>
      <c r="AQ15" s="48" t="s">
        <v>13</v>
      </c>
      <c r="AR15" s="29">
        <v>243</v>
      </c>
      <c r="AS15" s="29">
        <v>693</v>
      </c>
    </row>
    <row r="16" spans="1:45" ht="15.5">
      <c r="A16" s="24">
        <v>12</v>
      </c>
      <c r="B16" s="19" t="s">
        <v>48</v>
      </c>
      <c r="C16" s="19" t="s">
        <v>31</v>
      </c>
      <c r="D16" s="11">
        <v>315</v>
      </c>
      <c r="E16" s="9">
        <v>383.09920386239384</v>
      </c>
      <c r="F16" s="9">
        <v>444.4063455892591</v>
      </c>
      <c r="G16" s="9">
        <v>339.42598604113977</v>
      </c>
      <c r="H16" s="9">
        <v>333</v>
      </c>
      <c r="I16" s="1"/>
      <c r="J16" s="21">
        <v>12</v>
      </c>
      <c r="K16" s="27" t="s">
        <v>47</v>
      </c>
      <c r="L16" s="27" t="s">
        <v>30</v>
      </c>
      <c r="M16" s="27" t="s">
        <v>62</v>
      </c>
      <c r="N16" s="9">
        <v>97.113326016841711</v>
      </c>
      <c r="O16" s="9">
        <v>97.964966916836531</v>
      </c>
      <c r="P16" s="9">
        <v>96.614326972590192</v>
      </c>
      <c r="Q16" s="9">
        <v>95.946140698650481</v>
      </c>
      <c r="R16" s="9">
        <v>99.832272991478675</v>
      </c>
      <c r="S16" s="1"/>
      <c r="T16" s="23">
        <v>12</v>
      </c>
      <c r="U16" s="28"/>
      <c r="V16" s="28"/>
      <c r="W16" s="28"/>
      <c r="X16" s="28"/>
      <c r="Y16" s="11"/>
      <c r="Z16" s="9"/>
      <c r="AA16" s="9"/>
      <c r="AB16" s="9"/>
      <c r="AC16" s="9"/>
      <c r="AD16" s="1"/>
      <c r="AE16" s="48" t="s">
        <v>14</v>
      </c>
      <c r="AF16" s="29">
        <f>600+(600-AF15)</f>
        <v>1040</v>
      </c>
      <c r="AG16" s="29">
        <f>AG15</f>
        <v>703</v>
      </c>
      <c r="AH16" s="48" t="s">
        <v>14</v>
      </c>
      <c r="AI16" s="29">
        <f>600+(600-AI15)</f>
        <v>1010</v>
      </c>
      <c r="AJ16" s="29">
        <f>AJ15</f>
        <v>640</v>
      </c>
      <c r="AK16" s="48" t="s">
        <v>14</v>
      </c>
      <c r="AL16" s="29">
        <f t="shared" ref="AL16" si="18">600+(600-AL15)</f>
        <v>1065</v>
      </c>
      <c r="AM16" s="29">
        <f t="shared" ref="AM16" si="19">AM15</f>
        <v>692</v>
      </c>
      <c r="AN16" s="48" t="s">
        <v>14</v>
      </c>
      <c r="AO16" s="29">
        <f t="shared" ref="AO16" si="20">600+(600-AO15)</f>
        <v>943</v>
      </c>
      <c r="AP16" s="29">
        <f t="shared" ref="AP16" si="21">AP15</f>
        <v>744</v>
      </c>
      <c r="AQ16" s="48" t="s">
        <v>14</v>
      </c>
      <c r="AR16" s="29">
        <f t="shared" ref="AR16" si="22">600+(600-AR15)</f>
        <v>957</v>
      </c>
      <c r="AS16" s="29">
        <f t="shared" ref="AS16" si="23">AS15</f>
        <v>693</v>
      </c>
    </row>
    <row r="17" spans="1:45" ht="15.5">
      <c r="A17" s="24">
        <v>13</v>
      </c>
      <c r="B17" s="19" t="s">
        <v>49</v>
      </c>
      <c r="C17" s="19" t="s">
        <v>37</v>
      </c>
      <c r="D17" s="11">
        <v>595</v>
      </c>
      <c r="E17" s="9">
        <v>712.59034514930102</v>
      </c>
      <c r="F17" s="9">
        <v>766.23560345366354</v>
      </c>
      <c r="G17" s="9">
        <v>694.20818203187434</v>
      </c>
      <c r="H17" s="9">
        <v>665</v>
      </c>
      <c r="I17" s="1"/>
      <c r="J17" s="21">
        <v>13</v>
      </c>
      <c r="K17" s="27" t="s">
        <v>47</v>
      </c>
      <c r="L17" s="27" t="s">
        <v>48</v>
      </c>
      <c r="M17" s="27" t="s">
        <v>62</v>
      </c>
      <c r="N17" s="9">
        <v>75.834573353999176</v>
      </c>
      <c r="O17" s="9">
        <v>64.9934927545156</v>
      </c>
      <c r="P17" s="9">
        <v>54.254234301438551</v>
      </c>
      <c r="Q17" s="9">
        <v>59.058515878665844</v>
      </c>
      <c r="R17" s="9">
        <v>68.538564516225208</v>
      </c>
      <c r="S17" s="1"/>
      <c r="T17" s="23">
        <v>13</v>
      </c>
      <c r="U17" s="28"/>
      <c r="V17" s="28"/>
      <c r="W17" s="28"/>
      <c r="X17" s="28"/>
      <c r="Y17" s="11"/>
      <c r="Z17" s="9"/>
      <c r="AA17" s="9"/>
      <c r="AB17" s="9"/>
      <c r="AC17" s="9"/>
      <c r="AD17" s="1"/>
      <c r="AE17" s="48" t="s">
        <v>15</v>
      </c>
      <c r="AF17" s="29">
        <v>78</v>
      </c>
      <c r="AG17" s="29">
        <v>690</v>
      </c>
      <c r="AH17" s="48" t="s">
        <v>15</v>
      </c>
      <c r="AI17" s="29">
        <v>100</v>
      </c>
      <c r="AJ17" s="29">
        <v>640</v>
      </c>
      <c r="AK17" s="48" t="s">
        <v>15</v>
      </c>
      <c r="AL17" s="29">
        <v>50</v>
      </c>
      <c r="AM17" s="29">
        <v>684</v>
      </c>
      <c r="AN17" s="48" t="s">
        <v>15</v>
      </c>
      <c r="AO17" s="29">
        <v>179</v>
      </c>
      <c r="AP17" s="29">
        <v>773</v>
      </c>
      <c r="AQ17" s="48" t="s">
        <v>15</v>
      </c>
      <c r="AR17" s="29">
        <v>170</v>
      </c>
      <c r="AS17" s="29">
        <v>700</v>
      </c>
    </row>
    <row r="18" spans="1:45" ht="15.5">
      <c r="A18" s="24">
        <v>14</v>
      </c>
      <c r="B18" s="19" t="s">
        <v>49</v>
      </c>
      <c r="C18" s="19" t="s">
        <v>33</v>
      </c>
      <c r="D18" s="11">
        <v>729</v>
      </c>
      <c r="E18" s="9">
        <v>840.50044616287983</v>
      </c>
      <c r="F18" s="9">
        <v>8859.0203747367013</v>
      </c>
      <c r="G18" s="9">
        <v>835.17303596320687</v>
      </c>
      <c r="H18" s="9">
        <v>787</v>
      </c>
      <c r="I18" s="1"/>
      <c r="J18" s="21">
        <v>14</v>
      </c>
      <c r="K18" s="44" t="s">
        <v>48</v>
      </c>
      <c r="L18" s="44" t="s">
        <v>78</v>
      </c>
      <c r="M18" s="44" t="s">
        <v>79</v>
      </c>
      <c r="N18" s="11">
        <v>47.216848780571503</v>
      </c>
      <c r="O18" s="9">
        <v>52.493938376021305</v>
      </c>
      <c r="P18" s="9">
        <v>53.019341944967294</v>
      </c>
      <c r="Q18" s="9">
        <v>41.945611999383281</v>
      </c>
      <c r="R18" s="9">
        <v>46.09671298488864</v>
      </c>
      <c r="S18" s="1"/>
      <c r="T18" s="23">
        <v>14</v>
      </c>
      <c r="U18" s="28"/>
      <c r="V18" s="28"/>
      <c r="W18" s="28"/>
      <c r="X18" s="28"/>
      <c r="Y18" s="11"/>
      <c r="Z18" s="9"/>
      <c r="AA18" s="9"/>
      <c r="AB18" s="9"/>
      <c r="AC18" s="9"/>
      <c r="AD18" s="1"/>
      <c r="AE18" s="48" t="s">
        <v>16</v>
      </c>
      <c r="AF18" s="29">
        <f>600+(600-AF17)</f>
        <v>1122</v>
      </c>
      <c r="AG18" s="29">
        <f>AG17</f>
        <v>690</v>
      </c>
      <c r="AH18" s="48" t="s">
        <v>16</v>
      </c>
      <c r="AI18" s="29">
        <f>600+(600-AI17)</f>
        <v>1100</v>
      </c>
      <c r="AJ18" s="29">
        <f>AJ17</f>
        <v>640</v>
      </c>
      <c r="AK18" s="48" t="s">
        <v>16</v>
      </c>
      <c r="AL18" s="29">
        <f t="shared" ref="AL18" si="24">600+(600-AL17)</f>
        <v>1150</v>
      </c>
      <c r="AM18" s="29">
        <f t="shared" ref="AM18" si="25">AM17</f>
        <v>684</v>
      </c>
      <c r="AN18" s="48" t="s">
        <v>16</v>
      </c>
      <c r="AO18" s="29">
        <f t="shared" ref="AO18" si="26">600+(600-AO17)</f>
        <v>1021</v>
      </c>
      <c r="AP18" s="29">
        <f t="shared" ref="AP18" si="27">AP17</f>
        <v>773</v>
      </c>
      <c r="AQ18" s="48" t="s">
        <v>16</v>
      </c>
      <c r="AR18" s="29">
        <f t="shared" ref="AR18" si="28">600+(600-AR17)</f>
        <v>1030</v>
      </c>
      <c r="AS18" s="29">
        <f t="shared" ref="AS18" si="29">AS17</f>
        <v>700</v>
      </c>
    </row>
    <row r="19" spans="1:45" ht="15.5">
      <c r="A19" s="24">
        <v>15</v>
      </c>
      <c r="B19" s="19" t="s">
        <v>48</v>
      </c>
      <c r="C19" s="19" t="s">
        <v>34</v>
      </c>
      <c r="D19" s="11">
        <v>979</v>
      </c>
      <c r="E19" s="9">
        <v>1082.3885623933763</v>
      </c>
      <c r="F19" s="9">
        <v>1151.1568094747126</v>
      </c>
      <c r="G19" s="9">
        <v>1097.131714973184</v>
      </c>
      <c r="H19" s="9">
        <v>1039</v>
      </c>
      <c r="I19" s="1"/>
      <c r="J19" s="21">
        <v>15</v>
      </c>
      <c r="K19" s="44" t="s">
        <v>80</v>
      </c>
      <c r="L19" s="44" t="s">
        <v>78</v>
      </c>
      <c r="M19" s="44" t="s">
        <v>79</v>
      </c>
      <c r="N19" s="11">
        <v>20.842958141332954</v>
      </c>
      <c r="O19" s="9">
        <v>17.860854108034168</v>
      </c>
      <c r="P19" s="9">
        <v>20.901525859478539</v>
      </c>
      <c r="Q19" s="9">
        <v>16.253546986003357</v>
      </c>
      <c r="R19" s="9">
        <v>22.104754075041541</v>
      </c>
      <c r="S19" s="1"/>
      <c r="T19" s="23">
        <v>15</v>
      </c>
      <c r="U19" s="28"/>
      <c r="V19" s="28"/>
      <c r="W19" s="28"/>
      <c r="X19" s="28"/>
      <c r="Y19" s="11"/>
      <c r="Z19" s="9"/>
      <c r="AA19" s="9"/>
      <c r="AB19" s="9"/>
      <c r="AC19" s="9"/>
      <c r="AD19" s="1"/>
      <c r="AE19" s="48" t="s">
        <v>17</v>
      </c>
      <c r="AF19" s="29">
        <v>218</v>
      </c>
      <c r="AG19" s="29">
        <v>88</v>
      </c>
      <c r="AH19" s="48" t="s">
        <v>17</v>
      </c>
      <c r="AI19" s="29">
        <v>223</v>
      </c>
      <c r="AJ19" s="29">
        <v>67</v>
      </c>
      <c r="AK19" s="48" t="s">
        <v>17</v>
      </c>
      <c r="AL19" s="29">
        <v>226</v>
      </c>
      <c r="AM19" s="29">
        <v>86</v>
      </c>
      <c r="AN19" s="48" t="s">
        <v>17</v>
      </c>
      <c r="AO19" s="29">
        <v>257</v>
      </c>
      <c r="AP19" s="29">
        <v>98</v>
      </c>
      <c r="AQ19" s="48" t="s">
        <v>17</v>
      </c>
      <c r="AR19" s="29">
        <v>275</v>
      </c>
      <c r="AS19" s="29">
        <v>97</v>
      </c>
    </row>
    <row r="20" spans="1:45" ht="15.5">
      <c r="A20" s="24">
        <v>16</v>
      </c>
      <c r="B20" s="19" t="s">
        <v>50</v>
      </c>
      <c r="C20" s="19" t="s">
        <v>51</v>
      </c>
      <c r="D20" s="11">
        <v>63.031738037277698</v>
      </c>
      <c r="E20" s="9">
        <v>64.629714528226103</v>
      </c>
      <c r="F20" s="9">
        <v>62.032249677083293</v>
      </c>
      <c r="G20" s="9">
        <v>85.328775919967356</v>
      </c>
      <c r="H20" s="9">
        <v>65.069193939989759</v>
      </c>
      <c r="I20" s="3"/>
      <c r="J20" s="21">
        <v>16</v>
      </c>
      <c r="K20" s="44" t="s">
        <v>48</v>
      </c>
      <c r="L20" s="44" t="s">
        <v>81</v>
      </c>
      <c r="M20" s="44" t="s">
        <v>79</v>
      </c>
      <c r="N20" s="11">
        <v>99.007563491852167</v>
      </c>
      <c r="O20" s="9">
        <v>101.58672700632442</v>
      </c>
      <c r="P20" s="9">
        <v>96.78151838851629</v>
      </c>
      <c r="Q20" s="9">
        <v>98.565698788177528</v>
      </c>
      <c r="R20" s="9">
        <v>102.20090416983592</v>
      </c>
      <c r="S20" s="1"/>
      <c r="T20" s="23">
        <v>16</v>
      </c>
      <c r="U20" s="28"/>
      <c r="V20" s="28"/>
      <c r="W20" s="28"/>
      <c r="X20" s="28"/>
      <c r="Y20" s="11"/>
      <c r="Z20" s="9"/>
      <c r="AA20" s="9"/>
      <c r="AB20" s="9"/>
      <c r="AC20" s="9"/>
      <c r="AD20" s="1"/>
      <c r="AE20" s="48" t="s">
        <v>18</v>
      </c>
      <c r="AF20" s="29">
        <v>600</v>
      </c>
      <c r="AG20" s="29">
        <v>201</v>
      </c>
      <c r="AH20" s="48" t="s">
        <v>18</v>
      </c>
      <c r="AI20" s="29">
        <v>571</v>
      </c>
      <c r="AJ20" s="29">
        <v>98</v>
      </c>
      <c r="AK20" s="48" t="s">
        <v>18</v>
      </c>
      <c r="AL20" s="29">
        <v>581</v>
      </c>
      <c r="AM20" s="29">
        <v>29</v>
      </c>
      <c r="AN20" s="48" t="s">
        <v>18</v>
      </c>
      <c r="AO20" s="29">
        <v>583</v>
      </c>
      <c r="AP20" s="29">
        <v>83</v>
      </c>
      <c r="AQ20" s="48" t="s">
        <v>18</v>
      </c>
      <c r="AR20" s="29">
        <v>600</v>
      </c>
      <c r="AS20" s="29">
        <v>141</v>
      </c>
    </row>
    <row r="21" spans="1:45" ht="15.5">
      <c r="A21" s="24">
        <v>17</v>
      </c>
      <c r="B21" s="19" t="s">
        <v>65</v>
      </c>
      <c r="C21" s="19" t="s">
        <v>66</v>
      </c>
      <c r="D21" s="11">
        <v>250</v>
      </c>
      <c r="E21" s="9">
        <v>242</v>
      </c>
      <c r="F21" s="9">
        <v>7708</v>
      </c>
      <c r="G21" s="9">
        <v>262</v>
      </c>
      <c r="H21" s="9">
        <v>252</v>
      </c>
      <c r="I21" s="3"/>
      <c r="J21" s="21">
        <v>17</v>
      </c>
      <c r="K21" s="44" t="s">
        <v>80</v>
      </c>
      <c r="L21" s="44" t="s">
        <v>81</v>
      </c>
      <c r="M21" s="44" t="s">
        <v>79</v>
      </c>
      <c r="N21" s="11">
        <v>19.555375949698092</v>
      </c>
      <c r="O21" s="9">
        <v>25.297043482368117</v>
      </c>
      <c r="P21" s="9">
        <v>30.973453437009674</v>
      </c>
      <c r="Q21" s="9">
        <v>20.691925490757974</v>
      </c>
      <c r="R21" s="9">
        <v>25.163946397872369</v>
      </c>
      <c r="S21" s="1"/>
      <c r="T21" s="23">
        <v>17</v>
      </c>
      <c r="U21" s="28"/>
      <c r="V21" s="28"/>
      <c r="W21" s="28"/>
      <c r="X21" s="28"/>
      <c r="Y21" s="11"/>
      <c r="Z21" s="9"/>
      <c r="AA21" s="9"/>
      <c r="AB21" s="9"/>
      <c r="AC21" s="9"/>
      <c r="AD21" s="1"/>
      <c r="AE21" s="48" t="s">
        <v>19</v>
      </c>
      <c r="AF21" s="29">
        <f>600+(600-AF19)</f>
        <v>982</v>
      </c>
      <c r="AG21" s="29">
        <f>AG19</f>
        <v>88</v>
      </c>
      <c r="AH21" s="48" t="s">
        <v>19</v>
      </c>
      <c r="AI21" s="29">
        <f>600+(600-AI19)</f>
        <v>977</v>
      </c>
      <c r="AJ21" s="29">
        <f>AJ19</f>
        <v>67</v>
      </c>
      <c r="AK21" s="48" t="s">
        <v>19</v>
      </c>
      <c r="AL21" s="29">
        <f t="shared" ref="AL21" si="30">600+(600-AL19)</f>
        <v>974</v>
      </c>
      <c r="AM21" s="29">
        <f t="shared" ref="AM21" si="31">AM19</f>
        <v>86</v>
      </c>
      <c r="AN21" s="48" t="s">
        <v>19</v>
      </c>
      <c r="AO21" s="29">
        <f t="shared" ref="AO21" si="32">600+(600-AO19)</f>
        <v>943</v>
      </c>
      <c r="AP21" s="29">
        <f t="shared" ref="AP21" si="33">AP19</f>
        <v>98</v>
      </c>
      <c r="AQ21" s="48" t="s">
        <v>19</v>
      </c>
      <c r="AR21" s="29">
        <f t="shared" ref="AR21" si="34">600+(600-AR19)</f>
        <v>925</v>
      </c>
      <c r="AS21" s="29">
        <f t="shared" ref="AS21" si="35">AS19</f>
        <v>97</v>
      </c>
    </row>
    <row r="22" spans="1:45" ht="15.5">
      <c r="A22" s="24">
        <v>18</v>
      </c>
      <c r="B22" s="19" t="s">
        <v>76</v>
      </c>
      <c r="C22" s="19" t="s">
        <v>75</v>
      </c>
      <c r="D22" s="11">
        <v>45.354161881794269</v>
      </c>
      <c r="E22" s="9">
        <v>44.721359549995796</v>
      </c>
      <c r="F22" s="9">
        <v>58.940648113165501</v>
      </c>
      <c r="G22" s="9">
        <v>36.221540552549669</v>
      </c>
      <c r="H22" s="9">
        <v>47.010637094172637</v>
      </c>
      <c r="I22" s="3"/>
      <c r="J22" s="21">
        <v>18</v>
      </c>
      <c r="K22" s="27"/>
      <c r="L22" s="27"/>
      <c r="M22" s="27"/>
      <c r="N22" s="11"/>
      <c r="O22" s="9"/>
      <c r="P22" s="9"/>
      <c r="Q22" s="9"/>
      <c r="R22" s="9"/>
      <c r="S22" s="1"/>
      <c r="T22" s="23">
        <v>18</v>
      </c>
      <c r="U22" s="28"/>
      <c r="V22" s="28"/>
      <c r="W22" s="28"/>
      <c r="X22" s="28"/>
      <c r="Y22" s="11"/>
      <c r="Z22" s="9"/>
      <c r="AA22" s="9"/>
      <c r="AB22" s="9"/>
      <c r="AC22" s="9"/>
      <c r="AD22" s="1"/>
      <c r="AE22" s="48" t="s">
        <v>20</v>
      </c>
      <c r="AF22" s="29">
        <v>329</v>
      </c>
      <c r="AG22" s="29">
        <v>556</v>
      </c>
      <c r="AH22" s="48" t="s">
        <v>20</v>
      </c>
      <c r="AI22" s="29">
        <v>316</v>
      </c>
      <c r="AJ22" s="29">
        <v>563</v>
      </c>
      <c r="AK22" s="48" t="s">
        <v>20</v>
      </c>
      <c r="AL22" s="29">
        <v>311</v>
      </c>
      <c r="AM22" s="29">
        <v>533</v>
      </c>
      <c r="AN22" s="49" t="s">
        <v>20</v>
      </c>
      <c r="AO22" s="30">
        <v>341</v>
      </c>
      <c r="AP22" s="30">
        <v>532</v>
      </c>
      <c r="AQ22" s="48" t="s">
        <v>20</v>
      </c>
      <c r="AR22" s="29">
        <v>342</v>
      </c>
      <c r="AS22" s="29">
        <v>567</v>
      </c>
    </row>
    <row r="23" spans="1:45" ht="15.5">
      <c r="A23" s="24">
        <v>19</v>
      </c>
      <c r="B23" s="19" t="s">
        <v>73</v>
      </c>
      <c r="C23" s="19" t="s">
        <v>74</v>
      </c>
      <c r="D23" s="11">
        <v>237.21087664776252</v>
      </c>
      <c r="E23" s="9">
        <v>230.05434140654683</v>
      </c>
      <c r="F23" s="9">
        <v>241</v>
      </c>
      <c r="G23" s="9">
        <v>208.34586628968668</v>
      </c>
      <c r="H23" s="9">
        <v>211.08529081866411</v>
      </c>
      <c r="I23" s="3"/>
      <c r="J23" s="21">
        <v>19</v>
      </c>
      <c r="K23" s="27"/>
      <c r="L23" s="27"/>
      <c r="M23" s="27"/>
      <c r="N23" s="11"/>
      <c r="O23" s="9"/>
      <c r="P23" s="9"/>
      <c r="Q23" s="9"/>
      <c r="R23" s="9"/>
      <c r="S23" s="1"/>
      <c r="T23" s="23">
        <v>19</v>
      </c>
      <c r="U23" s="28"/>
      <c r="V23" s="28"/>
      <c r="W23" s="28"/>
      <c r="X23" s="28"/>
      <c r="Y23" s="11"/>
      <c r="Z23" s="9"/>
      <c r="AA23" s="9"/>
      <c r="AB23" s="9"/>
      <c r="AC23" s="9"/>
      <c r="AD23" s="1"/>
      <c r="AE23" s="48" t="s">
        <v>21</v>
      </c>
      <c r="AF23" s="29">
        <v>423</v>
      </c>
      <c r="AG23" s="29">
        <v>577</v>
      </c>
      <c r="AH23" s="49" t="s">
        <v>21</v>
      </c>
      <c r="AI23" s="30">
        <v>417</v>
      </c>
      <c r="AJ23" s="30">
        <v>588</v>
      </c>
      <c r="AK23" s="48" t="s">
        <v>21</v>
      </c>
      <c r="AL23" s="29">
        <v>404</v>
      </c>
      <c r="AM23" s="29">
        <v>553</v>
      </c>
      <c r="AN23" s="49" t="s">
        <v>21</v>
      </c>
      <c r="AO23" s="30">
        <v>423</v>
      </c>
      <c r="AP23" s="30">
        <v>564</v>
      </c>
      <c r="AQ23" s="48" t="s">
        <v>109</v>
      </c>
      <c r="AR23" s="29">
        <v>422</v>
      </c>
      <c r="AS23" s="29">
        <v>577</v>
      </c>
    </row>
    <row r="24" spans="1:45" ht="15.5">
      <c r="A24" s="24">
        <v>20</v>
      </c>
      <c r="B24" s="19"/>
      <c r="C24" s="19"/>
      <c r="D24" s="9"/>
      <c r="E24" s="9"/>
      <c r="F24" s="9"/>
      <c r="G24" s="9"/>
      <c r="H24" s="9"/>
      <c r="I24" s="3"/>
      <c r="J24" s="21">
        <v>20</v>
      </c>
      <c r="K24" s="27"/>
      <c r="L24" s="27"/>
      <c r="M24" s="27"/>
      <c r="N24" s="11"/>
      <c r="O24" s="9"/>
      <c r="P24" s="9"/>
      <c r="Q24" s="9"/>
      <c r="R24" s="9"/>
      <c r="S24" s="1"/>
      <c r="T24" s="23">
        <v>20</v>
      </c>
      <c r="U24" s="28"/>
      <c r="V24" s="28"/>
      <c r="W24" s="28"/>
      <c r="X24" s="28"/>
      <c r="Y24" s="11"/>
      <c r="Z24" s="9"/>
      <c r="AA24" s="9"/>
      <c r="AB24" s="9"/>
      <c r="AC24" s="9"/>
      <c r="AD24" s="1"/>
      <c r="AE24" s="48" t="s">
        <v>22</v>
      </c>
      <c r="AF24" s="29">
        <v>514</v>
      </c>
      <c r="AG24" s="29">
        <v>553</v>
      </c>
      <c r="AH24" s="49" t="s">
        <v>22</v>
      </c>
      <c r="AI24" s="30">
        <v>488</v>
      </c>
      <c r="AJ24" s="30">
        <v>563</v>
      </c>
      <c r="AK24" s="48" t="s">
        <v>22</v>
      </c>
      <c r="AL24" s="29">
        <v>479</v>
      </c>
      <c r="AM24" s="29">
        <v>517</v>
      </c>
      <c r="AN24" s="49" t="s">
        <v>22</v>
      </c>
      <c r="AO24" s="30">
        <v>509</v>
      </c>
      <c r="AP24" s="30">
        <v>540</v>
      </c>
      <c r="AQ24" s="48" t="s">
        <v>22</v>
      </c>
      <c r="AR24" s="29">
        <v>514</v>
      </c>
      <c r="AS24" s="29">
        <v>564</v>
      </c>
    </row>
    <row r="25" spans="1:45" ht="15.5">
      <c r="A25" s="24">
        <v>21</v>
      </c>
      <c r="B25" s="19"/>
      <c r="C25" s="19"/>
      <c r="D25" s="9"/>
      <c r="E25" s="9"/>
      <c r="F25" s="9"/>
      <c r="G25" s="9"/>
      <c r="H25" s="9"/>
      <c r="I25" s="3"/>
      <c r="J25" s="21">
        <v>21</v>
      </c>
      <c r="K25" s="27"/>
      <c r="L25" s="27"/>
      <c r="M25" s="27"/>
      <c r="N25" s="11"/>
      <c r="O25" s="9"/>
      <c r="P25" s="9"/>
      <c r="Q25" s="9"/>
      <c r="R25" s="9"/>
      <c r="S25" s="1"/>
      <c r="T25" s="23">
        <v>21</v>
      </c>
      <c r="U25" s="28"/>
      <c r="V25" s="28"/>
      <c r="W25" s="28"/>
      <c r="X25" s="28"/>
      <c r="Y25" s="11"/>
      <c r="Z25" s="9"/>
      <c r="AA25" s="9"/>
      <c r="AB25" s="9"/>
      <c r="AC25" s="9"/>
      <c r="AD25" s="1"/>
      <c r="AE25" s="48" t="s">
        <v>23</v>
      </c>
      <c r="AF25" s="29">
        <v>421</v>
      </c>
      <c r="AG25" s="29">
        <v>514</v>
      </c>
      <c r="AH25" s="49" t="s">
        <v>23</v>
      </c>
      <c r="AI25" s="30">
        <v>408</v>
      </c>
      <c r="AJ25" s="30">
        <v>524</v>
      </c>
      <c r="AK25" s="48" t="s">
        <v>23</v>
      </c>
      <c r="AL25" s="29">
        <v>402</v>
      </c>
      <c r="AM25" s="29">
        <v>491</v>
      </c>
      <c r="AN25" s="49" t="s">
        <v>23</v>
      </c>
      <c r="AO25" s="30">
        <v>408</v>
      </c>
      <c r="AP25" s="30">
        <v>480</v>
      </c>
      <c r="AQ25" s="48" t="s">
        <v>23</v>
      </c>
      <c r="AR25" s="29">
        <v>419</v>
      </c>
      <c r="AS25" s="29">
        <v>512</v>
      </c>
    </row>
    <row r="26" spans="1:45" ht="15.5">
      <c r="A26" s="24">
        <v>22</v>
      </c>
      <c r="B26" s="19"/>
      <c r="C26" s="19"/>
      <c r="D26" s="9"/>
      <c r="E26" s="9"/>
      <c r="F26" s="9"/>
      <c r="G26" s="9"/>
      <c r="H26" s="9"/>
      <c r="I26" s="3"/>
      <c r="J26" s="21">
        <v>22</v>
      </c>
      <c r="K26" s="27"/>
      <c r="L26" s="27"/>
      <c r="M26" s="27"/>
      <c r="N26" s="11"/>
      <c r="O26" s="9"/>
      <c r="P26" s="9"/>
      <c r="Q26" s="9"/>
      <c r="R26" s="9"/>
      <c r="S26" s="1"/>
      <c r="T26" s="23">
        <v>22</v>
      </c>
      <c r="U26" s="28"/>
      <c r="V26" s="28"/>
      <c r="W26" s="28"/>
      <c r="X26" s="28"/>
      <c r="Y26" s="11"/>
      <c r="Z26" s="9"/>
      <c r="AA26" s="9"/>
      <c r="AB26" s="9"/>
      <c r="AC26" s="9"/>
      <c r="AD26" s="1"/>
      <c r="AE26" s="48" t="s">
        <v>24</v>
      </c>
      <c r="AF26" s="31">
        <v>1180</v>
      </c>
      <c r="AG26" s="31">
        <v>1180</v>
      </c>
      <c r="AH26" s="49" t="s">
        <v>24</v>
      </c>
      <c r="AI26" s="30">
        <v>1180</v>
      </c>
      <c r="AJ26" s="30">
        <v>1180</v>
      </c>
      <c r="AK26" s="48" t="s">
        <v>24</v>
      </c>
      <c r="AL26" s="31">
        <v>1180</v>
      </c>
      <c r="AM26" s="31">
        <v>1180</v>
      </c>
      <c r="AN26" s="49" t="s">
        <v>24</v>
      </c>
      <c r="AO26" s="30">
        <v>1180</v>
      </c>
      <c r="AP26" s="30">
        <v>1180</v>
      </c>
      <c r="AQ26" s="32" t="s">
        <v>24</v>
      </c>
      <c r="AR26" s="31">
        <v>1180</v>
      </c>
      <c r="AS26" s="31">
        <v>1180</v>
      </c>
    </row>
    <row r="27" spans="1:45" ht="15.5">
      <c r="A27" s="24">
        <v>23</v>
      </c>
      <c r="B27" s="19"/>
      <c r="C27" s="19"/>
      <c r="D27" s="9"/>
      <c r="E27" s="9"/>
      <c r="F27" s="9"/>
      <c r="G27" s="9"/>
      <c r="H27" s="9"/>
      <c r="I27" s="1"/>
      <c r="J27" s="21">
        <v>23</v>
      </c>
      <c r="K27" s="27"/>
      <c r="L27" s="27"/>
      <c r="M27" s="27"/>
      <c r="N27" s="11"/>
      <c r="O27" s="9"/>
      <c r="P27" s="9"/>
      <c r="Q27" s="9"/>
      <c r="R27" s="9"/>
      <c r="S27" s="1"/>
      <c r="T27" s="23">
        <v>23</v>
      </c>
      <c r="U27" s="28"/>
      <c r="V27" s="28"/>
      <c r="W27" s="28"/>
      <c r="X27" s="28"/>
      <c r="Y27" s="11"/>
      <c r="Z27" s="9"/>
      <c r="AA27" s="9"/>
      <c r="AB27" s="9"/>
      <c r="AC27" s="9"/>
      <c r="AD27" s="1"/>
      <c r="AE27" s="46" t="s">
        <v>67</v>
      </c>
      <c r="AF27" s="8">
        <v>600</v>
      </c>
      <c r="AG27" s="37">
        <v>0</v>
      </c>
      <c r="AH27" s="46" t="s">
        <v>67</v>
      </c>
      <c r="AI27" s="9">
        <v>600</v>
      </c>
      <c r="AJ27" s="38">
        <v>0</v>
      </c>
      <c r="AK27" s="46" t="s">
        <v>67</v>
      </c>
      <c r="AL27" s="8">
        <v>600</v>
      </c>
      <c r="AM27" s="37">
        <v>0</v>
      </c>
      <c r="AN27" s="46" t="s">
        <v>67</v>
      </c>
      <c r="AO27" s="9">
        <v>600</v>
      </c>
      <c r="AP27" s="38">
        <v>0</v>
      </c>
      <c r="AQ27" s="46" t="s">
        <v>67</v>
      </c>
      <c r="AR27" s="8">
        <v>600</v>
      </c>
      <c r="AS27" s="37">
        <v>0</v>
      </c>
    </row>
    <row r="28" spans="1:45" ht="15.5">
      <c r="A28" s="24">
        <v>24</v>
      </c>
      <c r="B28" s="19"/>
      <c r="C28" s="19"/>
      <c r="D28" s="17"/>
      <c r="E28" s="12"/>
      <c r="F28" s="12"/>
      <c r="G28" s="12"/>
      <c r="H28" s="12"/>
      <c r="I28" s="7"/>
      <c r="J28" s="21">
        <v>24</v>
      </c>
      <c r="K28" s="27"/>
      <c r="L28" s="27"/>
      <c r="M28" s="27"/>
      <c r="N28" s="17"/>
      <c r="O28" s="12"/>
      <c r="P28" s="12"/>
      <c r="Q28" s="12"/>
      <c r="R28" s="12"/>
      <c r="S28" s="7"/>
      <c r="T28" s="23">
        <v>24</v>
      </c>
      <c r="U28" s="28"/>
      <c r="V28" s="28"/>
      <c r="W28" s="28"/>
      <c r="X28" s="28"/>
      <c r="Y28" s="17"/>
      <c r="Z28" s="12"/>
      <c r="AA28" s="12"/>
      <c r="AB28" s="12"/>
      <c r="AC28" s="12"/>
      <c r="AD28" s="7"/>
      <c r="AE28" s="46" t="s">
        <v>68</v>
      </c>
      <c r="AF28" s="8">
        <v>420</v>
      </c>
      <c r="AG28" s="37">
        <v>454</v>
      </c>
      <c r="AH28" s="46" t="s">
        <v>68</v>
      </c>
      <c r="AI28" s="9">
        <v>414</v>
      </c>
      <c r="AJ28" s="38">
        <v>441</v>
      </c>
      <c r="AK28" s="46" t="s">
        <v>68</v>
      </c>
      <c r="AL28" s="8">
        <v>425</v>
      </c>
      <c r="AM28" s="37">
        <v>391</v>
      </c>
      <c r="AN28" s="46" t="s">
        <v>68</v>
      </c>
      <c r="AO28" s="9">
        <v>412</v>
      </c>
      <c r="AP28" s="38">
        <v>382</v>
      </c>
      <c r="AQ28" s="46" t="s">
        <v>68</v>
      </c>
      <c r="AR28" s="8">
        <v>419</v>
      </c>
      <c r="AS28" s="37">
        <v>437</v>
      </c>
    </row>
    <row r="29" spans="1:45" ht="15.5">
      <c r="A29" s="24">
        <v>25</v>
      </c>
      <c r="B29" s="19"/>
      <c r="C29" s="19"/>
      <c r="D29" s="18"/>
      <c r="E29" s="13"/>
      <c r="F29" s="9"/>
      <c r="G29" s="9"/>
      <c r="H29" s="9"/>
      <c r="I29" s="1"/>
      <c r="J29" s="21">
        <v>25</v>
      </c>
      <c r="K29" s="27"/>
      <c r="L29" s="27"/>
      <c r="M29" s="27"/>
      <c r="N29" s="11"/>
      <c r="O29" s="9"/>
      <c r="P29" s="9"/>
      <c r="Q29" s="9"/>
      <c r="R29" s="9"/>
      <c r="S29" s="1"/>
      <c r="T29" s="23">
        <v>25</v>
      </c>
      <c r="U29" s="28"/>
      <c r="V29" s="28"/>
      <c r="W29" s="28"/>
      <c r="X29" s="28"/>
      <c r="Y29" s="11"/>
      <c r="Z29" s="9"/>
      <c r="AA29" s="9"/>
      <c r="AB29" s="9"/>
      <c r="AC29" s="9"/>
      <c r="AD29" s="1"/>
      <c r="AE29" s="46" t="s">
        <v>69</v>
      </c>
      <c r="AF29" s="8">
        <v>304</v>
      </c>
      <c r="AG29" s="37">
        <v>492</v>
      </c>
      <c r="AH29" s="46" t="s">
        <v>69</v>
      </c>
      <c r="AI29" s="9">
        <v>278</v>
      </c>
      <c r="AJ29" s="38">
        <v>486</v>
      </c>
      <c r="AK29" s="46" t="s">
        <v>69</v>
      </c>
      <c r="AL29" s="8">
        <v>278</v>
      </c>
      <c r="AM29" s="37">
        <v>451</v>
      </c>
      <c r="AN29" s="46" t="s">
        <v>69</v>
      </c>
      <c r="AO29" s="9">
        <v>295</v>
      </c>
      <c r="AP29" s="38">
        <v>437</v>
      </c>
      <c r="AQ29" s="46" t="s">
        <v>69</v>
      </c>
      <c r="AR29" s="8">
        <v>307</v>
      </c>
      <c r="AS29" s="37">
        <v>492</v>
      </c>
    </row>
    <row r="30" spans="1:45" ht="15.5">
      <c r="A30" s="24">
        <v>26</v>
      </c>
      <c r="B30" s="19"/>
      <c r="C30" s="19"/>
      <c r="D30" s="11"/>
      <c r="E30" s="9"/>
      <c r="F30" s="9"/>
      <c r="G30" s="9"/>
      <c r="H30" s="9"/>
      <c r="I30" s="1"/>
      <c r="J30" s="21">
        <v>26</v>
      </c>
      <c r="K30" s="27"/>
      <c r="L30" s="27"/>
      <c r="M30" s="27"/>
      <c r="N30" s="11"/>
      <c r="O30" s="9"/>
      <c r="P30" s="9"/>
      <c r="Q30" s="9"/>
      <c r="R30" s="9"/>
      <c r="S30" s="1"/>
      <c r="T30" s="23">
        <v>26</v>
      </c>
      <c r="U30" s="28"/>
      <c r="V30" s="28"/>
      <c r="W30" s="28"/>
      <c r="X30" s="28"/>
      <c r="Y30" s="11"/>
      <c r="Z30" s="9"/>
      <c r="AA30" s="9"/>
      <c r="AB30" s="9"/>
      <c r="AC30" s="9"/>
      <c r="AD30" s="1"/>
      <c r="AE30" s="46" t="s">
        <v>70</v>
      </c>
      <c r="AF30" s="8">
        <v>541</v>
      </c>
      <c r="AG30" s="37">
        <v>502</v>
      </c>
      <c r="AH30" s="46" t="s">
        <v>70</v>
      </c>
      <c r="AI30" s="9">
        <v>508</v>
      </c>
      <c r="AJ30" s="38">
        <v>481</v>
      </c>
      <c r="AK30" s="46" t="s">
        <v>70</v>
      </c>
      <c r="AL30" s="8">
        <v>519</v>
      </c>
      <c r="AM30" s="37">
        <v>451</v>
      </c>
      <c r="AN30" s="46" t="s">
        <v>70</v>
      </c>
      <c r="AO30" s="9">
        <v>503</v>
      </c>
      <c r="AP30" s="38">
        <v>425</v>
      </c>
      <c r="AQ30" s="46" t="s">
        <v>70</v>
      </c>
      <c r="AR30" s="8">
        <v>518</v>
      </c>
      <c r="AS30" s="37">
        <v>486</v>
      </c>
    </row>
    <row r="31" spans="1:45" ht="15.5">
      <c r="A31" s="24">
        <v>27</v>
      </c>
      <c r="B31" s="19"/>
      <c r="C31" s="19"/>
      <c r="D31" s="11"/>
      <c r="E31" s="9"/>
      <c r="F31" s="9"/>
      <c r="G31" s="9"/>
      <c r="H31" s="9"/>
      <c r="I31" s="1"/>
      <c r="J31" s="21">
        <v>27</v>
      </c>
      <c r="K31" s="27"/>
      <c r="L31" s="27"/>
      <c r="M31" s="27"/>
      <c r="N31" s="11"/>
      <c r="O31" s="9"/>
      <c r="P31" s="9"/>
      <c r="Q31" s="9"/>
      <c r="R31" s="9"/>
      <c r="S31" s="1"/>
      <c r="T31" s="23">
        <v>27</v>
      </c>
      <c r="U31" s="28"/>
      <c r="V31" s="28"/>
      <c r="W31" s="28"/>
      <c r="X31" s="28"/>
      <c r="Y31" s="11"/>
      <c r="Z31" s="9"/>
      <c r="AA31" s="9"/>
      <c r="AB31" s="9"/>
      <c r="AC31" s="9"/>
      <c r="AD31" s="1"/>
      <c r="AE31" s="46" t="s">
        <v>71</v>
      </c>
      <c r="AF31" s="8">
        <v>431</v>
      </c>
      <c r="AG31" s="37">
        <v>498</v>
      </c>
      <c r="AH31" s="46" t="s">
        <v>71</v>
      </c>
      <c r="AI31" s="9">
        <v>406</v>
      </c>
      <c r="AJ31" s="38">
        <v>485</v>
      </c>
      <c r="AK31" s="46" t="s">
        <v>71</v>
      </c>
      <c r="AL31" s="8">
        <v>410</v>
      </c>
      <c r="AM31" s="37">
        <v>448</v>
      </c>
      <c r="AN31" s="46" t="s">
        <v>71</v>
      </c>
      <c r="AO31" s="9">
        <v>416</v>
      </c>
      <c r="AP31" s="38">
        <v>418</v>
      </c>
      <c r="AQ31" s="46" t="s">
        <v>71</v>
      </c>
      <c r="AR31" s="8">
        <v>420</v>
      </c>
      <c r="AS31" s="37">
        <v>484</v>
      </c>
    </row>
    <row r="32" spans="1:45" ht="15.5">
      <c r="A32" s="24">
        <v>28</v>
      </c>
      <c r="B32" s="19"/>
      <c r="C32" s="19"/>
      <c r="D32" s="11"/>
      <c r="E32" s="9"/>
      <c r="F32" s="9"/>
      <c r="G32" s="9"/>
      <c r="H32" s="9"/>
      <c r="I32" s="1"/>
      <c r="J32" s="21">
        <v>28</v>
      </c>
      <c r="K32" s="27"/>
      <c r="L32" s="27"/>
      <c r="M32" s="27"/>
      <c r="N32" s="11"/>
      <c r="O32" s="9"/>
      <c r="P32" s="9"/>
      <c r="Q32" s="9"/>
      <c r="R32" s="9"/>
      <c r="S32" s="1"/>
      <c r="T32" s="23">
        <v>28</v>
      </c>
      <c r="U32" s="28"/>
      <c r="V32" s="28"/>
      <c r="W32" s="28"/>
      <c r="X32" s="28"/>
      <c r="Y32" s="11"/>
      <c r="Z32" s="9"/>
      <c r="AA32" s="9"/>
      <c r="AB32" s="9"/>
      <c r="AC32" s="9"/>
      <c r="AD32" s="1"/>
      <c r="AE32" s="46"/>
      <c r="AF32" s="8"/>
      <c r="AG32" s="37"/>
      <c r="AH32" s="46"/>
      <c r="AI32" s="9"/>
      <c r="AJ32" s="38"/>
      <c r="AK32" s="46"/>
      <c r="AL32" s="8"/>
      <c r="AM32" s="37"/>
      <c r="AN32" s="46"/>
      <c r="AO32" s="9"/>
      <c r="AP32" s="38"/>
      <c r="AQ32" s="46"/>
      <c r="AR32" s="8"/>
      <c r="AS32" s="37"/>
    </row>
    <row r="33" spans="1:45" ht="15.5">
      <c r="A33" s="24">
        <v>29</v>
      </c>
      <c r="B33" s="19"/>
      <c r="C33" s="19"/>
      <c r="D33" s="11"/>
      <c r="E33" s="9"/>
      <c r="F33" s="9"/>
      <c r="G33" s="9"/>
      <c r="H33" s="9"/>
      <c r="I33" s="1"/>
      <c r="J33" s="21">
        <v>29</v>
      </c>
      <c r="K33" s="27"/>
      <c r="L33" s="27"/>
      <c r="M33" s="27"/>
      <c r="N33" s="11"/>
      <c r="O33" s="9"/>
      <c r="P33" s="9"/>
      <c r="Q33" s="9"/>
      <c r="R33" s="9"/>
      <c r="S33" s="1"/>
      <c r="T33" s="23">
        <v>29</v>
      </c>
      <c r="U33" s="28"/>
      <c r="V33" s="28"/>
      <c r="W33" s="28"/>
      <c r="X33" s="28"/>
      <c r="Y33" s="11"/>
      <c r="Z33" s="9"/>
      <c r="AA33" s="9"/>
      <c r="AB33" s="9"/>
      <c r="AC33" s="9"/>
      <c r="AD33" s="1"/>
      <c r="AE33" s="46"/>
      <c r="AF33" s="8"/>
      <c r="AG33" s="37"/>
      <c r="AH33" s="47"/>
      <c r="AI33" s="9"/>
      <c r="AJ33" s="38"/>
      <c r="AK33" s="46"/>
      <c r="AL33" s="8"/>
      <c r="AM33" s="37"/>
      <c r="AN33" s="47"/>
      <c r="AO33" s="9"/>
      <c r="AP33" s="38"/>
      <c r="AQ33" s="46"/>
      <c r="AR33" s="8"/>
      <c r="AS33" s="37"/>
    </row>
    <row r="34" spans="1:45" ht="15.5">
      <c r="A34" s="24">
        <v>30</v>
      </c>
      <c r="B34" s="19"/>
      <c r="C34" s="19"/>
      <c r="D34" s="11"/>
      <c r="E34" s="9"/>
      <c r="F34" s="9"/>
      <c r="G34" s="9"/>
      <c r="H34" s="9"/>
      <c r="I34" s="1"/>
      <c r="J34" s="21">
        <v>30</v>
      </c>
      <c r="K34" s="27"/>
      <c r="L34" s="27"/>
      <c r="M34" s="27"/>
      <c r="N34" s="11"/>
      <c r="O34" s="9"/>
      <c r="P34" s="9"/>
      <c r="Q34" s="9"/>
      <c r="R34" s="9"/>
      <c r="S34" s="1"/>
      <c r="T34" s="23">
        <v>30</v>
      </c>
      <c r="U34" s="28"/>
      <c r="V34" s="28"/>
      <c r="W34" s="28"/>
      <c r="X34" s="28"/>
      <c r="Y34" s="11"/>
      <c r="Z34" s="9"/>
      <c r="AA34" s="9"/>
      <c r="AB34" s="9"/>
      <c r="AC34" s="9"/>
      <c r="AD34" s="1"/>
      <c r="AE34" s="26"/>
      <c r="AF34" s="8"/>
      <c r="AG34" s="6"/>
      <c r="AH34" s="5"/>
      <c r="AI34" s="9"/>
      <c r="AJ34" s="16"/>
      <c r="AK34" s="26"/>
      <c r="AL34" s="8"/>
      <c r="AM34" s="6"/>
      <c r="AN34" s="5"/>
      <c r="AO34" s="9"/>
      <c r="AP34" s="16"/>
      <c r="AQ34" s="26"/>
      <c r="AR34" s="8"/>
      <c r="AS34" s="6"/>
    </row>
  </sheetData>
  <mergeCells count="23">
    <mergeCell ref="A1:H1"/>
    <mergeCell ref="J1:R1"/>
    <mergeCell ref="T1:AC1"/>
    <mergeCell ref="AE1:AS1"/>
    <mergeCell ref="A2:C4"/>
    <mergeCell ref="D2:F3"/>
    <mergeCell ref="G2:H3"/>
    <mergeCell ref="J2:M4"/>
    <mergeCell ref="N2:P3"/>
    <mergeCell ref="Q2:R3"/>
    <mergeCell ref="T2:X4"/>
    <mergeCell ref="Y2:AA3"/>
    <mergeCell ref="AB2:AC3"/>
    <mergeCell ref="AE2:AG2"/>
    <mergeCell ref="AH2:AJ2"/>
    <mergeCell ref="AN2:AP2"/>
    <mergeCell ref="AQ2:AS2"/>
    <mergeCell ref="AF3:AG3"/>
    <mergeCell ref="AI3:AJ3"/>
    <mergeCell ref="AL3:AM3"/>
    <mergeCell ref="AO3:AP3"/>
    <mergeCell ref="AR3:AS3"/>
    <mergeCell ref="AK2:AM2"/>
  </mergeCells>
  <phoneticPr fontId="7" type="noConversion"/>
  <conditionalFormatting sqref="Y1:AC1 Y4:AC34 Y2">
    <cfRule type="cellIs" dxfId="6" priority="1" operator="lessThan">
      <formula>0</formula>
    </cfRule>
  </conditionalFormatting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工作表28"/>
  <dimension ref="A1:AS34"/>
  <sheetViews>
    <sheetView topLeftCell="K1" zoomScale="70" zoomScaleNormal="70" workbookViewId="0">
      <selection activeCell="AI3" sqref="AI3:AJ3"/>
    </sheetView>
  </sheetViews>
  <sheetFormatPr defaultRowHeight="15"/>
  <cols>
    <col min="21" max="22" width="4.6640625" customWidth="1"/>
    <col min="23" max="23" width="4.5" customWidth="1"/>
    <col min="24" max="24" width="4.9140625" customWidth="1"/>
  </cols>
  <sheetData>
    <row r="1" spans="1:45" ht="23">
      <c r="A1" s="57" t="s">
        <v>58</v>
      </c>
      <c r="B1" s="57"/>
      <c r="C1" s="57"/>
      <c r="D1" s="57"/>
      <c r="E1" s="57"/>
      <c r="F1" s="57"/>
      <c r="G1" s="57"/>
      <c r="H1" s="58"/>
      <c r="I1" s="1"/>
      <c r="J1" s="59" t="s">
        <v>60</v>
      </c>
      <c r="K1" s="59"/>
      <c r="L1" s="59"/>
      <c r="M1" s="59"/>
      <c r="N1" s="59"/>
      <c r="O1" s="59"/>
      <c r="P1" s="59"/>
      <c r="Q1" s="59"/>
      <c r="R1" s="59"/>
      <c r="S1" s="1"/>
      <c r="T1" s="60" t="s">
        <v>59</v>
      </c>
      <c r="U1" s="60"/>
      <c r="V1" s="60"/>
      <c r="W1" s="60"/>
      <c r="X1" s="60"/>
      <c r="Y1" s="60"/>
      <c r="Z1" s="60"/>
      <c r="AA1" s="60"/>
      <c r="AB1" s="60"/>
      <c r="AC1" s="60"/>
      <c r="AD1" s="1"/>
      <c r="AE1" s="61" t="s">
        <v>180</v>
      </c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</row>
    <row r="2" spans="1:45" ht="18">
      <c r="A2" s="63" t="s">
        <v>55</v>
      </c>
      <c r="B2" s="63"/>
      <c r="C2" s="63"/>
      <c r="D2" s="65"/>
      <c r="E2" s="66"/>
      <c r="F2" s="67"/>
      <c r="G2" s="65"/>
      <c r="H2" s="67"/>
      <c r="I2" s="2"/>
      <c r="J2" s="71" t="s">
        <v>56</v>
      </c>
      <c r="K2" s="71"/>
      <c r="L2" s="71"/>
      <c r="M2" s="71"/>
      <c r="N2" s="73"/>
      <c r="O2" s="74"/>
      <c r="P2" s="75"/>
      <c r="Q2" s="73"/>
      <c r="R2" s="75"/>
      <c r="S2" s="2"/>
      <c r="T2" s="90" t="s">
        <v>57</v>
      </c>
      <c r="U2" s="90"/>
      <c r="V2" s="90"/>
      <c r="W2" s="90"/>
      <c r="X2" s="90"/>
      <c r="Y2" s="92"/>
      <c r="Z2" s="93"/>
      <c r="AA2" s="94"/>
      <c r="AB2" s="92"/>
      <c r="AC2" s="94"/>
      <c r="AD2" s="2"/>
      <c r="AE2" s="54" t="s">
        <v>130</v>
      </c>
      <c r="AF2" s="55"/>
      <c r="AG2" s="56"/>
      <c r="AH2" s="81" t="s">
        <v>131</v>
      </c>
      <c r="AI2" s="82"/>
      <c r="AJ2" s="83"/>
      <c r="AK2" s="54" t="s">
        <v>132</v>
      </c>
      <c r="AL2" s="55"/>
      <c r="AM2" s="56"/>
      <c r="AN2" s="81" t="s">
        <v>133</v>
      </c>
      <c r="AO2" s="82"/>
      <c r="AP2" s="83"/>
      <c r="AQ2" s="54" t="s">
        <v>168</v>
      </c>
      <c r="AR2" s="55"/>
      <c r="AS2" s="56"/>
    </row>
    <row r="3" spans="1:45" ht="15.5">
      <c r="A3" s="63"/>
      <c r="B3" s="63"/>
      <c r="C3" s="63"/>
      <c r="D3" s="68"/>
      <c r="E3" s="69"/>
      <c r="F3" s="70"/>
      <c r="G3" s="68"/>
      <c r="H3" s="70"/>
      <c r="I3" s="1"/>
      <c r="J3" s="71"/>
      <c r="K3" s="71"/>
      <c r="L3" s="71"/>
      <c r="M3" s="71"/>
      <c r="N3" s="76"/>
      <c r="O3" s="77"/>
      <c r="P3" s="78"/>
      <c r="Q3" s="76"/>
      <c r="R3" s="78"/>
      <c r="S3" s="1"/>
      <c r="T3" s="90"/>
      <c r="U3" s="90"/>
      <c r="V3" s="90"/>
      <c r="W3" s="90"/>
      <c r="X3" s="90"/>
      <c r="Y3" s="95"/>
      <c r="Z3" s="96"/>
      <c r="AA3" s="97"/>
      <c r="AB3" s="95"/>
      <c r="AC3" s="97"/>
      <c r="AD3" s="1"/>
      <c r="AE3" s="52" t="s">
        <v>178</v>
      </c>
      <c r="AF3" s="85" t="s">
        <v>177</v>
      </c>
      <c r="AG3" s="85"/>
      <c r="AH3" s="52" t="s">
        <v>178</v>
      </c>
      <c r="AI3" s="85" t="s">
        <v>177</v>
      </c>
      <c r="AJ3" s="85"/>
      <c r="AK3" s="52" t="s">
        <v>178</v>
      </c>
      <c r="AL3" s="85" t="s">
        <v>177</v>
      </c>
      <c r="AM3" s="85"/>
      <c r="AN3" s="52" t="s">
        <v>178</v>
      </c>
      <c r="AO3" s="85" t="s">
        <v>177</v>
      </c>
      <c r="AP3" s="85"/>
      <c r="AQ3" s="52" t="s">
        <v>178</v>
      </c>
      <c r="AR3" s="85" t="s">
        <v>177</v>
      </c>
      <c r="AS3" s="85"/>
    </row>
    <row r="4" spans="1:45" ht="45" customHeight="1">
      <c r="A4" s="63"/>
      <c r="B4" s="64"/>
      <c r="C4" s="64"/>
      <c r="D4" s="19" t="s">
        <v>25</v>
      </c>
      <c r="E4" s="19" t="s">
        <v>26</v>
      </c>
      <c r="F4" s="19" t="s">
        <v>27</v>
      </c>
      <c r="G4" s="19" t="s">
        <v>28</v>
      </c>
      <c r="H4" s="19" t="s">
        <v>29</v>
      </c>
      <c r="I4" s="4"/>
      <c r="J4" s="71"/>
      <c r="K4" s="72"/>
      <c r="L4" s="72"/>
      <c r="M4" s="72"/>
      <c r="N4" s="39" t="s">
        <v>25</v>
      </c>
      <c r="O4" s="39" t="s">
        <v>26</v>
      </c>
      <c r="P4" s="39" t="s">
        <v>27</v>
      </c>
      <c r="Q4" s="39" t="s">
        <v>28</v>
      </c>
      <c r="R4" s="39" t="s">
        <v>29</v>
      </c>
      <c r="S4" s="4"/>
      <c r="T4" s="90"/>
      <c r="U4" s="91"/>
      <c r="V4" s="91"/>
      <c r="W4" s="91"/>
      <c r="X4" s="91"/>
      <c r="Y4" s="40" t="s">
        <v>25</v>
      </c>
      <c r="Z4" s="40" t="s">
        <v>26</v>
      </c>
      <c r="AA4" s="40" t="s">
        <v>27</v>
      </c>
      <c r="AB4" s="40" t="s">
        <v>28</v>
      </c>
      <c r="AC4" s="40" t="s">
        <v>29</v>
      </c>
      <c r="AD4" s="4"/>
      <c r="AE4" s="48"/>
      <c r="AF4" s="48" t="s">
        <v>0</v>
      </c>
      <c r="AG4" s="48" t="s">
        <v>1</v>
      </c>
      <c r="AH4" s="48"/>
      <c r="AI4" s="48" t="s">
        <v>0</v>
      </c>
      <c r="AJ4" s="48" t="s">
        <v>1</v>
      </c>
      <c r="AK4" s="48" t="s">
        <v>2</v>
      </c>
      <c r="AL4" s="48" t="s">
        <v>0</v>
      </c>
      <c r="AM4" s="48" t="s">
        <v>1</v>
      </c>
      <c r="AN4" s="49" t="s">
        <v>2</v>
      </c>
      <c r="AO4" s="49" t="s">
        <v>0</v>
      </c>
      <c r="AP4" s="49" t="s">
        <v>1</v>
      </c>
      <c r="AQ4" s="48" t="s">
        <v>2</v>
      </c>
      <c r="AR4" s="48" t="s">
        <v>0</v>
      </c>
      <c r="AS4" s="48" t="s">
        <v>1</v>
      </c>
    </row>
    <row r="5" spans="1:45" ht="15.5">
      <c r="A5" s="24">
        <v>1</v>
      </c>
      <c r="B5" s="19" t="s">
        <v>30</v>
      </c>
      <c r="C5" s="19" t="s">
        <v>32</v>
      </c>
      <c r="D5" s="11">
        <v>306</v>
      </c>
      <c r="E5" s="9">
        <v>317</v>
      </c>
      <c r="F5" s="9">
        <v>300.28153456381563</v>
      </c>
      <c r="G5" s="9">
        <v>329</v>
      </c>
      <c r="H5" s="9">
        <v>323</v>
      </c>
      <c r="I5" s="1"/>
      <c r="J5" s="21">
        <v>1</v>
      </c>
      <c r="K5" s="39" t="s">
        <v>30</v>
      </c>
      <c r="L5" s="39" t="s">
        <v>35</v>
      </c>
      <c r="M5" s="39" t="s">
        <v>38</v>
      </c>
      <c r="N5" s="9">
        <v>63.778033222445536</v>
      </c>
      <c r="O5" s="9">
        <v>62.020525611519844</v>
      </c>
      <c r="P5" s="9">
        <v>65.790725274414697</v>
      </c>
      <c r="Q5" s="9">
        <v>66.229713523222017</v>
      </c>
      <c r="R5" s="9">
        <v>66.139824808657664</v>
      </c>
      <c r="S5" s="1"/>
      <c r="T5" s="23">
        <v>1</v>
      </c>
      <c r="U5" s="40" t="s">
        <v>30</v>
      </c>
      <c r="V5" s="40" t="s">
        <v>35</v>
      </c>
      <c r="W5" s="40" t="s">
        <v>32</v>
      </c>
      <c r="X5" s="40" t="s">
        <v>38</v>
      </c>
      <c r="Y5" s="11">
        <v>36352</v>
      </c>
      <c r="Z5" s="9">
        <v>146566</v>
      </c>
      <c r="AA5" s="9">
        <v>31280</v>
      </c>
      <c r="AB5" s="9">
        <v>42500</v>
      </c>
      <c r="AC5" s="9">
        <v>30478</v>
      </c>
      <c r="AD5" s="1"/>
      <c r="AE5" s="48" t="s">
        <v>3</v>
      </c>
      <c r="AF5" s="29">
        <v>600</v>
      </c>
      <c r="AG5" s="29">
        <v>458</v>
      </c>
      <c r="AH5" s="48" t="s">
        <v>3</v>
      </c>
      <c r="AI5" s="29">
        <v>600</v>
      </c>
      <c r="AJ5" s="29">
        <v>488</v>
      </c>
      <c r="AK5" s="48" t="s">
        <v>3</v>
      </c>
      <c r="AL5" s="29">
        <v>600</v>
      </c>
      <c r="AM5" s="29">
        <v>547</v>
      </c>
      <c r="AN5" s="48" t="s">
        <v>3</v>
      </c>
      <c r="AO5" s="29">
        <v>600</v>
      </c>
      <c r="AP5" s="29">
        <v>503</v>
      </c>
      <c r="AQ5" s="48" t="s">
        <v>3</v>
      </c>
      <c r="AR5" s="29">
        <v>600</v>
      </c>
      <c r="AS5" s="29">
        <v>506</v>
      </c>
    </row>
    <row r="6" spans="1:45" ht="15.5">
      <c r="A6" s="24">
        <v>2</v>
      </c>
      <c r="B6" s="19" t="s">
        <v>30</v>
      </c>
      <c r="C6" s="19" t="s">
        <v>33</v>
      </c>
      <c r="D6" s="11">
        <v>440</v>
      </c>
      <c r="E6" s="9">
        <v>408</v>
      </c>
      <c r="F6" s="9">
        <v>388</v>
      </c>
      <c r="G6" s="9">
        <v>438</v>
      </c>
      <c r="H6" s="9">
        <v>427</v>
      </c>
      <c r="I6" s="1"/>
      <c r="J6" s="21">
        <v>2</v>
      </c>
      <c r="K6" s="39" t="s">
        <v>30</v>
      </c>
      <c r="L6" s="39" t="s">
        <v>41</v>
      </c>
      <c r="M6" s="39" t="s">
        <v>34</v>
      </c>
      <c r="N6" s="9">
        <v>88.368189947679738</v>
      </c>
      <c r="O6" s="9">
        <v>86.278378430826109</v>
      </c>
      <c r="P6" s="9">
        <v>57.669301540419291</v>
      </c>
      <c r="Q6" s="9">
        <v>90.677023490141025</v>
      </c>
      <c r="R6" s="9">
        <v>88.381560124847525</v>
      </c>
      <c r="S6" s="1"/>
      <c r="T6" s="23">
        <v>2</v>
      </c>
      <c r="U6" s="40" t="s">
        <v>30</v>
      </c>
      <c r="V6" s="40" t="s">
        <v>41</v>
      </c>
      <c r="W6" s="40" t="s">
        <v>34</v>
      </c>
      <c r="X6" s="40" t="s">
        <v>42</v>
      </c>
      <c r="Y6" s="11">
        <v>251036</v>
      </c>
      <c r="Z6" s="9">
        <v>182325</v>
      </c>
      <c r="AA6" s="9">
        <v>245528</v>
      </c>
      <c r="AB6" s="9">
        <v>202039</v>
      </c>
      <c r="AC6" s="9">
        <v>225303</v>
      </c>
      <c r="AD6" s="1"/>
      <c r="AE6" s="48" t="s">
        <v>4</v>
      </c>
      <c r="AF6" s="29">
        <v>468</v>
      </c>
      <c r="AG6" s="29">
        <v>726</v>
      </c>
      <c r="AH6" s="48" t="s">
        <v>4</v>
      </c>
      <c r="AI6" s="29">
        <v>464</v>
      </c>
      <c r="AJ6" s="29">
        <v>744</v>
      </c>
      <c r="AK6" s="48" t="s">
        <v>4</v>
      </c>
      <c r="AL6" s="29">
        <v>484</v>
      </c>
      <c r="AM6" s="29">
        <v>805</v>
      </c>
      <c r="AN6" s="48" t="s">
        <v>4</v>
      </c>
      <c r="AO6" s="29">
        <v>478</v>
      </c>
      <c r="AP6" s="29">
        <v>780</v>
      </c>
      <c r="AQ6" s="48" t="s">
        <v>4</v>
      </c>
      <c r="AR6" s="29">
        <v>485</v>
      </c>
      <c r="AS6" s="29">
        <v>766</v>
      </c>
    </row>
    <row r="7" spans="1:45" ht="15.5">
      <c r="A7" s="24">
        <v>3</v>
      </c>
      <c r="B7" s="19" t="s">
        <v>30</v>
      </c>
      <c r="C7" s="19" t="s">
        <v>34</v>
      </c>
      <c r="D7" s="11">
        <v>722</v>
      </c>
      <c r="E7" s="9">
        <v>692</v>
      </c>
      <c r="F7" s="9">
        <v>633</v>
      </c>
      <c r="G7" s="9">
        <v>677</v>
      </c>
      <c r="H7" s="9">
        <v>674</v>
      </c>
      <c r="I7" s="1"/>
      <c r="J7" s="21">
        <v>3</v>
      </c>
      <c r="K7" s="39" t="s">
        <v>30</v>
      </c>
      <c r="L7" s="39" t="s">
        <v>44</v>
      </c>
      <c r="M7" s="39" t="s">
        <v>32</v>
      </c>
      <c r="N7" s="9">
        <v>34.957013629847715</v>
      </c>
      <c r="O7" s="9">
        <v>39.430179300197196</v>
      </c>
      <c r="P7" s="9">
        <v>50.615478363487242</v>
      </c>
      <c r="Q7" s="9">
        <v>46.144210361725946</v>
      </c>
      <c r="R7" s="9">
        <v>45.425165229127209</v>
      </c>
      <c r="S7" s="1"/>
      <c r="T7" s="23">
        <v>3</v>
      </c>
      <c r="U7" s="40" t="s">
        <v>41</v>
      </c>
      <c r="V7" s="40" t="s">
        <v>39</v>
      </c>
      <c r="W7" s="40" t="s">
        <v>34</v>
      </c>
      <c r="X7" s="40" t="s">
        <v>42</v>
      </c>
      <c r="Y7" s="11">
        <v>75784</v>
      </c>
      <c r="Z7" s="9">
        <v>68781.5</v>
      </c>
      <c r="AA7" s="9">
        <v>77413.5</v>
      </c>
      <c r="AB7" s="9">
        <v>134035.5</v>
      </c>
      <c r="AC7" s="9">
        <v>97971</v>
      </c>
      <c r="AD7" s="1"/>
      <c r="AE7" s="48" t="s">
        <v>5</v>
      </c>
      <c r="AF7" s="29">
        <v>600</v>
      </c>
      <c r="AG7" s="29">
        <v>764</v>
      </c>
      <c r="AH7" s="48" t="s">
        <v>5</v>
      </c>
      <c r="AI7" s="29">
        <v>600</v>
      </c>
      <c r="AJ7" s="29">
        <v>805</v>
      </c>
      <c r="AK7" s="48" t="s">
        <v>5</v>
      </c>
      <c r="AL7" s="29">
        <v>587</v>
      </c>
      <c r="AM7" s="29">
        <v>847</v>
      </c>
      <c r="AN7" s="48" t="s">
        <v>5</v>
      </c>
      <c r="AO7" s="29">
        <v>600</v>
      </c>
      <c r="AP7" s="29">
        <v>832</v>
      </c>
      <c r="AQ7" s="48" t="s">
        <v>5</v>
      </c>
      <c r="AR7" s="29">
        <v>600</v>
      </c>
      <c r="AS7" s="29">
        <v>829</v>
      </c>
    </row>
    <row r="8" spans="1:45" ht="15.5">
      <c r="A8" s="24">
        <v>4</v>
      </c>
      <c r="B8" s="19" t="s">
        <v>35</v>
      </c>
      <c r="C8" s="19" t="s">
        <v>38</v>
      </c>
      <c r="D8" s="11">
        <v>264</v>
      </c>
      <c r="E8" s="9">
        <v>272</v>
      </c>
      <c r="F8" s="9">
        <v>206</v>
      </c>
      <c r="G8" s="9">
        <v>244</v>
      </c>
      <c r="H8" s="9">
        <v>230</v>
      </c>
      <c r="I8" s="1"/>
      <c r="J8" s="21">
        <v>4</v>
      </c>
      <c r="K8" s="39" t="s">
        <v>35</v>
      </c>
      <c r="L8" s="39" t="s">
        <v>32</v>
      </c>
      <c r="M8" s="39" t="s">
        <v>38</v>
      </c>
      <c r="N8" s="9">
        <v>147.88002538567872</v>
      </c>
      <c r="O8" s="9">
        <v>131.68472533452424</v>
      </c>
      <c r="P8" s="9">
        <v>135.63197330946005</v>
      </c>
      <c r="Q8" s="9">
        <v>133.82973265438346</v>
      </c>
      <c r="R8" s="9">
        <v>122.56984494376681</v>
      </c>
      <c r="S8" s="1"/>
      <c r="T8" s="23">
        <v>4</v>
      </c>
      <c r="U8" s="40" t="s">
        <v>46</v>
      </c>
      <c r="V8" s="40" t="s">
        <v>43</v>
      </c>
      <c r="W8" s="40" t="s">
        <v>33</v>
      </c>
      <c r="X8" s="40" t="s">
        <v>47</v>
      </c>
      <c r="Y8" s="11">
        <v>542133</v>
      </c>
      <c r="Z8" s="9">
        <v>353331</v>
      </c>
      <c r="AA8" s="9">
        <v>488780.5</v>
      </c>
      <c r="AB8" s="9">
        <v>337700.5</v>
      </c>
      <c r="AC8" s="9">
        <v>386242</v>
      </c>
      <c r="AD8" s="1"/>
      <c r="AE8" s="48" t="s">
        <v>6</v>
      </c>
      <c r="AF8" s="29">
        <f>AF7+(AF7-AF6)</f>
        <v>732</v>
      </c>
      <c r="AG8" s="29">
        <f>AG6</f>
        <v>726</v>
      </c>
      <c r="AH8" s="48" t="s">
        <v>6</v>
      </c>
      <c r="AI8" s="29">
        <f>AI7+(AI7-AI6)</f>
        <v>736</v>
      </c>
      <c r="AJ8" s="29">
        <f>AJ6</f>
        <v>744</v>
      </c>
      <c r="AK8" s="48" t="s">
        <v>6</v>
      </c>
      <c r="AL8" s="29">
        <f t="shared" ref="AL8" si="0">AL7+(AL7-AL6)</f>
        <v>690</v>
      </c>
      <c r="AM8" s="29">
        <f t="shared" ref="AM8" si="1">AM6</f>
        <v>805</v>
      </c>
      <c r="AN8" s="48" t="s">
        <v>6</v>
      </c>
      <c r="AO8" s="29">
        <f t="shared" ref="AO8" si="2">AO7+(AO7-AO6)</f>
        <v>722</v>
      </c>
      <c r="AP8" s="29">
        <f t="shared" ref="AP8" si="3">AP6</f>
        <v>780</v>
      </c>
      <c r="AQ8" s="48" t="s">
        <v>6</v>
      </c>
      <c r="AR8" s="29">
        <f t="shared" ref="AR8" si="4">AR7+(AR7-AR6)</f>
        <v>715</v>
      </c>
      <c r="AS8" s="29">
        <f t="shared" ref="AS8" si="5">AS6</f>
        <v>766</v>
      </c>
    </row>
    <row r="9" spans="1:45" ht="15.5">
      <c r="A9" s="24">
        <v>5</v>
      </c>
      <c r="B9" s="19" t="s">
        <v>32</v>
      </c>
      <c r="C9" s="19" t="s">
        <v>33</v>
      </c>
      <c r="D9" s="11">
        <v>134</v>
      </c>
      <c r="E9" s="9">
        <v>91</v>
      </c>
      <c r="F9" s="9">
        <v>88.955044826024348</v>
      </c>
      <c r="G9" s="9">
        <v>109</v>
      </c>
      <c r="H9" s="9">
        <v>104</v>
      </c>
      <c r="I9" s="1"/>
      <c r="J9" s="21">
        <v>5</v>
      </c>
      <c r="K9" s="39" t="s">
        <v>39</v>
      </c>
      <c r="L9" s="39" t="s">
        <v>34</v>
      </c>
      <c r="M9" s="39" t="s">
        <v>40</v>
      </c>
      <c r="N9" s="9">
        <v>161.92103439328977</v>
      </c>
      <c r="O9" s="9">
        <v>151.10193974708108</v>
      </c>
      <c r="P9" s="9">
        <v>133.36458322648988</v>
      </c>
      <c r="Q9" s="9">
        <v>138.18403905798067</v>
      </c>
      <c r="R9" s="9">
        <v>155.13352962380867</v>
      </c>
      <c r="S9" s="1"/>
      <c r="T9" s="23">
        <v>5</v>
      </c>
      <c r="U9" s="40" t="s">
        <v>48</v>
      </c>
      <c r="V9" s="40" t="s">
        <v>43</v>
      </c>
      <c r="W9" s="40" t="s">
        <v>34</v>
      </c>
      <c r="X9" s="40" t="s">
        <v>44</v>
      </c>
      <c r="Y9" s="11">
        <v>482205</v>
      </c>
      <c r="Z9" s="9">
        <v>339327</v>
      </c>
      <c r="AA9" s="9">
        <v>540288</v>
      </c>
      <c r="AB9" s="9">
        <v>301080</v>
      </c>
      <c r="AC9" s="9">
        <v>404802</v>
      </c>
      <c r="AD9" s="1"/>
      <c r="AE9" s="48" t="s">
        <v>77</v>
      </c>
      <c r="AF9" s="29">
        <v>600</v>
      </c>
      <c r="AG9" s="29">
        <v>898</v>
      </c>
      <c r="AH9" s="48" t="s">
        <v>77</v>
      </c>
      <c r="AI9" s="29">
        <v>600</v>
      </c>
      <c r="AJ9" s="29">
        <v>896</v>
      </c>
      <c r="AK9" s="48" t="s">
        <v>77</v>
      </c>
      <c r="AL9" s="29">
        <v>600</v>
      </c>
      <c r="AM9" s="29">
        <v>935</v>
      </c>
      <c r="AN9" s="48" t="s">
        <v>77</v>
      </c>
      <c r="AO9" s="29">
        <v>600</v>
      </c>
      <c r="AP9" s="29">
        <v>941</v>
      </c>
      <c r="AQ9" s="48" t="s">
        <v>77</v>
      </c>
      <c r="AR9" s="29">
        <v>600</v>
      </c>
      <c r="AS9" s="29">
        <v>933</v>
      </c>
    </row>
    <row r="10" spans="1:45" ht="15.5">
      <c r="A10" s="24">
        <v>6</v>
      </c>
      <c r="B10" s="19" t="s">
        <v>32</v>
      </c>
      <c r="C10" s="19" t="s">
        <v>34</v>
      </c>
      <c r="D10" s="11">
        <v>416</v>
      </c>
      <c r="E10" s="9">
        <v>375</v>
      </c>
      <c r="F10" s="9">
        <v>333.25365714422401</v>
      </c>
      <c r="G10" s="9">
        <v>348</v>
      </c>
      <c r="H10" s="9">
        <v>351</v>
      </c>
      <c r="I10" s="1"/>
      <c r="J10" s="21">
        <v>6</v>
      </c>
      <c r="K10" s="39" t="s">
        <v>40</v>
      </c>
      <c r="L10" s="39" t="s">
        <v>34</v>
      </c>
      <c r="M10" s="39" t="s">
        <v>62</v>
      </c>
      <c r="N10" s="9">
        <v>9.0394828033551722</v>
      </c>
      <c r="O10" s="9">
        <v>14.449030126459464</v>
      </c>
      <c r="P10" s="9">
        <v>23.31770838675509</v>
      </c>
      <c r="Q10" s="9">
        <v>20.907980471009651</v>
      </c>
      <c r="R10" s="9">
        <v>12.433235188095697</v>
      </c>
      <c r="S10" s="1"/>
      <c r="T10" s="23">
        <v>6</v>
      </c>
      <c r="U10" s="40" t="s">
        <v>52</v>
      </c>
      <c r="V10" s="40" t="s">
        <v>51</v>
      </c>
      <c r="W10" s="40" t="s">
        <v>54</v>
      </c>
      <c r="X10" s="40" t="s">
        <v>50</v>
      </c>
      <c r="Y10" s="11">
        <v>5904</v>
      </c>
      <c r="Z10" s="9">
        <v>4167</v>
      </c>
      <c r="AA10" s="9">
        <v>4458</v>
      </c>
      <c r="AB10" s="9">
        <v>2208</v>
      </c>
      <c r="AC10" s="9">
        <v>3175</v>
      </c>
      <c r="AD10" s="1"/>
      <c r="AE10" s="48" t="s">
        <v>8</v>
      </c>
      <c r="AF10" s="29">
        <v>468</v>
      </c>
      <c r="AG10" s="29">
        <v>1159</v>
      </c>
      <c r="AH10" s="48" t="s">
        <v>8</v>
      </c>
      <c r="AI10" s="29">
        <v>437</v>
      </c>
      <c r="AJ10" s="29">
        <v>1138</v>
      </c>
      <c r="AK10" s="48" t="s">
        <v>8</v>
      </c>
      <c r="AL10" s="29">
        <v>484</v>
      </c>
      <c r="AM10" s="29">
        <v>1130</v>
      </c>
      <c r="AN10" s="48" t="s">
        <v>8</v>
      </c>
      <c r="AO10" s="29">
        <v>511</v>
      </c>
      <c r="AP10" s="29">
        <v>1146</v>
      </c>
      <c r="AQ10" s="48" t="s">
        <v>8</v>
      </c>
      <c r="AR10" s="29">
        <v>473</v>
      </c>
      <c r="AS10" s="29">
        <v>1152</v>
      </c>
    </row>
    <row r="11" spans="1:45" ht="15.5">
      <c r="A11" s="24">
        <v>7</v>
      </c>
      <c r="B11" s="19" t="s">
        <v>39</v>
      </c>
      <c r="C11" s="19" t="s">
        <v>40</v>
      </c>
      <c r="D11" s="11">
        <v>264</v>
      </c>
      <c r="E11" s="9">
        <v>326</v>
      </c>
      <c r="F11" s="9">
        <v>232</v>
      </c>
      <c r="G11" s="9">
        <v>178</v>
      </c>
      <c r="H11" s="9">
        <v>254</v>
      </c>
      <c r="I11" s="1"/>
      <c r="J11" s="21">
        <v>7</v>
      </c>
      <c r="K11" s="39" t="s">
        <v>41</v>
      </c>
      <c r="L11" s="39" t="s">
        <v>34</v>
      </c>
      <c r="M11" s="39" t="s">
        <v>62</v>
      </c>
      <c r="N11" s="9">
        <v>148.61183804856501</v>
      </c>
      <c r="O11" s="9">
        <v>149.31206347058679</v>
      </c>
      <c r="P11" s="9">
        <v>156.66762633431227</v>
      </c>
      <c r="Q11" s="9">
        <v>145.63290898387919</v>
      </c>
      <c r="R11" s="9">
        <v>147.05776819931467</v>
      </c>
      <c r="S11" s="1"/>
      <c r="T11" s="23">
        <v>7</v>
      </c>
      <c r="U11" s="40" t="s">
        <v>76</v>
      </c>
      <c r="V11" s="40" t="s">
        <v>73</v>
      </c>
      <c r="W11" s="40" t="s">
        <v>75</v>
      </c>
      <c r="X11" s="40" t="s">
        <v>74</v>
      </c>
      <c r="Y11" s="11">
        <v>4341</v>
      </c>
      <c r="Z11" s="9">
        <v>4264.5</v>
      </c>
      <c r="AA11" s="9">
        <v>6621</v>
      </c>
      <c r="AB11" s="9">
        <v>3611</v>
      </c>
      <c r="AC11" s="9">
        <v>3940</v>
      </c>
      <c r="AD11" s="1"/>
      <c r="AE11" s="48" t="s">
        <v>9</v>
      </c>
      <c r="AF11" s="29">
        <v>600</v>
      </c>
      <c r="AG11" s="29">
        <v>1180</v>
      </c>
      <c r="AH11" s="48" t="s">
        <v>9</v>
      </c>
      <c r="AI11" s="29">
        <v>600</v>
      </c>
      <c r="AJ11" s="29">
        <v>1180</v>
      </c>
      <c r="AK11" s="48" t="s">
        <v>9</v>
      </c>
      <c r="AL11" s="29">
        <v>600</v>
      </c>
      <c r="AM11" s="29">
        <v>1180</v>
      </c>
      <c r="AN11" s="48" t="s">
        <v>9</v>
      </c>
      <c r="AO11" s="29">
        <v>600</v>
      </c>
      <c r="AP11" s="29">
        <v>1180</v>
      </c>
      <c r="AQ11" s="48" t="s">
        <v>9</v>
      </c>
      <c r="AR11" s="29">
        <v>600</v>
      </c>
      <c r="AS11" s="29">
        <v>1180</v>
      </c>
    </row>
    <row r="12" spans="1:45" ht="15.5">
      <c r="A12" s="24">
        <v>8</v>
      </c>
      <c r="B12" s="19" t="s">
        <v>41</v>
      </c>
      <c r="C12" s="19" t="s">
        <v>42</v>
      </c>
      <c r="D12" s="11">
        <v>672</v>
      </c>
      <c r="E12" s="9">
        <v>674</v>
      </c>
      <c r="F12" s="9">
        <v>1136</v>
      </c>
      <c r="G12" s="9">
        <v>620</v>
      </c>
      <c r="H12" s="9">
        <v>642</v>
      </c>
      <c r="I12" s="1"/>
      <c r="J12" s="21">
        <v>8</v>
      </c>
      <c r="K12" s="39" t="s">
        <v>42</v>
      </c>
      <c r="L12" s="39" t="s">
        <v>34</v>
      </c>
      <c r="M12" s="39" t="s">
        <v>62</v>
      </c>
      <c r="N12" s="9">
        <v>31.388161951434981</v>
      </c>
      <c r="O12" s="9">
        <v>30.687936529413218</v>
      </c>
      <c r="P12" s="9">
        <v>23.332373665687697</v>
      </c>
      <c r="Q12" s="9">
        <v>34.367091016120796</v>
      </c>
      <c r="R12" s="9">
        <v>32.942231800685342</v>
      </c>
      <c r="S12" s="1"/>
      <c r="T12" s="23">
        <v>8</v>
      </c>
      <c r="U12" s="40"/>
      <c r="V12" s="40"/>
      <c r="W12" s="40"/>
      <c r="X12" s="40"/>
      <c r="Y12" s="11"/>
      <c r="Z12" s="9"/>
      <c r="AA12" s="9"/>
      <c r="AB12" s="9"/>
      <c r="AC12" s="9"/>
      <c r="AD12" s="1"/>
      <c r="AE12" s="48" t="s">
        <v>10</v>
      </c>
      <c r="AF12" s="29">
        <f>AF11+(AF11-AF10)</f>
        <v>732</v>
      </c>
      <c r="AG12" s="29">
        <f>AG10</f>
        <v>1159</v>
      </c>
      <c r="AH12" s="48" t="s">
        <v>10</v>
      </c>
      <c r="AI12" s="29">
        <f>AI11+(AI11-AI10)</f>
        <v>763</v>
      </c>
      <c r="AJ12" s="29">
        <f>AJ10</f>
        <v>1138</v>
      </c>
      <c r="AK12" s="48" t="s">
        <v>10</v>
      </c>
      <c r="AL12" s="29">
        <f t="shared" ref="AL12" si="6">AL11+(AL11-AL10)</f>
        <v>716</v>
      </c>
      <c r="AM12" s="29">
        <f t="shared" ref="AM12" si="7">AM10</f>
        <v>1130</v>
      </c>
      <c r="AN12" s="48" t="s">
        <v>10</v>
      </c>
      <c r="AO12" s="29">
        <f t="shared" ref="AO12" si="8">AO11+(AO11-AO10)</f>
        <v>689</v>
      </c>
      <c r="AP12" s="29">
        <f t="shared" ref="AP12" si="9">AP10</f>
        <v>1146</v>
      </c>
      <c r="AQ12" s="48" t="s">
        <v>10</v>
      </c>
      <c r="AR12" s="29">
        <f t="shared" ref="AR12" si="10">AR11+(AR11-AR10)</f>
        <v>727</v>
      </c>
      <c r="AS12" s="29">
        <f t="shared" ref="AS12" si="11">AS10</f>
        <v>1152</v>
      </c>
    </row>
    <row r="13" spans="1:45" ht="15.5">
      <c r="A13" s="24">
        <v>9</v>
      </c>
      <c r="B13" s="19" t="s">
        <v>43</v>
      </c>
      <c r="C13" s="19" t="s">
        <v>44</v>
      </c>
      <c r="D13" s="11">
        <v>944</v>
      </c>
      <c r="E13" s="9">
        <v>882</v>
      </c>
      <c r="F13" s="9">
        <v>620</v>
      </c>
      <c r="G13" s="9">
        <v>764</v>
      </c>
      <c r="H13" s="9">
        <v>770</v>
      </c>
      <c r="I13" s="1"/>
      <c r="J13" s="21">
        <v>9</v>
      </c>
      <c r="K13" s="39" t="s">
        <v>43</v>
      </c>
      <c r="L13" s="39" t="s">
        <v>41</v>
      </c>
      <c r="M13" s="39" t="s">
        <v>34</v>
      </c>
      <c r="N13" s="9">
        <v>147.37532140482031</v>
      </c>
      <c r="O13" s="9">
        <v>139.34582500353278</v>
      </c>
      <c r="P13" s="9">
        <v>63.006633040919944</v>
      </c>
      <c r="Q13" s="9">
        <v>140.01760645573901</v>
      </c>
      <c r="R13" s="9">
        <v>135.59869421026397</v>
      </c>
      <c r="S13" s="1"/>
      <c r="T13" s="23">
        <v>9</v>
      </c>
      <c r="U13" s="40"/>
      <c r="V13" s="40"/>
      <c r="W13" s="40"/>
      <c r="X13" s="40"/>
      <c r="Y13" s="11"/>
      <c r="Z13" s="9"/>
      <c r="AA13" s="9"/>
      <c r="AB13" s="9"/>
      <c r="AC13" s="9"/>
      <c r="AD13" s="1"/>
      <c r="AE13" s="48" t="s">
        <v>11</v>
      </c>
      <c r="AF13" s="29">
        <v>264</v>
      </c>
      <c r="AG13" s="29">
        <v>975</v>
      </c>
      <c r="AH13" s="48" t="s">
        <v>11</v>
      </c>
      <c r="AI13" s="29">
        <v>263</v>
      </c>
      <c r="AJ13" s="29">
        <v>980</v>
      </c>
      <c r="AK13" s="48" t="s">
        <v>11</v>
      </c>
      <c r="AL13" s="29">
        <v>32</v>
      </c>
      <c r="AM13" s="29">
        <v>935</v>
      </c>
      <c r="AN13" s="48" t="s">
        <v>11</v>
      </c>
      <c r="AO13" s="29">
        <v>290</v>
      </c>
      <c r="AP13" s="29">
        <v>968</v>
      </c>
      <c r="AQ13" s="48" t="s">
        <v>11</v>
      </c>
      <c r="AR13" s="29">
        <v>279</v>
      </c>
      <c r="AS13" s="29">
        <v>972</v>
      </c>
    </row>
    <row r="14" spans="1:45" ht="15.5">
      <c r="A14" s="24">
        <v>10</v>
      </c>
      <c r="B14" s="19" t="s">
        <v>45</v>
      </c>
      <c r="C14" s="19" t="s">
        <v>43</v>
      </c>
      <c r="D14" s="11">
        <v>93.648278147545241</v>
      </c>
      <c r="E14" s="9">
        <v>142.68847185389575</v>
      </c>
      <c r="F14" s="9">
        <v>66.610809933523555</v>
      </c>
      <c r="G14" s="9">
        <v>63.031738037277698</v>
      </c>
      <c r="H14" s="9">
        <v>95.524865872714003</v>
      </c>
      <c r="I14" s="1"/>
      <c r="J14" s="21">
        <v>10</v>
      </c>
      <c r="K14" s="39" t="s">
        <v>44</v>
      </c>
      <c r="L14" s="39" t="s">
        <v>32</v>
      </c>
      <c r="M14" s="39" t="s">
        <v>62</v>
      </c>
      <c r="N14" s="9">
        <v>43.847725217592512</v>
      </c>
      <c r="O14" s="9">
        <v>49.667402342812828</v>
      </c>
      <c r="P14" s="9">
        <v>50.626853532574223</v>
      </c>
      <c r="Q14" s="9">
        <v>48.53955916854995</v>
      </c>
      <c r="R14" s="9">
        <v>51.426715590328641</v>
      </c>
      <c r="S14" s="1"/>
      <c r="T14" s="23">
        <v>10</v>
      </c>
      <c r="U14" s="40"/>
      <c r="V14" s="40"/>
      <c r="W14" s="40"/>
      <c r="X14" s="40"/>
      <c r="Y14" s="11"/>
      <c r="Z14" s="9"/>
      <c r="AA14" s="9"/>
      <c r="AB14" s="9"/>
      <c r="AC14" s="9"/>
      <c r="AD14" s="1"/>
      <c r="AE14" s="48" t="s">
        <v>12</v>
      </c>
      <c r="AF14" s="29">
        <f>600+(600-AF13)</f>
        <v>936</v>
      </c>
      <c r="AG14" s="29">
        <f>AG13</f>
        <v>975</v>
      </c>
      <c r="AH14" s="48" t="s">
        <v>12</v>
      </c>
      <c r="AI14" s="29">
        <f>600+(600-AI13)</f>
        <v>937</v>
      </c>
      <c r="AJ14" s="29">
        <f>AJ13</f>
        <v>980</v>
      </c>
      <c r="AK14" s="48" t="s">
        <v>12</v>
      </c>
      <c r="AL14" s="29">
        <f t="shared" ref="AL14" si="12">600+(600-AL13)</f>
        <v>1168</v>
      </c>
      <c r="AM14" s="29">
        <f t="shared" ref="AM14" si="13">AM13</f>
        <v>935</v>
      </c>
      <c r="AN14" s="48" t="s">
        <v>12</v>
      </c>
      <c r="AO14" s="29">
        <f t="shared" ref="AO14" si="14">600+(600-AO13)</f>
        <v>910</v>
      </c>
      <c r="AP14" s="29">
        <f t="shared" ref="AP14" si="15">AP13</f>
        <v>968</v>
      </c>
      <c r="AQ14" s="48" t="s">
        <v>12</v>
      </c>
      <c r="AR14" s="29">
        <f t="shared" ref="AR14" si="16">600+(600-AR13)</f>
        <v>921</v>
      </c>
      <c r="AS14" s="29">
        <f t="shared" ref="AS14" si="17">AS13</f>
        <v>972</v>
      </c>
    </row>
    <row r="15" spans="1:45" ht="15.5">
      <c r="A15" s="24">
        <v>11</v>
      </c>
      <c r="B15" s="19" t="s">
        <v>46</v>
      </c>
      <c r="C15" s="19" t="s">
        <v>47</v>
      </c>
      <c r="D15" s="11">
        <v>768</v>
      </c>
      <c r="E15" s="9">
        <v>764</v>
      </c>
      <c r="F15" s="9">
        <v>496</v>
      </c>
      <c r="G15" s="9">
        <v>648</v>
      </c>
      <c r="H15" s="9">
        <v>678</v>
      </c>
      <c r="I15" s="1"/>
      <c r="J15" s="21">
        <v>11</v>
      </c>
      <c r="K15" s="39" t="s">
        <v>44</v>
      </c>
      <c r="L15" s="39" t="s">
        <v>33</v>
      </c>
      <c r="M15" s="39" t="s">
        <v>62</v>
      </c>
      <c r="N15" s="9">
        <v>49.098623672160237</v>
      </c>
      <c r="O15" s="9">
        <v>53.016597776476644</v>
      </c>
      <c r="P15" s="9">
        <v>57.51806136922734</v>
      </c>
      <c r="Q15" s="9">
        <v>53.446942824462965</v>
      </c>
      <c r="R15" s="9">
        <v>55.644307934315329</v>
      </c>
      <c r="S15" s="1"/>
      <c r="T15" s="23">
        <v>11</v>
      </c>
      <c r="U15" s="40"/>
      <c r="V15" s="40"/>
      <c r="W15" s="40"/>
      <c r="X15" s="40"/>
      <c r="Y15" s="11"/>
      <c r="Z15" s="9"/>
      <c r="AA15" s="9"/>
      <c r="AB15" s="9"/>
      <c r="AC15" s="9"/>
      <c r="AD15" s="1"/>
      <c r="AE15" s="48" t="s">
        <v>13</v>
      </c>
      <c r="AF15" s="29">
        <v>128</v>
      </c>
      <c r="AG15" s="29">
        <v>696</v>
      </c>
      <c r="AH15" s="48" t="s">
        <v>13</v>
      </c>
      <c r="AI15" s="29">
        <v>159</v>
      </c>
      <c r="AJ15" s="29">
        <v>672</v>
      </c>
      <c r="AK15" s="48" t="s">
        <v>13</v>
      </c>
      <c r="AL15" s="29">
        <v>290</v>
      </c>
      <c r="AM15" s="29">
        <v>721</v>
      </c>
      <c r="AN15" s="48" t="s">
        <v>13</v>
      </c>
      <c r="AO15" s="29">
        <v>218</v>
      </c>
      <c r="AP15" s="29">
        <v>711</v>
      </c>
      <c r="AQ15" s="48" t="s">
        <v>13</v>
      </c>
      <c r="AR15" s="29">
        <v>215</v>
      </c>
      <c r="AS15" s="29">
        <v>687</v>
      </c>
    </row>
    <row r="16" spans="1:45" ht="15.5">
      <c r="A16" s="24">
        <v>12</v>
      </c>
      <c r="B16" s="19" t="s">
        <v>48</v>
      </c>
      <c r="C16" s="19" t="s">
        <v>30</v>
      </c>
      <c r="D16" s="11">
        <v>358</v>
      </c>
      <c r="E16" s="9">
        <v>442</v>
      </c>
      <c r="F16" s="9">
        <v>485</v>
      </c>
      <c r="G16" s="9">
        <v>368</v>
      </c>
      <c r="H16" s="9">
        <v>384.46976474100012</v>
      </c>
      <c r="I16" s="1"/>
      <c r="J16" s="21">
        <v>12</v>
      </c>
      <c r="K16" s="39" t="s">
        <v>47</v>
      </c>
      <c r="L16" s="39" t="s">
        <v>30</v>
      </c>
      <c r="M16" s="39" t="s">
        <v>62</v>
      </c>
      <c r="N16" s="9">
        <v>92.829991506486977</v>
      </c>
      <c r="O16" s="9">
        <v>100.26321718606013</v>
      </c>
      <c r="P16" s="9">
        <v>105.57417517010197</v>
      </c>
      <c r="Q16" s="9">
        <v>96.458056118705031</v>
      </c>
      <c r="R16" s="9">
        <v>98.721352086001346</v>
      </c>
      <c r="S16" s="1"/>
      <c r="T16" s="23">
        <v>12</v>
      </c>
      <c r="U16" s="40"/>
      <c r="V16" s="40"/>
      <c r="W16" s="40"/>
      <c r="X16" s="40"/>
      <c r="Y16" s="11"/>
      <c r="Z16" s="9"/>
      <c r="AA16" s="9"/>
      <c r="AB16" s="9"/>
      <c r="AC16" s="9"/>
      <c r="AD16" s="1"/>
      <c r="AE16" s="48" t="s">
        <v>14</v>
      </c>
      <c r="AF16" s="29">
        <f>600+(600-AF15)</f>
        <v>1072</v>
      </c>
      <c r="AG16" s="29">
        <f>AG15</f>
        <v>696</v>
      </c>
      <c r="AH16" s="48" t="s">
        <v>14</v>
      </c>
      <c r="AI16" s="29">
        <f>600+(600-AI15)</f>
        <v>1041</v>
      </c>
      <c r="AJ16" s="29">
        <f>AJ15</f>
        <v>672</v>
      </c>
      <c r="AK16" s="48" t="s">
        <v>14</v>
      </c>
      <c r="AL16" s="29">
        <f t="shared" ref="AL16" si="18">600+(600-AL15)</f>
        <v>910</v>
      </c>
      <c r="AM16" s="29">
        <f t="shared" ref="AM16" si="19">AM15</f>
        <v>721</v>
      </c>
      <c r="AN16" s="48" t="s">
        <v>14</v>
      </c>
      <c r="AO16" s="29">
        <f t="shared" ref="AO16" si="20">600+(600-AO15)</f>
        <v>982</v>
      </c>
      <c r="AP16" s="29">
        <f t="shared" ref="AP16" si="21">AP15</f>
        <v>711</v>
      </c>
      <c r="AQ16" s="48" t="s">
        <v>14</v>
      </c>
      <c r="AR16" s="29">
        <f t="shared" ref="AR16" si="22">600+(600-AR15)</f>
        <v>985</v>
      </c>
      <c r="AS16" s="29">
        <f t="shared" ref="AS16" si="23">AS15</f>
        <v>687</v>
      </c>
    </row>
    <row r="17" spans="1:45" ht="15.5">
      <c r="A17" s="24">
        <v>13</v>
      </c>
      <c r="B17" s="19" t="s">
        <v>48</v>
      </c>
      <c r="C17" s="19" t="s">
        <v>32</v>
      </c>
      <c r="D17" s="11">
        <v>664</v>
      </c>
      <c r="E17" s="9">
        <v>759</v>
      </c>
      <c r="F17" s="9">
        <v>785.10763593280637</v>
      </c>
      <c r="G17" s="9">
        <v>697</v>
      </c>
      <c r="H17" s="9">
        <v>707.25525802216555</v>
      </c>
      <c r="I17" s="1"/>
      <c r="J17" s="21">
        <v>13</v>
      </c>
      <c r="K17" s="39" t="s">
        <v>47</v>
      </c>
      <c r="L17" s="39" t="s">
        <v>48</v>
      </c>
      <c r="M17" s="39" t="s">
        <v>62</v>
      </c>
      <c r="N17" s="9">
        <v>59.227677732292186</v>
      </c>
      <c r="O17" s="9">
        <v>65.460028838678298</v>
      </c>
      <c r="P17" s="9">
        <v>43.249259067862049</v>
      </c>
      <c r="Q17" s="9">
        <v>57.436382819006617</v>
      </c>
      <c r="R17" s="9">
        <v>62.402894922557294</v>
      </c>
      <c r="S17" s="1"/>
      <c r="T17" s="23">
        <v>13</v>
      </c>
      <c r="U17" s="40"/>
      <c r="V17" s="40"/>
      <c r="W17" s="40"/>
      <c r="X17" s="40"/>
      <c r="Y17" s="11"/>
      <c r="Z17" s="9"/>
      <c r="AA17" s="9"/>
      <c r="AB17" s="9"/>
      <c r="AC17" s="9"/>
      <c r="AD17" s="1"/>
      <c r="AE17" s="48" t="s">
        <v>15</v>
      </c>
      <c r="AF17" s="29">
        <v>35</v>
      </c>
      <c r="AG17" s="29">
        <v>685</v>
      </c>
      <c r="AH17" s="48" t="s">
        <v>15</v>
      </c>
      <c r="AI17" s="29">
        <v>17</v>
      </c>
      <c r="AJ17" s="29">
        <v>658</v>
      </c>
      <c r="AK17" s="48" t="s">
        <v>15</v>
      </c>
      <c r="AL17" s="29">
        <v>224</v>
      </c>
      <c r="AM17" s="29">
        <v>712</v>
      </c>
      <c r="AN17" s="48" t="s">
        <v>15</v>
      </c>
      <c r="AO17" s="29">
        <v>155</v>
      </c>
      <c r="AP17" s="29">
        <v>709</v>
      </c>
      <c r="AQ17" s="48" t="s">
        <v>15</v>
      </c>
      <c r="AR17" s="29">
        <v>120</v>
      </c>
      <c r="AS17" s="29">
        <v>697</v>
      </c>
    </row>
    <row r="18" spans="1:45" ht="15.5">
      <c r="A18" s="24">
        <v>14</v>
      </c>
      <c r="B18" s="19" t="s">
        <v>48</v>
      </c>
      <c r="C18" s="19" t="s">
        <v>33</v>
      </c>
      <c r="D18" s="11">
        <v>798</v>
      </c>
      <c r="E18" s="9">
        <v>850</v>
      </c>
      <c r="F18" s="9">
        <v>873</v>
      </c>
      <c r="G18" s="9">
        <v>806</v>
      </c>
      <c r="H18" s="9">
        <v>811.2225342037782</v>
      </c>
      <c r="I18" s="1"/>
      <c r="J18" s="21">
        <v>14</v>
      </c>
      <c r="K18" s="44" t="s">
        <v>48</v>
      </c>
      <c r="L18" s="44" t="s">
        <v>78</v>
      </c>
      <c r="M18" s="44" t="s">
        <v>79</v>
      </c>
      <c r="N18" s="11">
        <v>42.089886278906945</v>
      </c>
      <c r="O18" s="9">
        <v>52.064995230839401</v>
      </c>
      <c r="P18" s="9">
        <v>62.745855776266318</v>
      </c>
      <c r="Q18" s="9">
        <v>48.744725896831035</v>
      </c>
      <c r="R18" s="9">
        <v>52.856173476536526</v>
      </c>
      <c r="S18" s="1"/>
      <c r="T18" s="23">
        <v>14</v>
      </c>
      <c r="U18" s="40"/>
      <c r="V18" s="40"/>
      <c r="W18" s="40"/>
      <c r="X18" s="40"/>
      <c r="Y18" s="11"/>
      <c r="Z18" s="9"/>
      <c r="AA18" s="9"/>
      <c r="AB18" s="9"/>
      <c r="AC18" s="9"/>
      <c r="AD18" s="1"/>
      <c r="AE18" s="48" t="s">
        <v>16</v>
      </c>
      <c r="AF18" s="29">
        <f>600+(600-AF17)</f>
        <v>1165</v>
      </c>
      <c r="AG18" s="29">
        <f>AG17</f>
        <v>685</v>
      </c>
      <c r="AH18" s="48" t="s">
        <v>16</v>
      </c>
      <c r="AI18" s="29">
        <f>600+(600-AI17)</f>
        <v>1183</v>
      </c>
      <c r="AJ18" s="29">
        <f>AJ17</f>
        <v>658</v>
      </c>
      <c r="AK18" s="48" t="s">
        <v>16</v>
      </c>
      <c r="AL18" s="29">
        <f t="shared" ref="AL18" si="24">600+(600-AL17)</f>
        <v>976</v>
      </c>
      <c r="AM18" s="29">
        <f t="shared" ref="AM18" si="25">AM17</f>
        <v>712</v>
      </c>
      <c r="AN18" s="48" t="s">
        <v>16</v>
      </c>
      <c r="AO18" s="29">
        <f t="shared" ref="AO18" si="26">600+(600-AO17)</f>
        <v>1045</v>
      </c>
      <c r="AP18" s="29">
        <f t="shared" ref="AP18" si="27">AP17</f>
        <v>709</v>
      </c>
      <c r="AQ18" s="48" t="s">
        <v>16</v>
      </c>
      <c r="AR18" s="29">
        <f t="shared" ref="AR18" si="28">600+(600-AR17)</f>
        <v>1080</v>
      </c>
      <c r="AS18" s="29">
        <f t="shared" ref="AS18" si="29">AS17</f>
        <v>697</v>
      </c>
    </row>
    <row r="19" spans="1:45" ht="15.5">
      <c r="A19" s="24">
        <v>15</v>
      </c>
      <c r="B19" s="19" t="s">
        <v>48</v>
      </c>
      <c r="C19" s="19" t="s">
        <v>34</v>
      </c>
      <c r="D19" s="11">
        <v>1080</v>
      </c>
      <c r="E19" s="9">
        <v>1134</v>
      </c>
      <c r="F19" s="9">
        <v>1118</v>
      </c>
      <c r="G19" s="9">
        <v>1045</v>
      </c>
      <c r="H19" s="9">
        <v>1058.1705911619356</v>
      </c>
      <c r="I19" s="1"/>
      <c r="J19" s="21">
        <v>15</v>
      </c>
      <c r="K19" s="44" t="s">
        <v>80</v>
      </c>
      <c r="L19" s="44" t="s">
        <v>78</v>
      </c>
      <c r="M19" s="44" t="s">
        <v>79</v>
      </c>
      <c r="N19" s="11">
        <v>15.277850612007116</v>
      </c>
      <c r="O19" s="9">
        <v>14.319599670127698</v>
      </c>
      <c r="P19" s="9">
        <v>18.225513485955261</v>
      </c>
      <c r="Q19" s="9">
        <v>15.838233976413511</v>
      </c>
      <c r="R19" s="9">
        <v>18.965494393453643</v>
      </c>
      <c r="S19" s="1"/>
      <c r="T19" s="23">
        <v>15</v>
      </c>
      <c r="U19" s="40"/>
      <c r="V19" s="40"/>
      <c r="W19" s="40"/>
      <c r="X19" s="40"/>
      <c r="Y19" s="11"/>
      <c r="Z19" s="9"/>
      <c r="AA19" s="9"/>
      <c r="AB19" s="9"/>
      <c r="AC19" s="9"/>
      <c r="AD19" s="1"/>
      <c r="AE19" s="48" t="s">
        <v>17</v>
      </c>
      <c r="AF19" s="29">
        <v>216</v>
      </c>
      <c r="AG19" s="29">
        <v>117</v>
      </c>
      <c r="AH19" s="48" t="s">
        <v>17</v>
      </c>
      <c r="AI19" s="29">
        <v>218</v>
      </c>
      <c r="AJ19" s="29">
        <v>29</v>
      </c>
      <c r="AK19" s="48" t="s">
        <v>17</v>
      </c>
      <c r="AL19" s="29">
        <v>352</v>
      </c>
      <c r="AM19" s="29">
        <v>149</v>
      </c>
      <c r="AN19" s="48" t="s">
        <v>17</v>
      </c>
      <c r="AO19" s="29">
        <v>276</v>
      </c>
      <c r="AP19" s="29">
        <v>155</v>
      </c>
      <c r="AQ19" s="48" t="s">
        <v>17</v>
      </c>
      <c r="AR19" s="29">
        <v>261</v>
      </c>
      <c r="AS19" s="29">
        <v>110</v>
      </c>
    </row>
    <row r="20" spans="1:45" ht="15.5">
      <c r="A20" s="24">
        <v>16</v>
      </c>
      <c r="B20" s="19" t="s">
        <v>50</v>
      </c>
      <c r="C20" s="19" t="s">
        <v>51</v>
      </c>
      <c r="D20" s="11">
        <v>51.244511901275828</v>
      </c>
      <c r="E20" s="9">
        <v>54.009258465563107</v>
      </c>
      <c r="F20" s="9">
        <v>43.011626335213137</v>
      </c>
      <c r="G20" s="9">
        <v>67.029844099475568</v>
      </c>
      <c r="H20" s="9">
        <v>49.040799340956916</v>
      </c>
      <c r="I20" s="3"/>
      <c r="J20" s="21">
        <v>16</v>
      </c>
      <c r="K20" s="44" t="s">
        <v>48</v>
      </c>
      <c r="L20" s="44" t="s">
        <v>81</v>
      </c>
      <c r="M20" s="44" t="s">
        <v>79</v>
      </c>
      <c r="N20" s="11">
        <v>108.88589355970743</v>
      </c>
      <c r="O20" s="9">
        <v>104.90398672474548</v>
      </c>
      <c r="P20" s="9">
        <v>101.5181116207357</v>
      </c>
      <c r="Q20" s="9">
        <v>102.96510027579113</v>
      </c>
      <c r="R20" s="9">
        <v>103.15260011607073</v>
      </c>
      <c r="S20" s="1"/>
      <c r="T20" s="23">
        <v>16</v>
      </c>
      <c r="U20" s="40"/>
      <c r="V20" s="40"/>
      <c r="W20" s="40"/>
      <c r="X20" s="40"/>
      <c r="Y20" s="11"/>
      <c r="Z20" s="9"/>
      <c r="AA20" s="9"/>
      <c r="AB20" s="9"/>
      <c r="AC20" s="9"/>
      <c r="AD20" s="1"/>
      <c r="AE20" s="48" t="s">
        <v>18</v>
      </c>
      <c r="AF20" s="29">
        <v>600</v>
      </c>
      <c r="AG20" s="29">
        <v>100</v>
      </c>
      <c r="AH20" s="48" t="s">
        <v>18</v>
      </c>
      <c r="AI20" s="29">
        <v>600</v>
      </c>
      <c r="AJ20" s="29">
        <v>46</v>
      </c>
      <c r="AK20" s="48" t="s">
        <v>18</v>
      </c>
      <c r="AL20" s="29">
        <v>600</v>
      </c>
      <c r="AM20" s="29">
        <v>62</v>
      </c>
      <c r="AN20" s="48" t="s">
        <v>18</v>
      </c>
      <c r="AO20" s="29">
        <v>600</v>
      </c>
      <c r="AP20" s="29">
        <v>135</v>
      </c>
      <c r="AQ20" s="48" t="s">
        <v>18</v>
      </c>
      <c r="AR20" s="29">
        <v>581</v>
      </c>
      <c r="AS20" s="29">
        <v>122</v>
      </c>
    </row>
    <row r="21" spans="1:45" ht="15.5">
      <c r="A21" s="24">
        <v>17</v>
      </c>
      <c r="B21" s="19" t="s">
        <v>65</v>
      </c>
      <c r="C21" s="19" t="s">
        <v>66</v>
      </c>
      <c r="D21" s="11">
        <v>282</v>
      </c>
      <c r="E21" s="9">
        <v>284</v>
      </c>
      <c r="F21" s="9">
        <v>245</v>
      </c>
      <c r="G21" s="9">
        <v>239</v>
      </c>
      <c r="H21" s="9">
        <v>247</v>
      </c>
      <c r="I21" s="3"/>
      <c r="J21" s="21">
        <v>17</v>
      </c>
      <c r="K21" s="44" t="s">
        <v>80</v>
      </c>
      <c r="L21" s="44" t="s">
        <v>81</v>
      </c>
      <c r="M21" s="44" t="s">
        <v>79</v>
      </c>
      <c r="N21" s="11">
        <v>20.616576076967249</v>
      </c>
      <c r="O21" s="9">
        <v>18.832585114873829</v>
      </c>
      <c r="P21" s="9">
        <v>21.929587750175351</v>
      </c>
      <c r="Q21" s="9">
        <v>19.06052514137717</v>
      </c>
      <c r="R21" s="9">
        <v>26.157482961673409</v>
      </c>
      <c r="S21" s="1"/>
      <c r="T21" s="23">
        <v>17</v>
      </c>
      <c r="U21" s="40"/>
      <c r="V21" s="40"/>
      <c r="W21" s="40"/>
      <c r="X21" s="40"/>
      <c r="Y21" s="11"/>
      <c r="Z21" s="9"/>
      <c r="AA21" s="9"/>
      <c r="AB21" s="9"/>
      <c r="AC21" s="9"/>
      <c r="AD21" s="1"/>
      <c r="AE21" s="48" t="s">
        <v>19</v>
      </c>
      <c r="AF21" s="29">
        <f>600+(600-AF19)</f>
        <v>984</v>
      </c>
      <c r="AG21" s="29">
        <f>AG19</f>
        <v>117</v>
      </c>
      <c r="AH21" s="48" t="s">
        <v>19</v>
      </c>
      <c r="AI21" s="29">
        <f>600+(600-AI19)</f>
        <v>982</v>
      </c>
      <c r="AJ21" s="29">
        <f>AJ19</f>
        <v>29</v>
      </c>
      <c r="AK21" s="48" t="s">
        <v>19</v>
      </c>
      <c r="AL21" s="29">
        <f t="shared" ref="AL21" si="30">600+(600-AL19)</f>
        <v>848</v>
      </c>
      <c r="AM21" s="29">
        <f t="shared" ref="AM21" si="31">AM19</f>
        <v>149</v>
      </c>
      <c r="AN21" s="48" t="s">
        <v>19</v>
      </c>
      <c r="AO21" s="29">
        <f t="shared" ref="AO21" si="32">600+(600-AO19)</f>
        <v>924</v>
      </c>
      <c r="AP21" s="29">
        <f t="shared" ref="AP21" si="33">AP19</f>
        <v>155</v>
      </c>
      <c r="AQ21" s="48" t="s">
        <v>19</v>
      </c>
      <c r="AR21" s="29">
        <f t="shared" ref="AR21" si="34">600+(600-AR19)</f>
        <v>939</v>
      </c>
      <c r="AS21" s="29">
        <f t="shared" ref="AS21" si="35">AS19</f>
        <v>110</v>
      </c>
    </row>
    <row r="22" spans="1:45" ht="15.5">
      <c r="A22" s="24">
        <v>18</v>
      </c>
      <c r="B22" s="19" t="s">
        <v>76</v>
      </c>
      <c r="C22" s="19" t="s">
        <v>75</v>
      </c>
      <c r="D22" s="11">
        <v>43.657759905886145</v>
      </c>
      <c r="E22" s="9">
        <v>28</v>
      </c>
      <c r="F22" s="9">
        <v>31.400636936215164</v>
      </c>
      <c r="G22" s="9">
        <v>32.310988842807021</v>
      </c>
      <c r="H22" s="9">
        <v>41.048751503547585</v>
      </c>
      <c r="I22" s="3"/>
      <c r="J22" s="21">
        <v>18</v>
      </c>
      <c r="K22" s="39"/>
      <c r="L22" s="39"/>
      <c r="M22" s="39"/>
      <c r="N22" s="11"/>
      <c r="O22" s="9"/>
      <c r="P22" s="9"/>
      <c r="Q22" s="9"/>
      <c r="R22" s="9"/>
      <c r="S22" s="1"/>
      <c r="T22" s="23">
        <v>18</v>
      </c>
      <c r="U22" s="40"/>
      <c r="V22" s="40"/>
      <c r="W22" s="40"/>
      <c r="X22" s="40"/>
      <c r="Y22" s="11"/>
      <c r="Z22" s="9"/>
      <c r="AA22" s="9"/>
      <c r="AB22" s="9"/>
      <c r="AC22" s="9"/>
      <c r="AD22" s="1"/>
      <c r="AE22" s="48" t="s">
        <v>20</v>
      </c>
      <c r="AF22" s="29">
        <v>306</v>
      </c>
      <c r="AG22" s="29">
        <v>546</v>
      </c>
      <c r="AH22" s="48" t="s">
        <v>20</v>
      </c>
      <c r="AI22" s="29">
        <v>346</v>
      </c>
      <c r="AJ22" s="29">
        <v>542</v>
      </c>
      <c r="AK22" s="48" t="s">
        <v>20</v>
      </c>
      <c r="AL22" s="29">
        <v>375</v>
      </c>
      <c r="AM22" s="29">
        <v>600</v>
      </c>
      <c r="AN22" s="49" t="s">
        <v>20</v>
      </c>
      <c r="AO22" s="30">
        <v>329</v>
      </c>
      <c r="AP22" s="30">
        <v>586</v>
      </c>
      <c r="AQ22" s="48" t="s">
        <v>20</v>
      </c>
      <c r="AR22" s="29">
        <v>355</v>
      </c>
      <c r="AS22" s="29">
        <v>566</v>
      </c>
    </row>
    <row r="23" spans="1:45" ht="15.5">
      <c r="A23" s="24">
        <v>19</v>
      </c>
      <c r="B23" s="19" t="s">
        <v>73</v>
      </c>
      <c r="C23" s="19" t="s">
        <v>74</v>
      </c>
      <c r="D23" s="11">
        <v>267.17222909576509</v>
      </c>
      <c r="E23" s="9">
        <v>190.31815467789718</v>
      </c>
      <c r="F23" s="9">
        <v>173.04623659588788</v>
      </c>
      <c r="G23" s="9">
        <v>191.12822920751398</v>
      </c>
      <c r="H23" s="9">
        <v>203.12065379965671</v>
      </c>
      <c r="I23" s="3"/>
      <c r="J23" s="21">
        <v>19</v>
      </c>
      <c r="K23" s="39"/>
      <c r="L23" s="39"/>
      <c r="M23" s="39"/>
      <c r="N23" s="11"/>
      <c r="O23" s="9"/>
      <c r="P23" s="9"/>
      <c r="Q23" s="9"/>
      <c r="R23" s="9"/>
      <c r="S23" s="1"/>
      <c r="T23" s="23">
        <v>19</v>
      </c>
      <c r="U23" s="40"/>
      <c r="V23" s="40"/>
      <c r="W23" s="40"/>
      <c r="X23" s="40"/>
      <c r="Y23" s="11"/>
      <c r="Z23" s="9"/>
      <c r="AA23" s="9"/>
      <c r="AB23" s="9"/>
      <c r="AC23" s="9"/>
      <c r="AD23" s="1"/>
      <c r="AE23" s="48" t="s">
        <v>21</v>
      </c>
      <c r="AF23" s="29">
        <v>409</v>
      </c>
      <c r="AG23" s="29">
        <v>555</v>
      </c>
      <c r="AH23" s="49" t="s">
        <v>21</v>
      </c>
      <c r="AI23" s="30">
        <v>427</v>
      </c>
      <c r="AJ23" s="30">
        <v>563</v>
      </c>
      <c r="AK23" s="48" t="s">
        <v>21</v>
      </c>
      <c r="AL23" s="29">
        <v>447</v>
      </c>
      <c r="AM23" s="29">
        <v>614</v>
      </c>
      <c r="AN23" s="49" t="s">
        <v>21</v>
      </c>
      <c r="AO23" s="30">
        <v>404</v>
      </c>
      <c r="AP23" s="30">
        <v>618</v>
      </c>
      <c r="AQ23" s="48" t="s">
        <v>21</v>
      </c>
      <c r="AR23" s="29">
        <v>427</v>
      </c>
      <c r="AS23" s="29">
        <v>577</v>
      </c>
    </row>
    <row r="24" spans="1:45" ht="15.5">
      <c r="A24" s="24">
        <v>20</v>
      </c>
      <c r="B24" s="19"/>
      <c r="C24" s="19"/>
      <c r="D24" s="9"/>
      <c r="E24" s="9"/>
      <c r="F24" s="9"/>
      <c r="G24" s="9"/>
      <c r="H24" s="9"/>
      <c r="I24" s="3"/>
      <c r="J24" s="21">
        <v>20</v>
      </c>
      <c r="K24" s="39"/>
      <c r="L24" s="39"/>
      <c r="M24" s="39"/>
      <c r="N24" s="11"/>
      <c r="O24" s="9"/>
      <c r="P24" s="9"/>
      <c r="Q24" s="9"/>
      <c r="R24" s="9"/>
      <c r="S24" s="1"/>
      <c r="T24" s="23">
        <v>20</v>
      </c>
      <c r="U24" s="40"/>
      <c r="V24" s="40"/>
      <c r="W24" s="40"/>
      <c r="X24" s="40"/>
      <c r="Y24" s="11"/>
      <c r="Z24" s="9"/>
      <c r="AA24" s="9"/>
      <c r="AB24" s="9"/>
      <c r="AC24" s="9"/>
      <c r="AD24" s="1"/>
      <c r="AE24" s="48" t="s">
        <v>22</v>
      </c>
      <c r="AF24" s="29">
        <v>481</v>
      </c>
      <c r="AG24" s="29">
        <v>542</v>
      </c>
      <c r="AH24" s="49" t="s">
        <v>22</v>
      </c>
      <c r="AI24" s="30">
        <v>515</v>
      </c>
      <c r="AJ24" s="30">
        <v>536</v>
      </c>
      <c r="AK24" s="48" t="s">
        <v>22</v>
      </c>
      <c r="AL24" s="29">
        <v>521</v>
      </c>
      <c r="AM24" s="29">
        <v>584</v>
      </c>
      <c r="AN24" s="49" t="s">
        <v>22</v>
      </c>
      <c r="AO24" s="30">
        <v>486</v>
      </c>
      <c r="AP24" s="30">
        <v>583</v>
      </c>
      <c r="AQ24" s="48" t="s">
        <v>22</v>
      </c>
      <c r="AR24" s="29">
        <v>506</v>
      </c>
      <c r="AS24" s="29">
        <v>561</v>
      </c>
    </row>
    <row r="25" spans="1:45" ht="15.5">
      <c r="A25" s="24">
        <v>21</v>
      </c>
      <c r="B25" s="19"/>
      <c r="C25" s="19"/>
      <c r="D25" s="9"/>
      <c r="E25" s="9"/>
      <c r="F25" s="9"/>
      <c r="G25" s="9"/>
      <c r="H25" s="9"/>
      <c r="I25" s="3"/>
      <c r="J25" s="21">
        <v>21</v>
      </c>
      <c r="K25" s="39"/>
      <c r="L25" s="39"/>
      <c r="M25" s="39"/>
      <c r="N25" s="11"/>
      <c r="O25" s="9"/>
      <c r="P25" s="9"/>
      <c r="Q25" s="9"/>
      <c r="R25" s="9"/>
      <c r="S25" s="1"/>
      <c r="T25" s="23">
        <v>21</v>
      </c>
      <c r="U25" s="40"/>
      <c r="V25" s="40"/>
      <c r="W25" s="40"/>
      <c r="X25" s="40"/>
      <c r="Y25" s="11"/>
      <c r="Z25" s="9"/>
      <c r="AA25" s="9"/>
      <c r="AB25" s="9"/>
      <c r="AC25" s="9"/>
      <c r="AD25" s="1"/>
      <c r="AE25" s="48" t="s">
        <v>23</v>
      </c>
      <c r="AF25" s="29">
        <v>404</v>
      </c>
      <c r="AG25" s="29">
        <v>504</v>
      </c>
      <c r="AH25" s="49" t="s">
        <v>23</v>
      </c>
      <c r="AI25" s="30">
        <v>426</v>
      </c>
      <c r="AJ25" s="30">
        <v>509</v>
      </c>
      <c r="AK25" s="48" t="s">
        <v>23</v>
      </c>
      <c r="AL25" s="29">
        <v>448</v>
      </c>
      <c r="AM25" s="29">
        <v>571</v>
      </c>
      <c r="AN25" s="49" t="s">
        <v>23</v>
      </c>
      <c r="AO25" s="30">
        <v>402</v>
      </c>
      <c r="AP25" s="30">
        <v>551</v>
      </c>
      <c r="AQ25" s="48" t="s">
        <v>23</v>
      </c>
      <c r="AR25" s="29">
        <v>429</v>
      </c>
      <c r="AS25" s="29">
        <v>528</v>
      </c>
    </row>
    <row r="26" spans="1:45" ht="15.5">
      <c r="A26" s="24">
        <v>22</v>
      </c>
      <c r="B26" s="19"/>
      <c r="C26" s="19"/>
      <c r="D26" s="9"/>
      <c r="E26" s="9"/>
      <c r="F26" s="9"/>
      <c r="G26" s="9"/>
      <c r="H26" s="9"/>
      <c r="I26" s="3"/>
      <c r="J26" s="21">
        <v>22</v>
      </c>
      <c r="K26" s="39"/>
      <c r="L26" s="39"/>
      <c r="M26" s="39"/>
      <c r="N26" s="11"/>
      <c r="O26" s="9"/>
      <c r="P26" s="9"/>
      <c r="Q26" s="9"/>
      <c r="R26" s="9"/>
      <c r="S26" s="1"/>
      <c r="T26" s="23">
        <v>22</v>
      </c>
      <c r="U26" s="40"/>
      <c r="V26" s="40"/>
      <c r="W26" s="40"/>
      <c r="X26" s="40"/>
      <c r="Y26" s="11"/>
      <c r="Z26" s="9"/>
      <c r="AA26" s="9"/>
      <c r="AB26" s="9"/>
      <c r="AC26" s="9"/>
      <c r="AD26" s="1"/>
      <c r="AE26" s="48" t="s">
        <v>24</v>
      </c>
      <c r="AF26" s="31">
        <v>1180</v>
      </c>
      <c r="AG26" s="31">
        <v>1180</v>
      </c>
      <c r="AH26" s="49" t="s">
        <v>24</v>
      </c>
      <c r="AI26" s="30">
        <v>1180</v>
      </c>
      <c r="AJ26" s="30">
        <v>1180</v>
      </c>
      <c r="AK26" s="48" t="s">
        <v>24</v>
      </c>
      <c r="AL26" s="31">
        <v>1180</v>
      </c>
      <c r="AM26" s="31">
        <v>1180</v>
      </c>
      <c r="AN26" s="49" t="s">
        <v>24</v>
      </c>
      <c r="AO26" s="30">
        <v>1180</v>
      </c>
      <c r="AP26" s="30">
        <v>1180</v>
      </c>
      <c r="AQ26" s="32" t="s">
        <v>24</v>
      </c>
      <c r="AR26" s="31">
        <v>1180</v>
      </c>
      <c r="AS26" s="31">
        <v>1180</v>
      </c>
    </row>
    <row r="27" spans="1:45" ht="15.5">
      <c r="A27" s="24">
        <v>23</v>
      </c>
      <c r="B27" s="19"/>
      <c r="C27" s="19"/>
      <c r="D27" s="9"/>
      <c r="E27" s="9"/>
      <c r="F27" s="9"/>
      <c r="G27" s="9"/>
      <c r="H27" s="9"/>
      <c r="I27" s="1"/>
      <c r="J27" s="21">
        <v>23</v>
      </c>
      <c r="K27" s="39"/>
      <c r="L27" s="39"/>
      <c r="M27" s="39"/>
      <c r="N27" s="11"/>
      <c r="O27" s="9"/>
      <c r="P27" s="9"/>
      <c r="Q27" s="9"/>
      <c r="R27" s="9"/>
      <c r="S27" s="1"/>
      <c r="T27" s="23">
        <v>23</v>
      </c>
      <c r="U27" s="40"/>
      <c r="V27" s="40"/>
      <c r="W27" s="40"/>
      <c r="X27" s="40"/>
      <c r="Y27" s="11"/>
      <c r="Z27" s="9"/>
      <c r="AA27" s="9"/>
      <c r="AB27" s="9"/>
      <c r="AC27" s="9"/>
      <c r="AD27" s="1"/>
      <c r="AE27" s="46" t="s">
        <v>67</v>
      </c>
      <c r="AF27" s="8">
        <v>600</v>
      </c>
      <c r="AG27" s="37">
        <v>0</v>
      </c>
      <c r="AH27" s="46" t="s">
        <v>67</v>
      </c>
      <c r="AI27" s="9">
        <v>600</v>
      </c>
      <c r="AJ27" s="38">
        <v>0</v>
      </c>
      <c r="AK27" s="46" t="s">
        <v>67</v>
      </c>
      <c r="AL27" s="8">
        <v>600</v>
      </c>
      <c r="AM27" s="37">
        <v>0</v>
      </c>
      <c r="AN27" s="46" t="s">
        <v>67</v>
      </c>
      <c r="AO27" s="9">
        <v>600</v>
      </c>
      <c r="AP27" s="38">
        <v>0</v>
      </c>
      <c r="AQ27" s="46" t="s">
        <v>67</v>
      </c>
      <c r="AR27" s="8">
        <v>600</v>
      </c>
      <c r="AS27" s="37">
        <v>0</v>
      </c>
    </row>
    <row r="28" spans="1:45" ht="15.5">
      <c r="A28" s="24">
        <v>24</v>
      </c>
      <c r="B28" s="19"/>
      <c r="C28" s="19"/>
      <c r="D28" s="17"/>
      <c r="E28" s="12"/>
      <c r="F28" s="12"/>
      <c r="G28" s="12"/>
      <c r="H28" s="12"/>
      <c r="I28" s="7"/>
      <c r="J28" s="21">
        <v>24</v>
      </c>
      <c r="K28" s="39"/>
      <c r="L28" s="39"/>
      <c r="M28" s="39"/>
      <c r="N28" s="17"/>
      <c r="O28" s="12"/>
      <c r="P28" s="12"/>
      <c r="Q28" s="12"/>
      <c r="R28" s="12"/>
      <c r="S28" s="7"/>
      <c r="T28" s="23">
        <v>24</v>
      </c>
      <c r="U28" s="40"/>
      <c r="V28" s="40"/>
      <c r="W28" s="40"/>
      <c r="X28" s="40"/>
      <c r="Y28" s="17"/>
      <c r="Z28" s="12"/>
      <c r="AA28" s="12"/>
      <c r="AB28" s="12"/>
      <c r="AC28" s="12"/>
      <c r="AD28" s="7"/>
      <c r="AE28" s="46" t="s">
        <v>68</v>
      </c>
      <c r="AF28" s="8">
        <v>401</v>
      </c>
      <c r="AG28" s="37">
        <v>422</v>
      </c>
      <c r="AH28" s="46" t="s">
        <v>68</v>
      </c>
      <c r="AI28" s="9">
        <v>422</v>
      </c>
      <c r="AJ28" s="38">
        <v>438</v>
      </c>
      <c r="AK28" s="46" t="s">
        <v>68</v>
      </c>
      <c r="AL28" s="8">
        <v>426</v>
      </c>
      <c r="AM28" s="37">
        <v>507</v>
      </c>
      <c r="AN28" s="46" t="s">
        <v>68</v>
      </c>
      <c r="AO28" s="9">
        <v>417</v>
      </c>
      <c r="AP28" s="38">
        <v>481</v>
      </c>
      <c r="AQ28" s="46" t="s">
        <v>68</v>
      </c>
      <c r="AR28" s="8">
        <v>420</v>
      </c>
      <c r="AS28" s="37">
        <v>472</v>
      </c>
    </row>
    <row r="29" spans="1:45" ht="15.5">
      <c r="A29" s="24">
        <v>25</v>
      </c>
      <c r="B29" s="19"/>
      <c r="C29" s="19"/>
      <c r="D29" s="18"/>
      <c r="E29" s="13"/>
      <c r="F29" s="9"/>
      <c r="G29" s="9"/>
      <c r="H29" s="9"/>
      <c r="I29" s="1"/>
      <c r="J29" s="21">
        <v>25</v>
      </c>
      <c r="K29" s="39"/>
      <c r="L29" s="39"/>
      <c r="M29" s="39"/>
      <c r="N29" s="11"/>
      <c r="O29" s="9"/>
      <c r="P29" s="9"/>
      <c r="Q29" s="9"/>
      <c r="R29" s="9"/>
      <c r="S29" s="1"/>
      <c r="T29" s="23">
        <v>25</v>
      </c>
      <c r="U29" s="40"/>
      <c r="V29" s="40"/>
      <c r="W29" s="40"/>
      <c r="X29" s="40"/>
      <c r="Y29" s="11"/>
      <c r="Z29" s="9"/>
      <c r="AA29" s="9"/>
      <c r="AB29" s="9"/>
      <c r="AC29" s="9"/>
      <c r="AD29" s="1"/>
      <c r="AE29" s="46" t="s">
        <v>69</v>
      </c>
      <c r="AF29" s="8">
        <v>251</v>
      </c>
      <c r="AG29" s="37">
        <v>478</v>
      </c>
      <c r="AH29" s="46" t="s">
        <v>69</v>
      </c>
      <c r="AI29" s="9">
        <v>315</v>
      </c>
      <c r="AJ29" s="38">
        <v>474</v>
      </c>
      <c r="AK29" s="46" t="s">
        <v>69</v>
      </c>
      <c r="AL29" s="8">
        <v>330</v>
      </c>
      <c r="AM29" s="37">
        <v>534</v>
      </c>
      <c r="AN29" s="46" t="s">
        <v>69</v>
      </c>
      <c r="AO29" s="9">
        <v>311</v>
      </c>
      <c r="AP29" s="38">
        <v>520</v>
      </c>
      <c r="AQ29" s="46" t="s">
        <v>69</v>
      </c>
      <c r="AR29" s="8">
        <v>302</v>
      </c>
      <c r="AS29" s="37">
        <v>517</v>
      </c>
    </row>
    <row r="30" spans="1:45" ht="15.5">
      <c r="A30" s="24">
        <v>26</v>
      </c>
      <c r="B30" s="19"/>
      <c r="C30" s="19"/>
      <c r="D30" s="11"/>
      <c r="E30" s="9"/>
      <c r="F30" s="9"/>
      <c r="G30" s="9"/>
      <c r="H30" s="9"/>
      <c r="I30" s="1"/>
      <c r="J30" s="21">
        <v>26</v>
      </c>
      <c r="K30" s="39"/>
      <c r="L30" s="39"/>
      <c r="M30" s="39"/>
      <c r="N30" s="11"/>
      <c r="O30" s="9"/>
      <c r="P30" s="9"/>
      <c r="Q30" s="9"/>
      <c r="R30" s="9"/>
      <c r="S30" s="1"/>
      <c r="T30" s="23">
        <v>26</v>
      </c>
      <c r="U30" s="40"/>
      <c r="V30" s="40"/>
      <c r="W30" s="40"/>
      <c r="X30" s="40"/>
      <c r="Y30" s="11"/>
      <c r="Z30" s="9"/>
      <c r="AA30" s="9"/>
      <c r="AB30" s="9"/>
      <c r="AC30" s="9"/>
      <c r="AD30" s="1"/>
      <c r="AE30" s="46" t="s">
        <v>70</v>
      </c>
      <c r="AF30" s="8">
        <v>517</v>
      </c>
      <c r="AG30" s="37">
        <v>453</v>
      </c>
      <c r="AH30" s="46" t="s">
        <v>70</v>
      </c>
      <c r="AI30" s="9">
        <v>505</v>
      </c>
      <c r="AJ30" s="38">
        <v>463</v>
      </c>
      <c r="AK30" s="46" t="s">
        <v>70</v>
      </c>
      <c r="AL30" s="8">
        <v>503</v>
      </c>
      <c r="AM30" s="37">
        <v>538</v>
      </c>
      <c r="AN30" s="46" t="s">
        <v>70</v>
      </c>
      <c r="AO30" s="9">
        <v>502</v>
      </c>
      <c r="AP30" s="38">
        <v>513</v>
      </c>
      <c r="AQ30" s="46" t="s">
        <v>70</v>
      </c>
      <c r="AR30" s="8">
        <v>505</v>
      </c>
      <c r="AS30" s="37">
        <v>510</v>
      </c>
    </row>
    <row r="31" spans="1:45" ht="15.5">
      <c r="A31" s="24">
        <v>27</v>
      </c>
      <c r="B31" s="19"/>
      <c r="C31" s="19"/>
      <c r="D31" s="11"/>
      <c r="E31" s="9"/>
      <c r="F31" s="9"/>
      <c r="G31" s="9"/>
      <c r="H31" s="9"/>
      <c r="I31" s="1"/>
      <c r="J31" s="21">
        <v>27</v>
      </c>
      <c r="K31" s="39"/>
      <c r="L31" s="39"/>
      <c r="M31" s="39"/>
      <c r="N31" s="11"/>
      <c r="O31" s="9"/>
      <c r="P31" s="9"/>
      <c r="Q31" s="9"/>
      <c r="R31" s="9"/>
      <c r="S31" s="1"/>
      <c r="T31" s="23">
        <v>27</v>
      </c>
      <c r="U31" s="40"/>
      <c r="V31" s="40"/>
      <c r="W31" s="40"/>
      <c r="X31" s="40"/>
      <c r="Y31" s="11"/>
      <c r="Z31" s="9"/>
      <c r="AA31" s="9"/>
      <c r="AB31" s="9"/>
      <c r="AC31" s="9"/>
      <c r="AD31" s="1"/>
      <c r="AE31" s="46" t="s">
        <v>71</v>
      </c>
      <c r="AF31" s="8">
        <v>416</v>
      </c>
      <c r="AG31" s="37">
        <v>463</v>
      </c>
      <c r="AH31" s="46" t="s">
        <v>71</v>
      </c>
      <c r="AI31" s="9">
        <v>422</v>
      </c>
      <c r="AJ31" s="38">
        <v>466</v>
      </c>
      <c r="AK31" s="46" t="s">
        <v>71</v>
      </c>
      <c r="AL31" s="8">
        <v>421</v>
      </c>
      <c r="AM31" s="37">
        <v>538</v>
      </c>
      <c r="AN31" s="46" t="s">
        <v>71</v>
      </c>
      <c r="AO31" s="9">
        <v>429</v>
      </c>
      <c r="AP31" s="38">
        <v>511</v>
      </c>
      <c r="AQ31" s="46" t="s">
        <v>71</v>
      </c>
      <c r="AR31" s="8">
        <v>422</v>
      </c>
      <c r="AS31" s="37">
        <v>513</v>
      </c>
    </row>
    <row r="32" spans="1:45" ht="15.5">
      <c r="A32" s="24">
        <v>28</v>
      </c>
      <c r="B32" s="19"/>
      <c r="C32" s="19"/>
      <c r="D32" s="11"/>
      <c r="E32" s="9"/>
      <c r="F32" s="9"/>
      <c r="G32" s="9"/>
      <c r="H32" s="9"/>
      <c r="I32" s="1"/>
      <c r="J32" s="21">
        <v>28</v>
      </c>
      <c r="K32" s="39"/>
      <c r="L32" s="39"/>
      <c r="M32" s="39"/>
      <c r="N32" s="11"/>
      <c r="O32" s="9"/>
      <c r="P32" s="9"/>
      <c r="Q32" s="9"/>
      <c r="R32" s="9"/>
      <c r="S32" s="1"/>
      <c r="T32" s="23">
        <v>28</v>
      </c>
      <c r="U32" s="40"/>
      <c r="V32" s="40"/>
      <c r="W32" s="40"/>
      <c r="X32" s="40"/>
      <c r="Y32" s="11"/>
      <c r="Z32" s="9"/>
      <c r="AA32" s="9"/>
      <c r="AB32" s="9"/>
      <c r="AC32" s="9"/>
      <c r="AD32" s="1"/>
      <c r="AE32" s="46"/>
      <c r="AF32" s="8"/>
      <c r="AG32" s="37"/>
      <c r="AH32" s="46"/>
      <c r="AI32" s="9"/>
      <c r="AJ32" s="38"/>
      <c r="AK32" s="46"/>
      <c r="AL32" s="8"/>
      <c r="AM32" s="37"/>
      <c r="AN32" s="46"/>
      <c r="AO32" s="9"/>
      <c r="AP32" s="38"/>
      <c r="AQ32" s="46"/>
      <c r="AR32" s="8"/>
      <c r="AS32" s="37"/>
    </row>
    <row r="33" spans="1:45" ht="15.5">
      <c r="A33" s="24">
        <v>29</v>
      </c>
      <c r="B33" s="19"/>
      <c r="C33" s="19"/>
      <c r="D33" s="11"/>
      <c r="E33" s="9"/>
      <c r="F33" s="9"/>
      <c r="G33" s="9"/>
      <c r="H33" s="9"/>
      <c r="I33" s="1"/>
      <c r="J33" s="21">
        <v>29</v>
      </c>
      <c r="K33" s="39"/>
      <c r="L33" s="39"/>
      <c r="M33" s="39"/>
      <c r="N33" s="11"/>
      <c r="O33" s="9"/>
      <c r="P33" s="9"/>
      <c r="Q33" s="9"/>
      <c r="R33" s="9"/>
      <c r="S33" s="1"/>
      <c r="T33" s="23">
        <v>29</v>
      </c>
      <c r="U33" s="40"/>
      <c r="V33" s="40"/>
      <c r="W33" s="40"/>
      <c r="X33" s="40"/>
      <c r="Y33" s="11"/>
      <c r="Z33" s="9"/>
      <c r="AA33" s="9"/>
      <c r="AB33" s="9"/>
      <c r="AC33" s="9"/>
      <c r="AD33" s="1"/>
      <c r="AE33" s="46"/>
      <c r="AF33" s="8"/>
      <c r="AG33" s="37"/>
      <c r="AH33" s="47"/>
      <c r="AI33" s="9"/>
      <c r="AJ33" s="38"/>
      <c r="AK33" s="46"/>
      <c r="AL33" s="8"/>
      <c r="AM33" s="37"/>
      <c r="AN33" s="47"/>
      <c r="AO33" s="9"/>
      <c r="AP33" s="38"/>
      <c r="AQ33" s="46"/>
      <c r="AR33" s="8"/>
      <c r="AS33" s="37"/>
    </row>
    <row r="34" spans="1:45" ht="15.5">
      <c r="A34" s="24">
        <v>30</v>
      </c>
      <c r="B34" s="19"/>
      <c r="C34" s="19"/>
      <c r="D34" s="11"/>
      <c r="E34" s="9"/>
      <c r="F34" s="9"/>
      <c r="G34" s="9"/>
      <c r="H34" s="9"/>
      <c r="I34" s="1"/>
      <c r="J34" s="21">
        <v>30</v>
      </c>
      <c r="K34" s="39"/>
      <c r="L34" s="39"/>
      <c r="M34" s="39"/>
      <c r="N34" s="11"/>
      <c r="O34" s="9"/>
      <c r="P34" s="9"/>
      <c r="Q34" s="9"/>
      <c r="R34" s="9"/>
      <c r="S34" s="1"/>
      <c r="T34" s="23">
        <v>30</v>
      </c>
      <c r="U34" s="40"/>
      <c r="V34" s="40"/>
      <c r="W34" s="40"/>
      <c r="X34" s="40"/>
      <c r="Y34" s="11"/>
      <c r="Z34" s="9"/>
      <c r="AA34" s="9"/>
      <c r="AB34" s="9"/>
      <c r="AC34" s="9"/>
      <c r="AD34" s="1"/>
      <c r="AE34" s="46"/>
      <c r="AF34" s="8"/>
      <c r="AG34" s="37"/>
      <c r="AH34" s="47"/>
      <c r="AI34" s="9"/>
      <c r="AJ34" s="38"/>
      <c r="AK34" s="46"/>
      <c r="AL34" s="8"/>
      <c r="AM34" s="37"/>
      <c r="AN34" s="47"/>
      <c r="AO34" s="9"/>
      <c r="AP34" s="38"/>
      <c r="AQ34" s="46"/>
      <c r="AR34" s="8"/>
      <c r="AS34" s="37"/>
    </row>
  </sheetData>
  <mergeCells count="23">
    <mergeCell ref="A1:H1"/>
    <mergeCell ref="J1:R1"/>
    <mergeCell ref="T1:AC1"/>
    <mergeCell ref="AE1:AS1"/>
    <mergeCell ref="A2:C4"/>
    <mergeCell ref="D2:F3"/>
    <mergeCell ref="G2:H3"/>
    <mergeCell ref="J2:M4"/>
    <mergeCell ref="N2:P3"/>
    <mergeCell ref="Q2:R3"/>
    <mergeCell ref="T2:X4"/>
    <mergeCell ref="Y2:AA3"/>
    <mergeCell ref="AB2:AC3"/>
    <mergeCell ref="AE2:AG2"/>
    <mergeCell ref="AH2:AJ2"/>
    <mergeCell ref="AN2:AP2"/>
    <mergeCell ref="AQ2:AS2"/>
    <mergeCell ref="AF3:AG3"/>
    <mergeCell ref="AI3:AJ3"/>
    <mergeCell ref="AL3:AM3"/>
    <mergeCell ref="AO3:AP3"/>
    <mergeCell ref="AR3:AS3"/>
    <mergeCell ref="AK2:AM2"/>
  </mergeCells>
  <phoneticPr fontId="1" type="noConversion"/>
  <conditionalFormatting sqref="Y1:AC1 Y4:AC34 Y2">
    <cfRule type="cellIs" dxfId="5" priority="1" operator="lessThan">
      <formula>0</formula>
    </cfRule>
  </conditionalFormatting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工作表33"/>
  <dimension ref="A1:AS52"/>
  <sheetViews>
    <sheetView topLeftCell="H1" zoomScale="85" zoomScaleNormal="85" workbookViewId="0">
      <selection activeCell="AI3" sqref="AI3:AJ3"/>
    </sheetView>
  </sheetViews>
  <sheetFormatPr defaultColWidth="9" defaultRowHeight="15.5"/>
  <cols>
    <col min="1" max="1" width="3.58203125" style="22" customWidth="1"/>
    <col min="2" max="3" width="3.58203125" style="4" customWidth="1"/>
    <col min="4" max="8" width="10.58203125" style="10" customWidth="1"/>
    <col min="9" max="9" width="2.08203125" style="1" customWidth="1"/>
    <col min="10" max="10" width="3.58203125" style="22" customWidth="1"/>
    <col min="11" max="12" width="3.58203125" style="4" customWidth="1"/>
    <col min="13" max="13" width="3.08203125" style="4" bestFit="1" customWidth="1"/>
    <col min="14" max="18" width="10.58203125" style="10" customWidth="1"/>
    <col min="19" max="19" width="2.08203125" style="1" customWidth="1"/>
    <col min="20" max="20" width="3.58203125" style="22" customWidth="1"/>
    <col min="21" max="23" width="3.58203125" style="4" customWidth="1"/>
    <col min="24" max="24" width="3.08203125" style="4" bestFit="1" customWidth="1"/>
    <col min="25" max="29" width="10.58203125" style="10" customWidth="1"/>
    <col min="30" max="30" width="2.08203125" style="1" customWidth="1"/>
    <col min="31" max="31" width="7.58203125" style="4" customWidth="1"/>
    <col min="32" max="32" width="10.58203125" style="10" customWidth="1"/>
    <col min="33" max="33" width="10.58203125" style="1" customWidth="1"/>
    <col min="34" max="34" width="7.58203125" style="4" customWidth="1"/>
    <col min="35" max="35" width="10.58203125" style="10" customWidth="1"/>
    <col min="36" max="36" width="10.58203125" style="1" customWidth="1"/>
    <col min="37" max="37" width="7.58203125" style="4" customWidth="1"/>
    <col min="38" max="38" width="10.58203125" style="10" customWidth="1"/>
    <col min="39" max="39" width="10.58203125" style="1" customWidth="1"/>
    <col min="40" max="40" width="7.58203125" style="4" customWidth="1"/>
    <col min="41" max="41" width="10.58203125" style="10" customWidth="1"/>
    <col min="42" max="42" width="10.58203125" style="1" customWidth="1"/>
    <col min="43" max="16384" width="9" style="1"/>
  </cols>
  <sheetData>
    <row r="1" spans="1:45" ht="24" customHeight="1">
      <c r="A1" s="57" t="s">
        <v>58</v>
      </c>
      <c r="B1" s="57"/>
      <c r="C1" s="57"/>
      <c r="D1" s="57"/>
      <c r="E1" s="57"/>
      <c r="F1" s="57"/>
      <c r="G1" s="57"/>
      <c r="H1" s="58"/>
      <c r="J1" s="59" t="s">
        <v>60</v>
      </c>
      <c r="K1" s="59"/>
      <c r="L1" s="59"/>
      <c r="M1" s="59"/>
      <c r="N1" s="59"/>
      <c r="O1" s="59"/>
      <c r="P1" s="59"/>
      <c r="Q1" s="59"/>
      <c r="R1" s="59"/>
      <c r="T1" s="60" t="s">
        <v>59</v>
      </c>
      <c r="U1" s="60"/>
      <c r="V1" s="60"/>
      <c r="W1" s="60"/>
      <c r="X1" s="60"/>
      <c r="Y1" s="60"/>
      <c r="Z1" s="60"/>
      <c r="AA1" s="60"/>
      <c r="AB1" s="60"/>
      <c r="AC1" s="60"/>
      <c r="AE1" s="61" t="s">
        <v>180</v>
      </c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</row>
    <row r="2" spans="1:45" s="2" customFormat="1" ht="19.5" customHeight="1">
      <c r="A2" s="63" t="s">
        <v>55</v>
      </c>
      <c r="B2" s="63"/>
      <c r="C2" s="63"/>
      <c r="D2" s="65"/>
      <c r="E2" s="66"/>
      <c r="F2" s="67"/>
      <c r="G2" s="65"/>
      <c r="H2" s="67"/>
      <c r="J2" s="71" t="s">
        <v>56</v>
      </c>
      <c r="K2" s="71"/>
      <c r="L2" s="71"/>
      <c r="M2" s="71"/>
      <c r="N2" s="73"/>
      <c r="O2" s="74"/>
      <c r="P2" s="75"/>
      <c r="Q2" s="73"/>
      <c r="R2" s="75"/>
      <c r="T2" s="90" t="s">
        <v>57</v>
      </c>
      <c r="U2" s="90"/>
      <c r="V2" s="90"/>
      <c r="W2" s="90"/>
      <c r="X2" s="90"/>
      <c r="Y2" s="92"/>
      <c r="Z2" s="93"/>
      <c r="AA2" s="94"/>
      <c r="AB2" s="92"/>
      <c r="AC2" s="94"/>
      <c r="AE2" s="54" t="s">
        <v>135</v>
      </c>
      <c r="AF2" s="55"/>
      <c r="AG2" s="56"/>
      <c r="AH2" s="81" t="s">
        <v>136</v>
      </c>
      <c r="AI2" s="82"/>
      <c r="AJ2" s="83"/>
      <c r="AK2" s="54" t="s">
        <v>137</v>
      </c>
      <c r="AL2" s="55"/>
      <c r="AM2" s="56"/>
      <c r="AN2" s="81" t="s">
        <v>138</v>
      </c>
      <c r="AO2" s="82"/>
      <c r="AP2" s="83"/>
      <c r="AQ2" s="54" t="s">
        <v>139</v>
      </c>
      <c r="AR2" s="55"/>
      <c r="AS2" s="56"/>
    </row>
    <row r="3" spans="1:45" ht="16.5" customHeight="1">
      <c r="A3" s="63"/>
      <c r="B3" s="63"/>
      <c r="C3" s="63"/>
      <c r="D3" s="68"/>
      <c r="E3" s="69"/>
      <c r="F3" s="70"/>
      <c r="G3" s="68"/>
      <c r="H3" s="70"/>
      <c r="J3" s="71"/>
      <c r="K3" s="71"/>
      <c r="L3" s="71"/>
      <c r="M3" s="71"/>
      <c r="N3" s="76"/>
      <c r="O3" s="77"/>
      <c r="P3" s="78"/>
      <c r="Q3" s="76"/>
      <c r="R3" s="78"/>
      <c r="T3" s="90"/>
      <c r="U3" s="90"/>
      <c r="V3" s="90"/>
      <c r="W3" s="90"/>
      <c r="X3" s="90"/>
      <c r="Y3" s="95"/>
      <c r="Z3" s="96"/>
      <c r="AA3" s="97"/>
      <c r="AB3" s="95"/>
      <c r="AC3" s="97"/>
      <c r="AE3" s="52" t="s">
        <v>178</v>
      </c>
      <c r="AF3" s="85" t="s">
        <v>177</v>
      </c>
      <c r="AG3" s="85"/>
      <c r="AH3" s="52" t="s">
        <v>178</v>
      </c>
      <c r="AI3" s="85" t="s">
        <v>177</v>
      </c>
      <c r="AJ3" s="85"/>
      <c r="AK3" s="52" t="s">
        <v>178</v>
      </c>
      <c r="AL3" s="85" t="s">
        <v>177</v>
      </c>
      <c r="AM3" s="85"/>
      <c r="AN3" s="52" t="s">
        <v>178</v>
      </c>
      <c r="AO3" s="85" t="s">
        <v>177</v>
      </c>
      <c r="AP3" s="85"/>
      <c r="AQ3" s="52" t="s">
        <v>178</v>
      </c>
      <c r="AR3" s="85" t="s">
        <v>177</v>
      </c>
      <c r="AS3" s="85"/>
    </row>
    <row r="4" spans="1:45" s="4" customFormat="1" ht="15.75" customHeight="1">
      <c r="A4" s="63"/>
      <c r="B4" s="64"/>
      <c r="C4" s="64"/>
      <c r="D4" s="19" t="s">
        <v>25</v>
      </c>
      <c r="E4" s="19" t="s">
        <v>26</v>
      </c>
      <c r="F4" s="19" t="s">
        <v>27</v>
      </c>
      <c r="G4" s="19" t="s">
        <v>28</v>
      </c>
      <c r="H4" s="19" t="s">
        <v>29</v>
      </c>
      <c r="J4" s="71"/>
      <c r="K4" s="72"/>
      <c r="L4" s="72"/>
      <c r="M4" s="72"/>
      <c r="N4" s="39" t="s">
        <v>25</v>
      </c>
      <c r="O4" s="39" t="s">
        <v>26</v>
      </c>
      <c r="P4" s="39" t="s">
        <v>27</v>
      </c>
      <c r="Q4" s="39" t="s">
        <v>28</v>
      </c>
      <c r="R4" s="39" t="s">
        <v>29</v>
      </c>
      <c r="T4" s="90"/>
      <c r="U4" s="91"/>
      <c r="V4" s="91"/>
      <c r="W4" s="91"/>
      <c r="X4" s="91"/>
      <c r="Y4" s="40" t="s">
        <v>25</v>
      </c>
      <c r="Z4" s="40" t="s">
        <v>26</v>
      </c>
      <c r="AA4" s="40" t="s">
        <v>27</v>
      </c>
      <c r="AB4" s="40" t="s">
        <v>28</v>
      </c>
      <c r="AC4" s="40" t="s">
        <v>29</v>
      </c>
      <c r="AE4" s="48"/>
      <c r="AF4" s="48" t="s">
        <v>0</v>
      </c>
      <c r="AG4" s="48" t="s">
        <v>1</v>
      </c>
      <c r="AH4" s="48"/>
      <c r="AI4" s="48" t="s">
        <v>0</v>
      </c>
      <c r="AJ4" s="48" t="s">
        <v>1</v>
      </c>
      <c r="AK4" s="48" t="s">
        <v>2</v>
      </c>
      <c r="AL4" s="48" t="s">
        <v>0</v>
      </c>
      <c r="AM4" s="48" t="s">
        <v>1</v>
      </c>
      <c r="AN4" s="49" t="s">
        <v>2</v>
      </c>
      <c r="AO4" s="49" t="s">
        <v>0</v>
      </c>
      <c r="AP4" s="49" t="s">
        <v>1</v>
      </c>
      <c r="AQ4" s="48" t="s">
        <v>2</v>
      </c>
      <c r="AR4" s="48" t="s">
        <v>0</v>
      </c>
      <c r="AS4" s="48" t="s">
        <v>1</v>
      </c>
    </row>
    <row r="5" spans="1:45">
      <c r="A5" s="24">
        <v>1</v>
      </c>
      <c r="B5" s="19" t="s">
        <v>30</v>
      </c>
      <c r="C5" s="19" t="s">
        <v>32</v>
      </c>
      <c r="D5" s="11">
        <v>284</v>
      </c>
      <c r="E5" s="9">
        <v>266</v>
      </c>
      <c r="F5" s="9">
        <v>272</v>
      </c>
      <c r="G5" s="9">
        <v>340</v>
      </c>
      <c r="H5" s="9">
        <v>311</v>
      </c>
      <c r="J5" s="21">
        <v>1</v>
      </c>
      <c r="K5" s="39" t="s">
        <v>30</v>
      </c>
      <c r="L5" s="39" t="s">
        <v>35</v>
      </c>
      <c r="M5" s="39" t="s">
        <v>38</v>
      </c>
      <c r="N5" s="9">
        <v>62.415228711347638</v>
      </c>
      <c r="O5" s="9">
        <v>22.390594303306155</v>
      </c>
      <c r="P5" s="9">
        <v>62.824359723205966</v>
      </c>
      <c r="Q5" s="9">
        <v>65.942650549988272</v>
      </c>
      <c r="R5" s="9">
        <v>69.274441134439471</v>
      </c>
      <c r="T5" s="23">
        <v>1</v>
      </c>
      <c r="U5" s="40" t="s">
        <v>30</v>
      </c>
      <c r="V5" s="40" t="s">
        <v>35</v>
      </c>
      <c r="W5" s="40" t="s">
        <v>32</v>
      </c>
      <c r="X5" s="40" t="s">
        <v>38</v>
      </c>
      <c r="Y5" s="11">
        <v>36352</v>
      </c>
      <c r="Z5" s="9">
        <v>146566</v>
      </c>
      <c r="AA5" s="9">
        <v>31280</v>
      </c>
      <c r="AB5" s="9">
        <v>42500</v>
      </c>
      <c r="AC5" s="9">
        <v>30478</v>
      </c>
      <c r="AE5" s="48" t="s">
        <v>3</v>
      </c>
      <c r="AF5" s="29">
        <v>600</v>
      </c>
      <c r="AG5" s="29">
        <v>533</v>
      </c>
      <c r="AH5" s="48" t="s">
        <v>3</v>
      </c>
      <c r="AI5" s="29">
        <v>600</v>
      </c>
      <c r="AJ5" s="29">
        <v>517</v>
      </c>
      <c r="AK5" s="48" t="s">
        <v>3</v>
      </c>
      <c r="AL5" s="29">
        <v>600</v>
      </c>
      <c r="AM5" s="29">
        <v>527</v>
      </c>
      <c r="AN5" s="48" t="s">
        <v>3</v>
      </c>
      <c r="AO5" s="29">
        <v>600</v>
      </c>
      <c r="AP5" s="29">
        <v>461</v>
      </c>
      <c r="AQ5" s="48" t="s">
        <v>3</v>
      </c>
      <c r="AR5" s="29">
        <v>600</v>
      </c>
      <c r="AS5" s="29">
        <v>491</v>
      </c>
    </row>
    <row r="6" spans="1:45">
      <c r="A6" s="24">
        <v>2</v>
      </c>
      <c r="B6" s="19" t="s">
        <v>30</v>
      </c>
      <c r="C6" s="19" t="s">
        <v>33</v>
      </c>
      <c r="D6" s="11">
        <v>406</v>
      </c>
      <c r="E6" s="9">
        <v>385</v>
      </c>
      <c r="F6" s="9">
        <v>402</v>
      </c>
      <c r="G6" s="9">
        <v>469</v>
      </c>
      <c r="H6" s="9">
        <v>426</v>
      </c>
      <c r="J6" s="21">
        <v>2</v>
      </c>
      <c r="K6" s="39" t="s">
        <v>30</v>
      </c>
      <c r="L6" s="39" t="s">
        <v>41</v>
      </c>
      <c r="M6" s="39" t="s">
        <v>34</v>
      </c>
      <c r="N6" s="9">
        <v>74.664263769377882</v>
      </c>
      <c r="O6" s="9">
        <v>97.852919846386712</v>
      </c>
      <c r="P6" s="9">
        <v>78.143993628440839</v>
      </c>
      <c r="Q6" s="9">
        <v>100.79069614060326</v>
      </c>
      <c r="R6" s="9">
        <v>91.759494679190198</v>
      </c>
      <c r="T6" s="23">
        <v>2</v>
      </c>
      <c r="U6" s="40" t="s">
        <v>30</v>
      </c>
      <c r="V6" s="40" t="s">
        <v>41</v>
      </c>
      <c r="W6" s="40" t="s">
        <v>34</v>
      </c>
      <c r="X6" s="40" t="s">
        <v>42</v>
      </c>
      <c r="Y6" s="11">
        <v>251036</v>
      </c>
      <c r="Z6" s="9">
        <v>182325</v>
      </c>
      <c r="AA6" s="9">
        <v>245528</v>
      </c>
      <c r="AB6" s="9">
        <v>202039</v>
      </c>
      <c r="AC6" s="9">
        <v>225303</v>
      </c>
      <c r="AE6" s="48" t="s">
        <v>4</v>
      </c>
      <c r="AF6" s="29">
        <v>472</v>
      </c>
      <c r="AG6" s="29">
        <v>778</v>
      </c>
      <c r="AH6" s="48" t="s">
        <v>4</v>
      </c>
      <c r="AI6" s="29">
        <v>49</v>
      </c>
      <c r="AJ6" s="29">
        <v>744</v>
      </c>
      <c r="AK6" s="48" t="s">
        <v>4</v>
      </c>
      <c r="AL6" s="29">
        <v>485</v>
      </c>
      <c r="AM6" s="29">
        <v>751</v>
      </c>
      <c r="AN6" s="48" t="s">
        <v>4</v>
      </c>
      <c r="AO6" s="29">
        <v>475</v>
      </c>
      <c r="AP6" s="29">
        <v>741</v>
      </c>
      <c r="AQ6" s="48" t="s">
        <v>4</v>
      </c>
      <c r="AR6" s="29">
        <v>502</v>
      </c>
      <c r="AS6" s="29">
        <v>750</v>
      </c>
    </row>
    <row r="7" spans="1:45">
      <c r="A7" s="24">
        <v>3</v>
      </c>
      <c r="B7" s="19" t="s">
        <v>30</v>
      </c>
      <c r="C7" s="19" t="s">
        <v>34</v>
      </c>
      <c r="D7" s="11">
        <v>647</v>
      </c>
      <c r="E7" s="9">
        <v>663</v>
      </c>
      <c r="F7" s="9">
        <v>653</v>
      </c>
      <c r="G7" s="9">
        <v>719</v>
      </c>
      <c r="H7" s="9">
        <v>689</v>
      </c>
      <c r="J7" s="21">
        <v>3</v>
      </c>
      <c r="K7" s="39" t="s">
        <v>30</v>
      </c>
      <c r="L7" s="39" t="s">
        <v>44</v>
      </c>
      <c r="M7" s="39" t="s">
        <v>32</v>
      </c>
      <c r="N7" s="9">
        <v>33.215985298629469</v>
      </c>
      <c r="O7" s="9">
        <v>43.381564823252944</v>
      </c>
      <c r="P7" s="9">
        <v>31.914750891964211</v>
      </c>
      <c r="Q7" s="9">
        <v>55.727605876453019</v>
      </c>
      <c r="R7" s="9">
        <v>43.271969183182883</v>
      </c>
      <c r="T7" s="23">
        <v>3</v>
      </c>
      <c r="U7" s="40" t="s">
        <v>41</v>
      </c>
      <c r="V7" s="40" t="s">
        <v>39</v>
      </c>
      <c r="W7" s="40" t="s">
        <v>34</v>
      </c>
      <c r="X7" s="40" t="s">
        <v>42</v>
      </c>
      <c r="Y7" s="11">
        <v>75784</v>
      </c>
      <c r="Z7" s="9">
        <v>68781.5</v>
      </c>
      <c r="AA7" s="9">
        <v>77413.5</v>
      </c>
      <c r="AB7" s="9">
        <v>134035.5</v>
      </c>
      <c r="AC7" s="9">
        <v>97971</v>
      </c>
      <c r="AE7" s="48" t="s">
        <v>5</v>
      </c>
      <c r="AF7" s="29">
        <v>600</v>
      </c>
      <c r="AG7" s="29">
        <v>817</v>
      </c>
      <c r="AH7" s="48" t="s">
        <v>5</v>
      </c>
      <c r="AI7" s="29">
        <v>600</v>
      </c>
      <c r="AJ7" s="29">
        <v>783</v>
      </c>
      <c r="AK7" s="48" t="s">
        <v>5</v>
      </c>
      <c r="AL7" s="29">
        <v>600</v>
      </c>
      <c r="AM7" s="29">
        <v>799</v>
      </c>
      <c r="AN7" s="48" t="s">
        <v>5</v>
      </c>
      <c r="AO7" s="29">
        <v>600</v>
      </c>
      <c r="AP7" s="29">
        <v>801</v>
      </c>
      <c r="AQ7" s="48" t="s">
        <v>5</v>
      </c>
      <c r="AR7" s="29">
        <v>600</v>
      </c>
      <c r="AS7" s="29">
        <v>802</v>
      </c>
    </row>
    <row r="8" spans="1:45" ht="15.75" customHeight="1">
      <c r="A8" s="24">
        <v>4</v>
      </c>
      <c r="B8" s="19" t="s">
        <v>35</v>
      </c>
      <c r="C8" s="19" t="s">
        <v>38</v>
      </c>
      <c r="D8" s="11">
        <v>256</v>
      </c>
      <c r="E8" s="9">
        <v>1102</v>
      </c>
      <c r="F8" s="9">
        <v>230</v>
      </c>
      <c r="G8" s="9">
        <v>250</v>
      </c>
      <c r="H8" s="9">
        <v>196</v>
      </c>
      <c r="J8" s="21">
        <v>4</v>
      </c>
      <c r="K8" s="39" t="s">
        <v>35</v>
      </c>
      <c r="L8" s="39" t="s">
        <v>32</v>
      </c>
      <c r="M8" s="39" t="s">
        <v>38</v>
      </c>
      <c r="N8" s="9">
        <v>146.10935324524169</v>
      </c>
      <c r="O8" s="9">
        <v>171.90266786088057</v>
      </c>
      <c r="P8" s="9">
        <v>134.68953458264042</v>
      </c>
      <c r="Q8" s="9">
        <v>128.71798835138941</v>
      </c>
      <c r="R8" s="9">
        <v>124.09806194421962</v>
      </c>
      <c r="T8" s="23">
        <v>4</v>
      </c>
      <c r="U8" s="40" t="s">
        <v>46</v>
      </c>
      <c r="V8" s="40" t="s">
        <v>43</v>
      </c>
      <c r="W8" s="40" t="s">
        <v>33</v>
      </c>
      <c r="X8" s="40" t="s">
        <v>47</v>
      </c>
      <c r="Y8" s="11">
        <v>542133</v>
      </c>
      <c r="Z8" s="9">
        <v>353331</v>
      </c>
      <c r="AA8" s="9">
        <v>488780.5</v>
      </c>
      <c r="AB8" s="9">
        <v>337700.5</v>
      </c>
      <c r="AC8" s="9">
        <v>386242</v>
      </c>
      <c r="AE8" s="48" t="s">
        <v>6</v>
      </c>
      <c r="AF8" s="29">
        <f>AF7+(AF7-AF6)</f>
        <v>728</v>
      </c>
      <c r="AG8" s="29">
        <f>AG6</f>
        <v>778</v>
      </c>
      <c r="AH8" s="48" t="s">
        <v>6</v>
      </c>
      <c r="AI8" s="29">
        <f>AI7+(AI7-AI6)</f>
        <v>1151</v>
      </c>
      <c r="AJ8" s="29">
        <f>AJ6</f>
        <v>744</v>
      </c>
      <c r="AK8" s="48" t="s">
        <v>6</v>
      </c>
      <c r="AL8" s="29">
        <f t="shared" ref="AL8" si="0">AL7+(AL7-AL6)</f>
        <v>715</v>
      </c>
      <c r="AM8" s="29">
        <f t="shared" ref="AM8" si="1">AM6</f>
        <v>751</v>
      </c>
      <c r="AN8" s="48" t="s">
        <v>6</v>
      </c>
      <c r="AO8" s="29">
        <f t="shared" ref="AO8" si="2">AO7+(AO7-AO6)</f>
        <v>725</v>
      </c>
      <c r="AP8" s="29">
        <f t="shared" ref="AP8" si="3">AP6</f>
        <v>741</v>
      </c>
      <c r="AQ8" s="48" t="s">
        <v>6</v>
      </c>
      <c r="AR8" s="29">
        <f t="shared" ref="AR8" si="4">AR7+(AR7-AR6)</f>
        <v>698</v>
      </c>
      <c r="AS8" s="29">
        <f t="shared" ref="AS8" si="5">AS6</f>
        <v>750</v>
      </c>
    </row>
    <row r="9" spans="1:45" ht="15.75" customHeight="1">
      <c r="A9" s="24">
        <v>5</v>
      </c>
      <c r="B9" s="19" t="s">
        <v>32</v>
      </c>
      <c r="C9" s="19" t="s">
        <v>33</v>
      </c>
      <c r="D9" s="11">
        <v>122</v>
      </c>
      <c r="E9" s="9">
        <v>119</v>
      </c>
      <c r="F9" s="9">
        <v>130</v>
      </c>
      <c r="G9" s="9">
        <v>129</v>
      </c>
      <c r="H9" s="9">
        <v>115</v>
      </c>
      <c r="J9" s="21">
        <v>5</v>
      </c>
      <c r="K9" s="39" t="s">
        <v>39</v>
      </c>
      <c r="L9" s="39" t="s">
        <v>34</v>
      </c>
      <c r="M9" s="39" t="s">
        <v>40</v>
      </c>
      <c r="N9" s="9">
        <v>173.37811697077711</v>
      </c>
      <c r="O9" s="9">
        <v>125.22515568584767</v>
      </c>
      <c r="P9" s="9">
        <v>142.7686159853379</v>
      </c>
      <c r="Q9" s="9">
        <v>174.63914096358789</v>
      </c>
      <c r="R9" s="9">
        <v>145.36212313697052</v>
      </c>
      <c r="T9" s="23">
        <v>5</v>
      </c>
      <c r="U9" s="40" t="s">
        <v>48</v>
      </c>
      <c r="V9" s="40" t="s">
        <v>43</v>
      </c>
      <c r="W9" s="40" t="s">
        <v>34</v>
      </c>
      <c r="X9" s="40" t="s">
        <v>44</v>
      </c>
      <c r="Y9" s="11">
        <v>482205</v>
      </c>
      <c r="Z9" s="9">
        <v>339327</v>
      </c>
      <c r="AA9" s="9">
        <v>540288</v>
      </c>
      <c r="AB9" s="9">
        <v>301080</v>
      </c>
      <c r="AC9" s="9">
        <v>404802</v>
      </c>
      <c r="AE9" s="48" t="s">
        <v>77</v>
      </c>
      <c r="AF9" s="29">
        <v>600</v>
      </c>
      <c r="AG9" s="29">
        <v>939</v>
      </c>
      <c r="AH9" s="48" t="s">
        <v>77</v>
      </c>
      <c r="AI9" s="29">
        <v>600</v>
      </c>
      <c r="AJ9" s="29">
        <v>902</v>
      </c>
      <c r="AK9" s="48" t="s">
        <v>77</v>
      </c>
      <c r="AL9" s="29">
        <v>600</v>
      </c>
      <c r="AM9" s="29">
        <v>929</v>
      </c>
      <c r="AN9" s="48" t="s">
        <v>77</v>
      </c>
      <c r="AO9" s="29">
        <v>600</v>
      </c>
      <c r="AP9" s="29">
        <v>930</v>
      </c>
      <c r="AQ9" s="48" t="s">
        <v>77</v>
      </c>
      <c r="AR9" s="29">
        <v>600</v>
      </c>
      <c r="AS9" s="29">
        <v>917</v>
      </c>
    </row>
    <row r="10" spans="1:45">
      <c r="A10" s="24">
        <v>6</v>
      </c>
      <c r="B10" s="19" t="s">
        <v>32</v>
      </c>
      <c r="C10" s="19" t="s">
        <v>34</v>
      </c>
      <c r="D10" s="11">
        <v>363</v>
      </c>
      <c r="E10" s="9">
        <v>397</v>
      </c>
      <c r="F10" s="9">
        <v>381</v>
      </c>
      <c r="G10" s="9">
        <v>379</v>
      </c>
      <c r="H10" s="9">
        <v>378</v>
      </c>
      <c r="J10" s="21">
        <v>6</v>
      </c>
      <c r="K10" s="39" t="s">
        <v>40</v>
      </c>
      <c r="L10" s="39" t="s">
        <v>34</v>
      </c>
      <c r="M10" s="39" t="s">
        <v>62</v>
      </c>
      <c r="N10" s="9">
        <v>3.310941514611232</v>
      </c>
      <c r="O10" s="9">
        <v>27.38742215707617</v>
      </c>
      <c r="P10" s="9">
        <v>18.615692007331003</v>
      </c>
      <c r="Q10" s="9">
        <v>2.680429518206187</v>
      </c>
      <c r="R10" s="9">
        <v>17.31893843151466</v>
      </c>
      <c r="T10" s="23">
        <v>6</v>
      </c>
      <c r="U10" s="40" t="s">
        <v>52</v>
      </c>
      <c r="V10" s="40" t="s">
        <v>51</v>
      </c>
      <c r="W10" s="40" t="s">
        <v>54</v>
      </c>
      <c r="X10" s="40" t="s">
        <v>50</v>
      </c>
      <c r="Y10" s="11">
        <v>5904</v>
      </c>
      <c r="Z10" s="9">
        <v>4167</v>
      </c>
      <c r="AA10" s="9">
        <v>4458</v>
      </c>
      <c r="AB10" s="9">
        <v>2208</v>
      </c>
      <c r="AC10" s="9">
        <v>3175</v>
      </c>
      <c r="AE10" s="48" t="s">
        <v>8</v>
      </c>
      <c r="AF10" s="29">
        <v>479</v>
      </c>
      <c r="AG10" s="29">
        <v>1173</v>
      </c>
      <c r="AH10" s="48" t="s">
        <v>8</v>
      </c>
      <c r="AI10" s="29">
        <v>517</v>
      </c>
      <c r="AJ10" s="29">
        <v>1137</v>
      </c>
      <c r="AK10" s="48" t="s">
        <v>8</v>
      </c>
      <c r="AL10" s="29">
        <v>505</v>
      </c>
      <c r="AM10" s="29">
        <v>1148</v>
      </c>
      <c r="AN10" s="48" t="s">
        <v>8</v>
      </c>
      <c r="AO10" s="29">
        <v>66</v>
      </c>
      <c r="AP10" s="29">
        <v>1155</v>
      </c>
      <c r="AQ10" s="48" t="s">
        <v>8</v>
      </c>
      <c r="AR10" s="29">
        <v>507</v>
      </c>
      <c r="AS10" s="29">
        <v>1151</v>
      </c>
    </row>
    <row r="11" spans="1:45">
      <c r="A11" s="24">
        <v>7</v>
      </c>
      <c r="B11" s="19" t="s">
        <v>39</v>
      </c>
      <c r="C11" s="19" t="s">
        <v>40</v>
      </c>
      <c r="D11" s="11">
        <v>242</v>
      </c>
      <c r="E11" s="9">
        <v>166</v>
      </c>
      <c r="F11" s="9">
        <v>190</v>
      </c>
      <c r="G11" s="9">
        <v>1068</v>
      </c>
      <c r="H11" s="9">
        <v>186</v>
      </c>
      <c r="J11" s="21">
        <v>7</v>
      </c>
      <c r="K11" s="39" t="s">
        <v>41</v>
      </c>
      <c r="L11" s="39" t="s">
        <v>34</v>
      </c>
      <c r="M11" s="39" t="s">
        <v>62</v>
      </c>
      <c r="N11" s="9">
        <v>156.09233950582751</v>
      </c>
      <c r="O11" s="9">
        <v>139.36440677812084</v>
      </c>
      <c r="P11" s="9">
        <v>152.34833092868661</v>
      </c>
      <c r="Q11" s="9">
        <v>138.22754676884759</v>
      </c>
      <c r="R11" s="9">
        <v>139.93688293700947</v>
      </c>
      <c r="T11" s="23">
        <v>7</v>
      </c>
      <c r="U11" s="40" t="s">
        <v>76</v>
      </c>
      <c r="V11" s="40" t="s">
        <v>73</v>
      </c>
      <c r="W11" s="40" t="s">
        <v>75</v>
      </c>
      <c r="X11" s="40" t="s">
        <v>74</v>
      </c>
      <c r="Y11" s="11">
        <v>4341</v>
      </c>
      <c r="Z11" s="9">
        <v>4264.5</v>
      </c>
      <c r="AA11" s="9">
        <v>6621</v>
      </c>
      <c r="AB11" s="9">
        <v>3611</v>
      </c>
      <c r="AC11" s="9">
        <v>3940</v>
      </c>
      <c r="AE11" s="48" t="s">
        <v>9</v>
      </c>
      <c r="AF11" s="29">
        <v>600</v>
      </c>
      <c r="AG11" s="29">
        <v>1180</v>
      </c>
      <c r="AH11" s="48" t="s">
        <v>9</v>
      </c>
      <c r="AI11" s="29">
        <v>600</v>
      </c>
      <c r="AJ11" s="29">
        <v>1180</v>
      </c>
      <c r="AK11" s="48" t="s">
        <v>9</v>
      </c>
      <c r="AL11" s="29">
        <v>600</v>
      </c>
      <c r="AM11" s="29">
        <v>1180</v>
      </c>
      <c r="AN11" s="48" t="s">
        <v>9</v>
      </c>
      <c r="AO11" s="29">
        <v>600</v>
      </c>
      <c r="AP11" s="29">
        <v>1180</v>
      </c>
      <c r="AQ11" s="48" t="s">
        <v>9</v>
      </c>
      <c r="AR11" s="29">
        <v>600</v>
      </c>
      <c r="AS11" s="29">
        <v>1180</v>
      </c>
    </row>
    <row r="12" spans="1:45">
      <c r="A12" s="24">
        <v>8</v>
      </c>
      <c r="B12" s="19" t="s">
        <v>41</v>
      </c>
      <c r="C12" s="19" t="s">
        <v>42</v>
      </c>
      <c r="D12" s="11">
        <v>776</v>
      </c>
      <c r="E12" s="9">
        <v>550</v>
      </c>
      <c r="F12" s="9">
        <v>752</v>
      </c>
      <c r="G12" s="9">
        <v>562</v>
      </c>
      <c r="H12" s="9">
        <v>654</v>
      </c>
      <c r="J12" s="21">
        <v>8</v>
      </c>
      <c r="K12" s="39" t="s">
        <v>42</v>
      </c>
      <c r="L12" s="39" t="s">
        <v>34</v>
      </c>
      <c r="M12" s="39" t="s">
        <v>62</v>
      </c>
      <c r="N12" s="9">
        <v>23.907660494172486</v>
      </c>
      <c r="O12" s="9">
        <v>40.63559322187912</v>
      </c>
      <c r="P12" s="9">
        <v>27.6516690713134</v>
      </c>
      <c r="Q12" s="9">
        <v>41.772453231152433</v>
      </c>
      <c r="R12" s="9">
        <v>40.063117062990493</v>
      </c>
      <c r="T12" s="23">
        <v>8</v>
      </c>
      <c r="U12" s="40"/>
      <c r="V12" s="40"/>
      <c r="W12" s="40"/>
      <c r="X12" s="40"/>
      <c r="Y12" s="11"/>
      <c r="Z12" s="9"/>
      <c r="AA12" s="9"/>
      <c r="AB12" s="9"/>
      <c r="AC12" s="9"/>
      <c r="AE12" s="48" t="s">
        <v>10</v>
      </c>
      <c r="AF12" s="29">
        <f>AF11+(AF11-AF10)</f>
        <v>721</v>
      </c>
      <c r="AG12" s="29">
        <f>AG10</f>
        <v>1173</v>
      </c>
      <c r="AH12" s="48" t="s">
        <v>10</v>
      </c>
      <c r="AI12" s="29">
        <f>AI11+(AI11-AI10)</f>
        <v>683</v>
      </c>
      <c r="AJ12" s="29">
        <f>AJ10</f>
        <v>1137</v>
      </c>
      <c r="AK12" s="48" t="s">
        <v>10</v>
      </c>
      <c r="AL12" s="29">
        <f t="shared" ref="AL12" si="6">AL11+(AL11-AL10)</f>
        <v>695</v>
      </c>
      <c r="AM12" s="29">
        <f t="shared" ref="AM12" si="7">AM10</f>
        <v>1148</v>
      </c>
      <c r="AN12" s="48" t="s">
        <v>10</v>
      </c>
      <c r="AO12" s="29">
        <f t="shared" ref="AO12" si="8">AO11+(AO11-AO10)</f>
        <v>1134</v>
      </c>
      <c r="AP12" s="29">
        <f t="shared" ref="AP12" si="9">AP10</f>
        <v>1155</v>
      </c>
      <c r="AQ12" s="48" t="s">
        <v>10</v>
      </c>
      <c r="AR12" s="29">
        <f t="shared" ref="AR12" si="10">AR11+(AR11-AR10)</f>
        <v>693</v>
      </c>
      <c r="AS12" s="29">
        <f t="shared" ref="AS12" si="11">AS10</f>
        <v>1151</v>
      </c>
    </row>
    <row r="13" spans="1:45">
      <c r="A13" s="24">
        <v>9</v>
      </c>
      <c r="B13" s="19" t="s">
        <v>43</v>
      </c>
      <c r="C13" s="19" t="s">
        <v>44</v>
      </c>
      <c r="D13" s="11">
        <v>930</v>
      </c>
      <c r="E13" s="9">
        <v>666</v>
      </c>
      <c r="F13" s="9">
        <v>938</v>
      </c>
      <c r="G13" s="9">
        <v>624</v>
      </c>
      <c r="H13" s="9">
        <v>774</v>
      </c>
      <c r="J13" s="21">
        <v>9</v>
      </c>
      <c r="K13" s="39" t="s">
        <v>43</v>
      </c>
      <c r="L13" s="39" t="s">
        <v>41</v>
      </c>
      <c r="M13" s="39" t="s">
        <v>34</v>
      </c>
      <c r="N13" s="9">
        <v>130.52537396923216</v>
      </c>
      <c r="O13" s="9">
        <v>142.71591083863416</v>
      </c>
      <c r="P13" s="9">
        <v>137.19458926688134</v>
      </c>
      <c r="Q13" s="9">
        <v>139.25575013897497</v>
      </c>
      <c r="R13" s="9">
        <v>145.9367587377902</v>
      </c>
      <c r="T13" s="23">
        <v>9</v>
      </c>
      <c r="U13" s="40"/>
      <c r="V13" s="40"/>
      <c r="W13" s="40"/>
      <c r="X13" s="40"/>
      <c r="Y13" s="11"/>
      <c r="Z13" s="9"/>
      <c r="AA13" s="9"/>
      <c r="AB13" s="9"/>
      <c r="AC13" s="9"/>
      <c r="AE13" s="48" t="s">
        <v>11</v>
      </c>
      <c r="AF13" s="29">
        <v>212</v>
      </c>
      <c r="AG13" s="29">
        <v>1008</v>
      </c>
      <c r="AH13" s="48" t="s">
        <v>11</v>
      </c>
      <c r="AI13" s="29">
        <v>325</v>
      </c>
      <c r="AJ13" s="29">
        <v>944</v>
      </c>
      <c r="AK13" s="48" t="s">
        <v>11</v>
      </c>
      <c r="AL13" s="29">
        <v>224</v>
      </c>
      <c r="AM13" s="29">
        <v>983</v>
      </c>
      <c r="AN13" s="48" t="s">
        <v>11</v>
      </c>
      <c r="AO13" s="29">
        <v>319</v>
      </c>
      <c r="AP13" s="29">
        <v>929</v>
      </c>
      <c r="AQ13" s="48" t="s">
        <v>11</v>
      </c>
      <c r="AR13" s="29">
        <v>273</v>
      </c>
      <c r="AS13" s="29">
        <v>905</v>
      </c>
    </row>
    <row r="14" spans="1:45">
      <c r="A14" s="24">
        <v>10</v>
      </c>
      <c r="B14" s="19" t="s">
        <v>45</v>
      </c>
      <c r="C14" s="19" t="s">
        <v>43</v>
      </c>
      <c r="D14" s="11">
        <v>121.26417442921878</v>
      </c>
      <c r="E14" s="9">
        <v>81.498466243236749</v>
      </c>
      <c r="F14" s="9">
        <v>102.48902380255166</v>
      </c>
      <c r="G14" s="9">
        <v>67.029844099475568</v>
      </c>
      <c r="H14" s="9">
        <v>63.245553203367585</v>
      </c>
      <c r="J14" s="21">
        <v>10</v>
      </c>
      <c r="K14" s="39" t="s">
        <v>44</v>
      </c>
      <c r="L14" s="39" t="s">
        <v>32</v>
      </c>
      <c r="M14" s="39" t="s">
        <v>62</v>
      </c>
      <c r="N14" s="9">
        <v>40.239979767376248</v>
      </c>
      <c r="O14" s="9">
        <v>52.670923621518057</v>
      </c>
      <c r="P14" s="9">
        <v>42.743284046005975</v>
      </c>
      <c r="Q14" s="9">
        <v>52.256031227216866</v>
      </c>
      <c r="R14" s="9">
        <v>48.686069014016958</v>
      </c>
      <c r="T14" s="23">
        <v>10</v>
      </c>
      <c r="U14" s="40"/>
      <c r="V14" s="40"/>
      <c r="W14" s="40"/>
      <c r="X14" s="40"/>
      <c r="Y14" s="11"/>
      <c r="Z14" s="9"/>
      <c r="AA14" s="9"/>
      <c r="AB14" s="9"/>
      <c r="AC14" s="9"/>
      <c r="AE14" s="48" t="s">
        <v>12</v>
      </c>
      <c r="AF14" s="29">
        <f>600+(600-AF13)</f>
        <v>988</v>
      </c>
      <c r="AG14" s="29">
        <f>AG13</f>
        <v>1008</v>
      </c>
      <c r="AH14" s="48" t="s">
        <v>12</v>
      </c>
      <c r="AI14" s="29">
        <f>600+(600-AI13)</f>
        <v>875</v>
      </c>
      <c r="AJ14" s="29">
        <f>AJ13</f>
        <v>944</v>
      </c>
      <c r="AK14" s="48" t="s">
        <v>12</v>
      </c>
      <c r="AL14" s="29">
        <f t="shared" ref="AL14" si="12">600+(600-AL13)</f>
        <v>976</v>
      </c>
      <c r="AM14" s="29">
        <f t="shared" ref="AM14" si="13">AM13</f>
        <v>983</v>
      </c>
      <c r="AN14" s="48" t="s">
        <v>12</v>
      </c>
      <c r="AO14" s="29">
        <f t="shared" ref="AO14" si="14">600+(600-AO13)</f>
        <v>881</v>
      </c>
      <c r="AP14" s="29">
        <f t="shared" ref="AP14" si="15">AP13</f>
        <v>929</v>
      </c>
      <c r="AQ14" s="48" t="s">
        <v>12</v>
      </c>
      <c r="AR14" s="29">
        <f t="shared" ref="AR14" si="16">600+(600-AR13)</f>
        <v>927</v>
      </c>
      <c r="AS14" s="29">
        <f t="shared" ref="AS14" si="17">AS13</f>
        <v>905</v>
      </c>
    </row>
    <row r="15" spans="1:45">
      <c r="A15" s="24">
        <v>11</v>
      </c>
      <c r="B15" s="19" t="s">
        <v>46</v>
      </c>
      <c r="C15" s="19" t="s">
        <v>47</v>
      </c>
      <c r="D15" s="11">
        <v>912</v>
      </c>
      <c r="E15" s="9">
        <v>638</v>
      </c>
      <c r="F15" s="9">
        <v>830</v>
      </c>
      <c r="G15" s="9">
        <v>602</v>
      </c>
      <c r="H15" s="9">
        <v>704</v>
      </c>
      <c r="J15" s="21">
        <v>11</v>
      </c>
      <c r="K15" s="39" t="s">
        <v>44</v>
      </c>
      <c r="L15" s="39" t="s">
        <v>33</v>
      </c>
      <c r="M15" s="39" t="s">
        <v>62</v>
      </c>
      <c r="N15" s="9">
        <v>44.683089854975002</v>
      </c>
      <c r="O15" s="9">
        <v>60.124706760188502</v>
      </c>
      <c r="P15" s="9">
        <v>47.318097259492994</v>
      </c>
      <c r="Q15" s="9">
        <v>60.538571195840696</v>
      </c>
      <c r="R15" s="9">
        <v>54.343558245477169</v>
      </c>
      <c r="T15" s="23">
        <v>11</v>
      </c>
      <c r="U15" s="40"/>
      <c r="V15" s="40"/>
      <c r="W15" s="40"/>
      <c r="X15" s="40"/>
      <c r="Y15" s="11"/>
      <c r="Z15" s="9"/>
      <c r="AA15" s="9"/>
      <c r="AB15" s="9"/>
      <c r="AC15" s="9"/>
      <c r="AE15" s="48" t="s">
        <v>13</v>
      </c>
      <c r="AF15" s="29">
        <v>135</v>
      </c>
      <c r="AG15" s="29">
        <v>750</v>
      </c>
      <c r="AH15" s="48" t="s">
        <v>13</v>
      </c>
      <c r="AI15" s="29">
        <v>267</v>
      </c>
      <c r="AJ15" s="29">
        <v>673</v>
      </c>
      <c r="AK15" s="48" t="s">
        <v>13</v>
      </c>
      <c r="AL15" s="29">
        <v>131</v>
      </c>
      <c r="AM15" s="29">
        <v>721</v>
      </c>
      <c r="AN15" s="48" t="s">
        <v>13</v>
      </c>
      <c r="AO15" s="29">
        <v>288</v>
      </c>
      <c r="AP15" s="29">
        <v>693</v>
      </c>
      <c r="AQ15" s="48" t="s">
        <v>13</v>
      </c>
      <c r="AR15" s="29">
        <v>213</v>
      </c>
      <c r="AS15" s="29">
        <v>694</v>
      </c>
    </row>
    <row r="16" spans="1:45" ht="15.75" customHeight="1">
      <c r="A16" s="24">
        <v>12</v>
      </c>
      <c r="B16" s="19" t="s">
        <v>48</v>
      </c>
      <c r="C16" s="19" t="s">
        <v>30</v>
      </c>
      <c r="D16" s="11">
        <v>391.56736329781114</v>
      </c>
      <c r="E16" s="9">
        <v>356</v>
      </c>
      <c r="F16" s="9">
        <v>499</v>
      </c>
      <c r="G16" s="9">
        <v>246</v>
      </c>
      <c r="H16" s="9">
        <v>357.27440434489569</v>
      </c>
      <c r="J16" s="21">
        <v>12</v>
      </c>
      <c r="K16" s="39" t="s">
        <v>47</v>
      </c>
      <c r="L16" s="39" t="s">
        <v>30</v>
      </c>
      <c r="M16" s="39" t="s">
        <v>62</v>
      </c>
      <c r="N16" s="9">
        <v>92.361617976391571</v>
      </c>
      <c r="O16" s="9">
        <v>101.47084451875004</v>
      </c>
      <c r="P16" s="9">
        <v>93.525982318157176</v>
      </c>
      <c r="Q16" s="9">
        <v>100.24979465313173</v>
      </c>
      <c r="R16" s="9">
        <v>95.071647661980066</v>
      </c>
      <c r="T16" s="23">
        <v>12</v>
      </c>
      <c r="U16" s="40"/>
      <c r="V16" s="40"/>
      <c r="W16" s="40"/>
      <c r="X16" s="40"/>
      <c r="Y16" s="11"/>
      <c r="Z16" s="9"/>
      <c r="AA16" s="9"/>
      <c r="AB16" s="9"/>
      <c r="AC16" s="9"/>
      <c r="AE16" s="48" t="s">
        <v>14</v>
      </c>
      <c r="AF16" s="29">
        <f>600+(600-AF15)</f>
        <v>1065</v>
      </c>
      <c r="AG16" s="29">
        <f>AG15</f>
        <v>750</v>
      </c>
      <c r="AH16" s="48" t="s">
        <v>14</v>
      </c>
      <c r="AI16" s="29">
        <f>600+(600-AI15)</f>
        <v>933</v>
      </c>
      <c r="AJ16" s="29">
        <f>AJ15</f>
        <v>673</v>
      </c>
      <c r="AK16" s="48" t="s">
        <v>14</v>
      </c>
      <c r="AL16" s="29">
        <f t="shared" ref="AL16" si="18">600+(600-AL15)</f>
        <v>1069</v>
      </c>
      <c r="AM16" s="29">
        <f t="shared" ref="AM16" si="19">AM15</f>
        <v>721</v>
      </c>
      <c r="AN16" s="48" t="s">
        <v>14</v>
      </c>
      <c r="AO16" s="29">
        <f t="shared" ref="AO16" si="20">600+(600-AO15)</f>
        <v>912</v>
      </c>
      <c r="AP16" s="29">
        <f t="shared" ref="AP16" si="21">AP15</f>
        <v>693</v>
      </c>
      <c r="AQ16" s="48" t="s">
        <v>14</v>
      </c>
      <c r="AR16" s="29">
        <f t="shared" ref="AR16" si="22">600+(600-AR15)</f>
        <v>987</v>
      </c>
      <c r="AS16" s="29">
        <f t="shared" ref="AS16" si="23">AS15</f>
        <v>694</v>
      </c>
    </row>
    <row r="17" spans="1:45" ht="15.75" customHeight="1">
      <c r="A17" s="24">
        <v>13</v>
      </c>
      <c r="B17" s="19" t="s">
        <v>48</v>
      </c>
      <c r="C17" s="19" t="s">
        <v>32</v>
      </c>
      <c r="D17" s="11">
        <v>674.90814189784373</v>
      </c>
      <c r="E17" s="9">
        <v>622</v>
      </c>
      <c r="F17" s="9">
        <v>771</v>
      </c>
      <c r="G17" s="9">
        <v>586</v>
      </c>
      <c r="H17" s="9">
        <v>668.1466904804663</v>
      </c>
      <c r="J17" s="21">
        <v>13</v>
      </c>
      <c r="K17" s="39" t="s">
        <v>47</v>
      </c>
      <c r="L17" s="39" t="s">
        <v>48</v>
      </c>
      <c r="M17" s="39" t="s">
        <v>62</v>
      </c>
      <c r="N17" s="9">
        <v>65.605792973321414</v>
      </c>
      <c r="O17" s="9">
        <v>71.350829903240367</v>
      </c>
      <c r="P17" s="9">
        <v>52.098895900073757</v>
      </c>
      <c r="Q17" s="9">
        <v>77.7126062733563</v>
      </c>
      <c r="R17" s="9">
        <v>59.939099303317512</v>
      </c>
      <c r="T17" s="23">
        <v>13</v>
      </c>
      <c r="U17" s="40"/>
      <c r="V17" s="40"/>
      <c r="W17" s="40"/>
      <c r="X17" s="40"/>
      <c r="Y17" s="11"/>
      <c r="Z17" s="9"/>
      <c r="AA17" s="9"/>
      <c r="AB17" s="9"/>
      <c r="AC17" s="9"/>
      <c r="AE17" s="48" t="s">
        <v>15</v>
      </c>
      <c r="AF17" s="29">
        <v>14</v>
      </c>
      <c r="AG17" s="29">
        <v>742</v>
      </c>
      <c r="AH17" s="48" t="s">
        <v>15</v>
      </c>
      <c r="AI17" s="29">
        <v>186</v>
      </c>
      <c r="AJ17" s="29">
        <v>682</v>
      </c>
      <c r="AK17" s="48" t="s">
        <v>15</v>
      </c>
      <c r="AL17" s="29">
        <v>33</v>
      </c>
      <c r="AM17" s="29">
        <v>751</v>
      </c>
      <c r="AN17" s="48" t="s">
        <v>15</v>
      </c>
      <c r="AO17" s="29">
        <v>221</v>
      </c>
      <c r="AP17" s="29">
        <v>691</v>
      </c>
      <c r="AQ17" s="48" t="s">
        <v>15</v>
      </c>
      <c r="AR17" s="29">
        <v>153</v>
      </c>
      <c r="AS17" s="29">
        <v>674</v>
      </c>
    </row>
    <row r="18" spans="1:45">
      <c r="A18" s="24">
        <v>14</v>
      </c>
      <c r="B18" s="19" t="s">
        <v>48</v>
      </c>
      <c r="C18" s="19" t="s">
        <v>33</v>
      </c>
      <c r="D18" s="11">
        <v>796.76910080650089</v>
      </c>
      <c r="E18" s="9">
        <v>741</v>
      </c>
      <c r="F18" s="9">
        <v>901</v>
      </c>
      <c r="G18" s="9">
        <v>715</v>
      </c>
      <c r="H18" s="9">
        <v>783.12514964084767</v>
      </c>
      <c r="J18" s="21">
        <v>14</v>
      </c>
      <c r="K18" s="44" t="s">
        <v>48</v>
      </c>
      <c r="L18" s="44" t="s">
        <v>78</v>
      </c>
      <c r="M18" s="44" t="s">
        <v>79</v>
      </c>
      <c r="N18" s="11">
        <v>61.120716023849589</v>
      </c>
      <c r="O18" s="9">
        <v>51.092902591285004</v>
      </c>
      <c r="P18" s="9">
        <v>54.29486409165299</v>
      </c>
      <c r="Q18" s="9">
        <v>43.071768286777015</v>
      </c>
      <c r="R18" s="9">
        <v>45.487792370922676</v>
      </c>
      <c r="T18" s="23">
        <v>14</v>
      </c>
      <c r="U18" s="40"/>
      <c r="V18" s="40"/>
      <c r="W18" s="40"/>
      <c r="X18" s="40"/>
      <c r="Y18" s="11"/>
      <c r="Z18" s="9"/>
      <c r="AA18" s="9"/>
      <c r="AB18" s="9"/>
      <c r="AC18" s="9"/>
      <c r="AE18" s="48" t="s">
        <v>16</v>
      </c>
      <c r="AF18" s="29">
        <f>600+(600-AF17)</f>
        <v>1186</v>
      </c>
      <c r="AG18" s="29">
        <f>AG17</f>
        <v>742</v>
      </c>
      <c r="AH18" s="48" t="s">
        <v>16</v>
      </c>
      <c r="AI18" s="29">
        <f>600+(600-AI17)</f>
        <v>1014</v>
      </c>
      <c r="AJ18" s="29">
        <f>AJ17</f>
        <v>682</v>
      </c>
      <c r="AK18" s="48" t="s">
        <v>16</v>
      </c>
      <c r="AL18" s="29">
        <f t="shared" ref="AL18" si="24">600+(600-AL17)</f>
        <v>1167</v>
      </c>
      <c r="AM18" s="29">
        <f t="shared" ref="AM18" si="25">AM17</f>
        <v>751</v>
      </c>
      <c r="AN18" s="48" t="s">
        <v>16</v>
      </c>
      <c r="AO18" s="29">
        <f t="shared" ref="AO18" si="26">600+(600-AO17)</f>
        <v>979</v>
      </c>
      <c r="AP18" s="29">
        <f t="shared" ref="AP18" si="27">AP17</f>
        <v>691</v>
      </c>
      <c r="AQ18" s="48" t="s">
        <v>16</v>
      </c>
      <c r="AR18" s="29">
        <f t="shared" ref="AR18" si="28">600+(600-AR17)</f>
        <v>1047</v>
      </c>
      <c r="AS18" s="29">
        <f t="shared" ref="AS18" si="29">AS17</f>
        <v>674</v>
      </c>
    </row>
    <row r="19" spans="1:45">
      <c r="A19" s="24">
        <v>15</v>
      </c>
      <c r="B19" s="19" t="s">
        <v>48</v>
      </c>
      <c r="C19" s="19" t="s">
        <v>34</v>
      </c>
      <c r="D19" s="11">
        <v>1037.5904779825228</v>
      </c>
      <c r="E19" s="9">
        <v>1019</v>
      </c>
      <c r="F19" s="9">
        <v>1152</v>
      </c>
      <c r="G19" s="9">
        <v>965</v>
      </c>
      <c r="H19" s="9">
        <v>1046.0936860530228</v>
      </c>
      <c r="J19" s="21">
        <v>15</v>
      </c>
      <c r="K19" s="44" t="s">
        <v>80</v>
      </c>
      <c r="L19" s="44" t="s">
        <v>78</v>
      </c>
      <c r="M19" s="44" t="s">
        <v>79</v>
      </c>
      <c r="N19" s="11">
        <v>19.325329728651017</v>
      </c>
      <c r="O19" s="9">
        <v>24.70321805040205</v>
      </c>
      <c r="P19" s="9">
        <v>25.669877466866922</v>
      </c>
      <c r="Q19" s="9">
        <v>21.270358800425189</v>
      </c>
      <c r="R19" s="9">
        <v>20.057833606969833</v>
      </c>
      <c r="T19" s="23">
        <v>15</v>
      </c>
      <c r="U19" s="40"/>
      <c r="V19" s="40"/>
      <c r="W19" s="40"/>
      <c r="X19" s="40"/>
      <c r="Y19" s="11"/>
      <c r="Z19" s="9"/>
      <c r="AA19" s="9"/>
      <c r="AB19" s="9"/>
      <c r="AC19" s="9"/>
      <c r="AE19" s="48" t="s">
        <v>17</v>
      </c>
      <c r="AF19" s="29">
        <v>144</v>
      </c>
      <c r="AG19" s="29">
        <v>89</v>
      </c>
      <c r="AH19" s="48" t="s">
        <v>17</v>
      </c>
      <c r="AI19" s="29">
        <v>281</v>
      </c>
      <c r="AJ19" s="29">
        <v>99</v>
      </c>
      <c r="AK19" s="48" t="s">
        <v>17</v>
      </c>
      <c r="AL19" s="29">
        <v>185</v>
      </c>
      <c r="AM19" s="29">
        <v>110</v>
      </c>
      <c r="AN19" s="48" t="s">
        <v>17</v>
      </c>
      <c r="AO19" s="29">
        <v>299</v>
      </c>
      <c r="AP19" s="29">
        <v>113</v>
      </c>
      <c r="AQ19" s="48" t="s">
        <v>17</v>
      </c>
      <c r="AR19" s="29">
        <v>248</v>
      </c>
      <c r="AS19" s="29">
        <v>137</v>
      </c>
    </row>
    <row r="20" spans="1:45">
      <c r="A20" s="24">
        <v>16</v>
      </c>
      <c r="B20" s="19" t="s">
        <v>50</v>
      </c>
      <c r="C20" s="19" t="s">
        <v>51</v>
      </c>
      <c r="D20" s="11">
        <v>60.29925372672534</v>
      </c>
      <c r="E20" s="9">
        <v>51.195702944680818</v>
      </c>
      <c r="F20" s="9">
        <v>65.620118866091673</v>
      </c>
      <c r="G20" s="9">
        <v>34.014702703389901</v>
      </c>
      <c r="H20" s="9">
        <v>41.303752856126764</v>
      </c>
      <c r="I20" s="3"/>
      <c r="J20" s="21">
        <v>16</v>
      </c>
      <c r="K20" s="44" t="s">
        <v>48</v>
      </c>
      <c r="L20" s="44" t="s">
        <v>81</v>
      </c>
      <c r="M20" s="44" t="s">
        <v>79</v>
      </c>
      <c r="N20" s="11">
        <v>99.434394457532733</v>
      </c>
      <c r="O20" s="9">
        <v>108.30047230085555</v>
      </c>
      <c r="P20" s="9">
        <v>96.270832427158822</v>
      </c>
      <c r="Q20" s="9">
        <v>111.25886135204141</v>
      </c>
      <c r="R20" s="9">
        <v>105.16495546519889</v>
      </c>
      <c r="T20" s="23">
        <v>16</v>
      </c>
      <c r="U20" s="40"/>
      <c r="V20" s="40"/>
      <c r="W20" s="40"/>
      <c r="X20" s="40"/>
      <c r="Y20" s="11"/>
      <c r="Z20" s="9"/>
      <c r="AA20" s="9"/>
      <c r="AB20" s="9"/>
      <c r="AC20" s="9"/>
      <c r="AE20" s="48" t="s">
        <v>18</v>
      </c>
      <c r="AF20" s="29">
        <v>565</v>
      </c>
      <c r="AG20" s="29">
        <v>143</v>
      </c>
      <c r="AH20" s="48" t="s">
        <v>18</v>
      </c>
      <c r="AI20" s="29">
        <v>600</v>
      </c>
      <c r="AJ20" s="29">
        <v>161</v>
      </c>
      <c r="AK20" s="48" t="s">
        <v>18</v>
      </c>
      <c r="AL20" s="29">
        <v>600</v>
      </c>
      <c r="AM20" s="29">
        <v>28</v>
      </c>
      <c r="AN20" s="48" t="s">
        <v>18</v>
      </c>
      <c r="AO20" s="29">
        <v>600</v>
      </c>
      <c r="AP20" s="29">
        <v>215</v>
      </c>
      <c r="AQ20" s="48" t="s">
        <v>18</v>
      </c>
      <c r="AR20" s="29">
        <v>586</v>
      </c>
      <c r="AS20" s="29">
        <v>134</v>
      </c>
    </row>
    <row r="21" spans="1:45">
      <c r="A21" s="24">
        <v>17</v>
      </c>
      <c r="B21" s="19" t="s">
        <v>65</v>
      </c>
      <c r="C21" s="19" t="s">
        <v>66</v>
      </c>
      <c r="D21" s="11">
        <v>241</v>
      </c>
      <c r="E21" s="9">
        <v>278</v>
      </c>
      <c r="F21" s="9">
        <v>251</v>
      </c>
      <c r="G21" s="9">
        <v>250</v>
      </c>
      <c r="H21" s="9">
        <v>263</v>
      </c>
      <c r="I21" s="3"/>
      <c r="J21" s="21">
        <v>17</v>
      </c>
      <c r="K21" s="44" t="s">
        <v>80</v>
      </c>
      <c r="L21" s="44" t="s">
        <v>81</v>
      </c>
      <c r="M21" s="44" t="s">
        <v>79</v>
      </c>
      <c r="N21" s="11">
        <v>25.874773979212915</v>
      </c>
      <c r="O21" s="9">
        <v>26.719184719336418</v>
      </c>
      <c r="P21" s="9">
        <v>25.4578453399624</v>
      </c>
      <c r="Q21" s="9">
        <v>24.839464328079405</v>
      </c>
      <c r="R21" s="9">
        <v>26.040142916189687</v>
      </c>
      <c r="T21" s="23">
        <v>17</v>
      </c>
      <c r="U21" s="40"/>
      <c r="V21" s="40"/>
      <c r="W21" s="40"/>
      <c r="X21" s="40"/>
      <c r="Y21" s="11"/>
      <c r="Z21" s="9"/>
      <c r="AA21" s="9"/>
      <c r="AB21" s="9"/>
      <c r="AC21" s="9"/>
      <c r="AE21" s="48" t="s">
        <v>19</v>
      </c>
      <c r="AF21" s="29">
        <f>600+(600-AF19)</f>
        <v>1056</v>
      </c>
      <c r="AG21" s="29">
        <f>AG19</f>
        <v>89</v>
      </c>
      <c r="AH21" s="48" t="s">
        <v>19</v>
      </c>
      <c r="AI21" s="29">
        <f>600+(600-AI19)</f>
        <v>919</v>
      </c>
      <c r="AJ21" s="29">
        <f>AJ19</f>
        <v>99</v>
      </c>
      <c r="AK21" s="48" t="s">
        <v>19</v>
      </c>
      <c r="AL21" s="29">
        <f t="shared" ref="AL21" si="30">600+(600-AL19)</f>
        <v>1015</v>
      </c>
      <c r="AM21" s="29">
        <f t="shared" ref="AM21" si="31">AM19</f>
        <v>110</v>
      </c>
      <c r="AN21" s="48" t="s">
        <v>19</v>
      </c>
      <c r="AO21" s="29">
        <f t="shared" ref="AO21" si="32">600+(600-AO19)</f>
        <v>901</v>
      </c>
      <c r="AP21" s="29">
        <f t="shared" ref="AP21" si="33">AP19</f>
        <v>113</v>
      </c>
      <c r="AQ21" s="48" t="s">
        <v>19</v>
      </c>
      <c r="AR21" s="29">
        <f t="shared" ref="AR21" si="34">600+(600-AR19)</f>
        <v>952</v>
      </c>
      <c r="AS21" s="29">
        <f t="shared" ref="AS21" si="35">AS19</f>
        <v>137</v>
      </c>
    </row>
    <row r="22" spans="1:45">
      <c r="A22" s="24">
        <v>18</v>
      </c>
      <c r="B22" s="19" t="s">
        <v>76</v>
      </c>
      <c r="C22" s="19" t="s">
        <v>75</v>
      </c>
      <c r="D22" s="11">
        <v>42.107006542854599</v>
      </c>
      <c r="E22" s="9">
        <v>45.044422518220834</v>
      </c>
      <c r="F22" s="9">
        <v>57.078892771321343</v>
      </c>
      <c r="G22" s="9">
        <v>39.012818406262319</v>
      </c>
      <c r="H22" s="9">
        <v>42.190046219457976</v>
      </c>
      <c r="I22" s="3"/>
      <c r="J22" s="21">
        <v>18</v>
      </c>
      <c r="K22" s="39"/>
      <c r="L22" s="39"/>
      <c r="M22" s="39"/>
      <c r="N22" s="11"/>
      <c r="O22" s="9"/>
      <c r="P22" s="9"/>
      <c r="Q22" s="9"/>
      <c r="R22" s="9"/>
      <c r="T22" s="23">
        <v>18</v>
      </c>
      <c r="U22" s="40"/>
      <c r="V22" s="40"/>
      <c r="W22" s="40"/>
      <c r="X22" s="40"/>
      <c r="Y22" s="11"/>
      <c r="Z22" s="9"/>
      <c r="AA22" s="9"/>
      <c r="AB22" s="9"/>
      <c r="AC22" s="9"/>
      <c r="AE22" s="48" t="s">
        <v>20</v>
      </c>
      <c r="AF22" s="29">
        <v>289</v>
      </c>
      <c r="AG22" s="29">
        <v>623</v>
      </c>
      <c r="AH22" s="48" t="s">
        <v>20</v>
      </c>
      <c r="AI22" s="29">
        <v>351</v>
      </c>
      <c r="AJ22" s="29">
        <v>583</v>
      </c>
      <c r="AK22" s="48" t="s">
        <v>20</v>
      </c>
      <c r="AL22" s="29">
        <v>340</v>
      </c>
      <c r="AM22" s="29">
        <v>589</v>
      </c>
      <c r="AN22" s="49" t="s">
        <v>20</v>
      </c>
      <c r="AO22" s="30">
        <v>359</v>
      </c>
      <c r="AP22" s="30">
        <v>533</v>
      </c>
      <c r="AQ22" s="48" t="s">
        <v>20</v>
      </c>
      <c r="AR22" s="29">
        <v>368</v>
      </c>
      <c r="AS22" s="29">
        <v>557</v>
      </c>
    </row>
    <row r="23" spans="1:45">
      <c r="A23" s="24">
        <v>19</v>
      </c>
      <c r="B23" s="19" t="s">
        <v>73</v>
      </c>
      <c r="C23" s="19" t="s">
        <v>74</v>
      </c>
      <c r="D23" s="11">
        <v>208.77739341221789</v>
      </c>
      <c r="E23" s="9">
        <v>189.38056922503955</v>
      </c>
      <c r="F23" s="9">
        <v>232.07757323791543</v>
      </c>
      <c r="G23" s="9">
        <v>185.13238506539042</v>
      </c>
      <c r="H23" s="9">
        <v>191.637678967368</v>
      </c>
      <c r="I23" s="3"/>
      <c r="J23" s="21">
        <v>19</v>
      </c>
      <c r="K23" s="39"/>
      <c r="L23" s="39"/>
      <c r="M23" s="39"/>
      <c r="N23" s="11"/>
      <c r="O23" s="9"/>
      <c r="P23" s="9"/>
      <c r="Q23" s="9"/>
      <c r="R23" s="9"/>
      <c r="T23" s="23">
        <v>19</v>
      </c>
      <c r="U23" s="40"/>
      <c r="V23" s="40"/>
      <c r="W23" s="40"/>
      <c r="X23" s="40"/>
      <c r="Y23" s="11"/>
      <c r="Z23" s="9"/>
      <c r="AA23" s="9"/>
      <c r="AB23" s="9"/>
      <c r="AC23" s="9"/>
      <c r="AE23" s="48" t="s">
        <v>21</v>
      </c>
      <c r="AF23" s="29">
        <v>399</v>
      </c>
      <c r="AG23" s="29">
        <v>639</v>
      </c>
      <c r="AH23" s="49" t="s">
        <v>21</v>
      </c>
      <c r="AI23" s="30">
        <v>432</v>
      </c>
      <c r="AJ23" s="30">
        <v>600</v>
      </c>
      <c r="AK23" s="48" t="s">
        <v>21</v>
      </c>
      <c r="AL23" s="29">
        <v>406</v>
      </c>
      <c r="AM23" s="29">
        <v>613</v>
      </c>
      <c r="AN23" s="49" t="s">
        <v>21</v>
      </c>
      <c r="AO23" s="30">
        <v>438</v>
      </c>
      <c r="AP23" s="30">
        <v>541</v>
      </c>
      <c r="AQ23" s="48" t="s">
        <v>21</v>
      </c>
      <c r="AR23" s="29">
        <v>436</v>
      </c>
      <c r="AS23" s="29">
        <v>564</v>
      </c>
    </row>
    <row r="24" spans="1:45">
      <c r="A24" s="24">
        <v>20</v>
      </c>
      <c r="B24" s="19"/>
      <c r="C24" s="19"/>
      <c r="D24" s="9"/>
      <c r="E24" s="9"/>
      <c r="F24" s="9"/>
      <c r="G24" s="9"/>
      <c r="H24" s="9"/>
      <c r="I24" s="3"/>
      <c r="J24" s="21">
        <v>20</v>
      </c>
      <c r="K24" s="39"/>
      <c r="L24" s="39"/>
      <c r="M24" s="39"/>
      <c r="N24" s="11"/>
      <c r="O24" s="9"/>
      <c r="P24" s="9"/>
      <c r="Q24" s="9"/>
      <c r="R24" s="9"/>
      <c r="T24" s="23">
        <v>20</v>
      </c>
      <c r="U24" s="40"/>
      <c r="V24" s="40"/>
      <c r="W24" s="40"/>
      <c r="X24" s="40"/>
      <c r="Y24" s="11"/>
      <c r="Z24" s="9"/>
      <c r="AA24" s="9"/>
      <c r="AB24" s="9"/>
      <c r="AC24" s="9"/>
      <c r="AE24" s="48" t="s">
        <v>22</v>
      </c>
      <c r="AF24" s="29">
        <v>485</v>
      </c>
      <c r="AG24" s="29">
        <v>615</v>
      </c>
      <c r="AH24" s="49" t="s">
        <v>22</v>
      </c>
      <c r="AI24" s="30">
        <v>519</v>
      </c>
      <c r="AJ24" s="30">
        <v>577</v>
      </c>
      <c r="AK24" s="48" t="s">
        <v>22</v>
      </c>
      <c r="AL24" s="29">
        <v>478</v>
      </c>
      <c r="AM24" s="29">
        <v>583</v>
      </c>
      <c r="AN24" s="49" t="s">
        <v>22</v>
      </c>
      <c r="AO24" s="30">
        <v>489</v>
      </c>
      <c r="AP24" s="30">
        <v>529</v>
      </c>
      <c r="AQ24" s="48" t="s">
        <v>22</v>
      </c>
      <c r="AR24" s="29">
        <v>523</v>
      </c>
      <c r="AS24" s="29">
        <v>558</v>
      </c>
    </row>
    <row r="25" spans="1:45" ht="15.75" customHeight="1">
      <c r="A25" s="24">
        <v>21</v>
      </c>
      <c r="B25" s="19"/>
      <c r="C25" s="19"/>
      <c r="D25" s="9"/>
      <c r="E25" s="9"/>
      <c r="F25" s="9"/>
      <c r="G25" s="9"/>
      <c r="H25" s="9"/>
      <c r="I25" s="3"/>
      <c r="J25" s="21">
        <v>21</v>
      </c>
      <c r="K25" s="39"/>
      <c r="L25" s="39"/>
      <c r="M25" s="39"/>
      <c r="N25" s="11"/>
      <c r="O25" s="9"/>
      <c r="P25" s="9"/>
      <c r="Q25" s="9"/>
      <c r="R25" s="9"/>
      <c r="T25" s="23">
        <v>21</v>
      </c>
      <c r="U25" s="40"/>
      <c r="V25" s="40"/>
      <c r="W25" s="40"/>
      <c r="X25" s="40"/>
      <c r="Y25" s="11"/>
      <c r="Z25" s="9"/>
      <c r="AA25" s="9"/>
      <c r="AB25" s="9"/>
      <c r="AC25" s="9"/>
      <c r="AE25" s="48" t="s">
        <v>23</v>
      </c>
      <c r="AF25" s="29">
        <v>393</v>
      </c>
      <c r="AG25" s="29">
        <v>579</v>
      </c>
      <c r="AH25" s="49" t="s">
        <v>23</v>
      </c>
      <c r="AI25" s="30">
        <v>443</v>
      </c>
      <c r="AJ25" s="30">
        <v>550</v>
      </c>
      <c r="AK25" s="48" t="s">
        <v>23</v>
      </c>
      <c r="AL25" s="29">
        <v>415</v>
      </c>
      <c r="AM25" s="29">
        <v>548</v>
      </c>
      <c r="AN25" s="49" t="s">
        <v>23</v>
      </c>
      <c r="AO25" s="30">
        <v>439</v>
      </c>
      <c r="AP25" s="30">
        <v>507</v>
      </c>
      <c r="AQ25" s="48" t="s">
        <v>23</v>
      </c>
      <c r="AR25" s="29">
        <v>431</v>
      </c>
      <c r="AS25" s="29">
        <v>523</v>
      </c>
    </row>
    <row r="26" spans="1:45" ht="16.5" customHeight="1">
      <c r="A26" s="24">
        <v>22</v>
      </c>
      <c r="B26" s="19"/>
      <c r="C26" s="19"/>
      <c r="D26" s="9"/>
      <c r="E26" s="9"/>
      <c r="F26" s="9"/>
      <c r="G26" s="9"/>
      <c r="H26" s="9"/>
      <c r="I26" s="3"/>
      <c r="J26" s="21">
        <v>22</v>
      </c>
      <c r="K26" s="39"/>
      <c r="L26" s="39"/>
      <c r="M26" s="39"/>
      <c r="N26" s="11"/>
      <c r="O26" s="9"/>
      <c r="P26" s="9"/>
      <c r="Q26" s="9"/>
      <c r="R26" s="9"/>
      <c r="T26" s="23">
        <v>22</v>
      </c>
      <c r="U26" s="40"/>
      <c r="V26" s="40"/>
      <c r="W26" s="40"/>
      <c r="X26" s="40"/>
      <c r="Y26" s="11"/>
      <c r="Z26" s="9"/>
      <c r="AA26" s="9"/>
      <c r="AB26" s="9"/>
      <c r="AC26" s="9"/>
      <c r="AE26" s="48" t="s">
        <v>24</v>
      </c>
      <c r="AF26" s="31">
        <v>1180</v>
      </c>
      <c r="AG26" s="31">
        <v>1180</v>
      </c>
      <c r="AH26" s="49" t="s">
        <v>24</v>
      </c>
      <c r="AI26" s="30">
        <v>1180</v>
      </c>
      <c r="AJ26" s="30">
        <v>1180</v>
      </c>
      <c r="AK26" s="48" t="s">
        <v>24</v>
      </c>
      <c r="AL26" s="31">
        <v>1180</v>
      </c>
      <c r="AM26" s="31">
        <v>1180</v>
      </c>
      <c r="AN26" s="49" t="s">
        <v>24</v>
      </c>
      <c r="AO26" s="30">
        <v>1180</v>
      </c>
      <c r="AP26" s="30">
        <v>1180</v>
      </c>
      <c r="AQ26" s="32" t="s">
        <v>24</v>
      </c>
      <c r="AR26" s="31">
        <v>1180</v>
      </c>
      <c r="AS26" s="31">
        <v>1180</v>
      </c>
    </row>
    <row r="27" spans="1:45">
      <c r="A27" s="24">
        <v>23</v>
      </c>
      <c r="B27" s="19"/>
      <c r="C27" s="19"/>
      <c r="D27" s="9"/>
      <c r="E27" s="9"/>
      <c r="F27" s="9"/>
      <c r="G27" s="9"/>
      <c r="H27" s="9"/>
      <c r="J27" s="21">
        <v>23</v>
      </c>
      <c r="K27" s="39"/>
      <c r="L27" s="39"/>
      <c r="M27" s="39"/>
      <c r="N27" s="11"/>
      <c r="O27" s="9"/>
      <c r="P27" s="9"/>
      <c r="Q27" s="9"/>
      <c r="R27" s="9"/>
      <c r="T27" s="23">
        <v>23</v>
      </c>
      <c r="U27" s="40"/>
      <c r="V27" s="40"/>
      <c r="W27" s="40"/>
      <c r="X27" s="40"/>
      <c r="Y27" s="11"/>
      <c r="Z27" s="9"/>
      <c r="AA27" s="9"/>
      <c r="AB27" s="9"/>
      <c r="AC27" s="9"/>
      <c r="AE27" s="46" t="s">
        <v>67</v>
      </c>
      <c r="AF27" s="8">
        <v>600</v>
      </c>
      <c r="AG27" s="37">
        <v>0</v>
      </c>
      <c r="AH27" s="46" t="s">
        <v>67</v>
      </c>
      <c r="AI27" s="9">
        <v>600</v>
      </c>
      <c r="AJ27" s="38">
        <v>0</v>
      </c>
      <c r="AK27" s="46" t="s">
        <v>67</v>
      </c>
      <c r="AL27" s="8">
        <v>600</v>
      </c>
      <c r="AM27" s="37">
        <v>0</v>
      </c>
      <c r="AN27" s="46" t="s">
        <v>67</v>
      </c>
      <c r="AO27" s="9">
        <v>600</v>
      </c>
      <c r="AP27" s="38">
        <v>0</v>
      </c>
      <c r="AQ27" s="46" t="s">
        <v>67</v>
      </c>
      <c r="AR27" s="8">
        <v>600</v>
      </c>
      <c r="AS27" s="37">
        <v>0</v>
      </c>
    </row>
    <row r="28" spans="1:45" s="7" customFormat="1">
      <c r="A28" s="24">
        <v>24</v>
      </c>
      <c r="B28" s="19"/>
      <c r="C28" s="19"/>
      <c r="D28" s="17"/>
      <c r="E28" s="12"/>
      <c r="F28" s="12"/>
      <c r="G28" s="12"/>
      <c r="H28" s="12"/>
      <c r="J28" s="21">
        <v>24</v>
      </c>
      <c r="K28" s="39"/>
      <c r="L28" s="39"/>
      <c r="M28" s="39"/>
      <c r="N28" s="17"/>
      <c r="O28" s="12"/>
      <c r="P28" s="12"/>
      <c r="Q28" s="12"/>
      <c r="R28" s="12"/>
      <c r="T28" s="23">
        <v>24</v>
      </c>
      <c r="U28" s="40"/>
      <c r="V28" s="40"/>
      <c r="W28" s="40"/>
      <c r="X28" s="40"/>
      <c r="Y28" s="17"/>
      <c r="Z28" s="12"/>
      <c r="AA28" s="12"/>
      <c r="AB28" s="12"/>
      <c r="AC28" s="12"/>
      <c r="AE28" s="46" t="s">
        <v>68</v>
      </c>
      <c r="AF28" s="8">
        <v>409</v>
      </c>
      <c r="AG28" s="37">
        <v>492</v>
      </c>
      <c r="AH28" s="46" t="s">
        <v>68</v>
      </c>
      <c r="AI28" s="9">
        <v>423</v>
      </c>
      <c r="AJ28" s="38">
        <v>480</v>
      </c>
      <c r="AK28" s="46" t="s">
        <v>68</v>
      </c>
      <c r="AL28" s="8">
        <v>416</v>
      </c>
      <c r="AM28" s="37">
        <v>452</v>
      </c>
      <c r="AN28" s="46" t="s">
        <v>68</v>
      </c>
      <c r="AO28" s="9">
        <v>425</v>
      </c>
      <c r="AP28" s="38">
        <v>445</v>
      </c>
      <c r="AQ28" s="46" t="s">
        <v>68</v>
      </c>
      <c r="AR28" s="8">
        <v>430</v>
      </c>
      <c r="AS28" s="37">
        <v>455</v>
      </c>
    </row>
    <row r="29" spans="1:45">
      <c r="A29" s="24">
        <v>25</v>
      </c>
      <c r="B29" s="19"/>
      <c r="C29" s="19"/>
      <c r="D29" s="18"/>
      <c r="E29" s="13"/>
      <c r="F29" s="9"/>
      <c r="G29" s="9"/>
      <c r="H29" s="9"/>
      <c r="J29" s="21">
        <v>25</v>
      </c>
      <c r="K29" s="39"/>
      <c r="L29" s="39"/>
      <c r="M29" s="39"/>
      <c r="N29" s="11"/>
      <c r="O29" s="9"/>
      <c r="P29" s="9"/>
      <c r="Q29" s="9"/>
      <c r="R29" s="9"/>
      <c r="T29" s="23">
        <v>25</v>
      </c>
      <c r="U29" s="40"/>
      <c r="V29" s="40"/>
      <c r="W29" s="40"/>
      <c r="X29" s="40"/>
      <c r="Y29" s="11"/>
      <c r="Z29" s="9"/>
      <c r="AA29" s="9"/>
      <c r="AB29" s="9"/>
      <c r="AC29" s="9"/>
      <c r="AE29" s="46" t="s">
        <v>69</v>
      </c>
      <c r="AF29" s="8">
        <v>287</v>
      </c>
      <c r="AG29" s="37">
        <v>517</v>
      </c>
      <c r="AH29" s="46" t="s">
        <v>69</v>
      </c>
      <c r="AI29" s="9">
        <v>327</v>
      </c>
      <c r="AJ29" s="38">
        <v>529</v>
      </c>
      <c r="AK29" s="46" t="s">
        <v>69</v>
      </c>
      <c r="AL29" s="8">
        <v>302</v>
      </c>
      <c r="AM29" s="37">
        <v>518</v>
      </c>
      <c r="AN29" s="46" t="s">
        <v>69</v>
      </c>
      <c r="AO29" s="9">
        <v>326</v>
      </c>
      <c r="AP29" s="38">
        <v>487</v>
      </c>
      <c r="AQ29" s="46" t="s">
        <v>69</v>
      </c>
      <c r="AR29" s="8">
        <v>328</v>
      </c>
      <c r="AS29" s="37">
        <v>515</v>
      </c>
    </row>
    <row r="30" spans="1:45">
      <c r="A30" s="24">
        <v>26</v>
      </c>
      <c r="B30" s="19"/>
      <c r="C30" s="19"/>
      <c r="D30" s="11"/>
      <c r="E30" s="9"/>
      <c r="F30" s="9"/>
      <c r="G30" s="9"/>
      <c r="H30" s="9"/>
      <c r="J30" s="21">
        <v>26</v>
      </c>
      <c r="K30" s="39"/>
      <c r="L30" s="39"/>
      <c r="M30" s="39"/>
      <c r="N30" s="11"/>
      <c r="O30" s="9"/>
      <c r="P30" s="9"/>
      <c r="Q30" s="9"/>
      <c r="R30" s="9"/>
      <c r="T30" s="23">
        <v>26</v>
      </c>
      <c r="U30" s="40"/>
      <c r="V30" s="40"/>
      <c r="W30" s="40"/>
      <c r="X30" s="40"/>
      <c r="Y30" s="11"/>
      <c r="Z30" s="9"/>
      <c r="AA30" s="9"/>
      <c r="AB30" s="9"/>
      <c r="AC30" s="9"/>
      <c r="AE30" s="46" t="s">
        <v>70</v>
      </c>
      <c r="AF30" s="8">
        <v>495</v>
      </c>
      <c r="AG30" s="37">
        <v>535</v>
      </c>
      <c r="AH30" s="46" t="s">
        <v>70</v>
      </c>
      <c r="AI30" s="9">
        <v>516</v>
      </c>
      <c r="AJ30" s="38">
        <v>517</v>
      </c>
      <c r="AK30" s="46" t="s">
        <v>70</v>
      </c>
      <c r="AL30" s="8">
        <v>534</v>
      </c>
      <c r="AM30" s="37">
        <v>512</v>
      </c>
      <c r="AN30" s="46" t="s">
        <v>70</v>
      </c>
      <c r="AO30" s="9">
        <v>511</v>
      </c>
      <c r="AP30" s="38">
        <v>480</v>
      </c>
      <c r="AQ30" s="46" t="s">
        <v>70</v>
      </c>
      <c r="AR30" s="8">
        <v>518</v>
      </c>
      <c r="AS30" s="37">
        <v>490</v>
      </c>
    </row>
    <row r="31" spans="1:45">
      <c r="A31" s="24">
        <v>27</v>
      </c>
      <c r="B31" s="19"/>
      <c r="C31" s="19"/>
      <c r="D31" s="11"/>
      <c r="E31" s="9"/>
      <c r="F31" s="9"/>
      <c r="G31" s="9"/>
      <c r="H31" s="9"/>
      <c r="J31" s="21">
        <v>27</v>
      </c>
      <c r="K31" s="39"/>
      <c r="L31" s="39"/>
      <c r="M31" s="39"/>
      <c r="N31" s="11"/>
      <c r="O31" s="9"/>
      <c r="P31" s="9"/>
      <c r="Q31" s="9"/>
      <c r="R31" s="9"/>
      <c r="T31" s="23">
        <v>27</v>
      </c>
      <c r="U31" s="40"/>
      <c r="V31" s="40"/>
      <c r="W31" s="40"/>
      <c r="X31" s="40"/>
      <c r="Y31" s="11"/>
      <c r="Z31" s="9"/>
      <c r="AA31" s="9"/>
      <c r="AB31" s="9"/>
      <c r="AC31" s="9"/>
      <c r="AE31" s="46" t="s">
        <v>71</v>
      </c>
      <c r="AF31" s="8">
        <v>412</v>
      </c>
      <c r="AG31" s="37">
        <v>534</v>
      </c>
      <c r="AH31" s="46" t="s">
        <v>71</v>
      </c>
      <c r="AI31" s="9">
        <v>425</v>
      </c>
      <c r="AJ31" s="38">
        <v>525</v>
      </c>
      <c r="AK31" s="46" t="s">
        <v>71</v>
      </c>
      <c r="AL31" s="8">
        <v>419</v>
      </c>
      <c r="AM31" s="37">
        <v>509</v>
      </c>
      <c r="AN31" s="46" t="s">
        <v>71</v>
      </c>
      <c r="AO31" s="9">
        <v>426</v>
      </c>
      <c r="AP31" s="38">
        <v>484</v>
      </c>
      <c r="AQ31" s="46" t="s">
        <v>71</v>
      </c>
      <c r="AR31" s="8">
        <v>426</v>
      </c>
      <c r="AS31" s="37">
        <v>497</v>
      </c>
    </row>
    <row r="32" spans="1:45">
      <c r="A32" s="24">
        <v>28</v>
      </c>
      <c r="B32" s="19"/>
      <c r="C32" s="19"/>
      <c r="D32" s="11"/>
      <c r="E32" s="9"/>
      <c r="F32" s="9"/>
      <c r="G32" s="9"/>
      <c r="H32" s="9"/>
      <c r="J32" s="21">
        <v>28</v>
      </c>
      <c r="K32" s="39"/>
      <c r="L32" s="39"/>
      <c r="M32" s="39"/>
      <c r="N32" s="11"/>
      <c r="O32" s="9"/>
      <c r="P32" s="9"/>
      <c r="Q32" s="9"/>
      <c r="R32" s="9"/>
      <c r="T32" s="23">
        <v>28</v>
      </c>
      <c r="U32" s="40"/>
      <c r="V32" s="40"/>
      <c r="W32" s="40"/>
      <c r="X32" s="40"/>
      <c r="Y32" s="11"/>
      <c r="Z32" s="9"/>
      <c r="AA32" s="9"/>
      <c r="AB32" s="9"/>
      <c r="AC32" s="9"/>
      <c r="AE32" s="46"/>
      <c r="AF32" s="8"/>
      <c r="AG32" s="37"/>
      <c r="AH32" s="46"/>
      <c r="AI32" s="9"/>
      <c r="AJ32" s="38"/>
      <c r="AK32" s="46"/>
      <c r="AL32" s="8"/>
      <c r="AM32" s="37"/>
      <c r="AN32" s="46"/>
      <c r="AO32" s="9"/>
      <c r="AP32" s="38"/>
      <c r="AQ32" s="46"/>
      <c r="AR32" s="8"/>
      <c r="AS32" s="37"/>
    </row>
    <row r="33" spans="1:45">
      <c r="A33" s="24">
        <v>29</v>
      </c>
      <c r="B33" s="19"/>
      <c r="C33" s="19"/>
      <c r="D33" s="11"/>
      <c r="E33" s="9"/>
      <c r="F33" s="9"/>
      <c r="G33" s="9"/>
      <c r="H33" s="9"/>
      <c r="J33" s="21">
        <v>29</v>
      </c>
      <c r="K33" s="39"/>
      <c r="L33" s="39"/>
      <c r="M33" s="39"/>
      <c r="N33" s="11"/>
      <c r="O33" s="9"/>
      <c r="P33" s="9"/>
      <c r="Q33" s="9"/>
      <c r="R33" s="9"/>
      <c r="T33" s="23">
        <v>29</v>
      </c>
      <c r="U33" s="40"/>
      <c r="V33" s="40"/>
      <c r="W33" s="40"/>
      <c r="X33" s="40"/>
      <c r="Y33" s="11"/>
      <c r="Z33" s="9"/>
      <c r="AA33" s="9"/>
      <c r="AB33" s="9"/>
      <c r="AC33" s="9"/>
      <c r="AE33" s="46"/>
      <c r="AF33" s="8"/>
      <c r="AG33" s="37"/>
      <c r="AH33" s="47"/>
      <c r="AI33" s="9"/>
      <c r="AJ33" s="38"/>
      <c r="AK33" s="46"/>
      <c r="AL33" s="8"/>
      <c r="AM33" s="37"/>
      <c r="AN33" s="47"/>
      <c r="AO33" s="9"/>
      <c r="AP33" s="38"/>
      <c r="AQ33" s="46"/>
      <c r="AR33" s="8"/>
      <c r="AS33" s="37"/>
    </row>
    <row r="34" spans="1:45">
      <c r="A34" s="24">
        <v>30</v>
      </c>
      <c r="B34" s="19"/>
      <c r="C34" s="19"/>
      <c r="D34" s="11"/>
      <c r="E34" s="9"/>
      <c r="F34" s="9"/>
      <c r="G34" s="9"/>
      <c r="H34" s="9"/>
      <c r="J34" s="21">
        <v>30</v>
      </c>
      <c r="K34" s="39"/>
      <c r="L34" s="39"/>
      <c r="M34" s="39"/>
      <c r="N34" s="11"/>
      <c r="O34" s="9"/>
      <c r="P34" s="9"/>
      <c r="Q34" s="9"/>
      <c r="R34" s="9"/>
      <c r="T34" s="23">
        <v>30</v>
      </c>
      <c r="U34" s="40"/>
      <c r="V34" s="40"/>
      <c r="W34" s="40"/>
      <c r="X34" s="40"/>
      <c r="Y34" s="11"/>
      <c r="Z34" s="9"/>
      <c r="AA34" s="9"/>
      <c r="AB34" s="9"/>
      <c r="AC34" s="9"/>
      <c r="AE34" s="41"/>
      <c r="AF34" s="8"/>
      <c r="AG34" s="6"/>
      <c r="AH34" s="42"/>
      <c r="AI34" s="9"/>
      <c r="AJ34" s="16"/>
      <c r="AK34" s="41"/>
      <c r="AL34" s="8"/>
      <c r="AM34" s="6"/>
      <c r="AN34" s="42"/>
      <c r="AO34" s="9"/>
      <c r="AP34" s="16"/>
      <c r="AQ34" s="41"/>
      <c r="AR34" s="8"/>
      <c r="AS34" s="6"/>
    </row>
    <row r="35" spans="1:45">
      <c r="A35" s="25"/>
      <c r="B35" s="15"/>
      <c r="C35" s="15"/>
      <c r="D35" s="14"/>
      <c r="E35" s="14"/>
    </row>
    <row r="36" spans="1:45" ht="15.75" customHeight="1">
      <c r="A36" s="79" t="s">
        <v>64</v>
      </c>
      <c r="B36" s="79"/>
      <c r="C36" s="79"/>
      <c r="D36" s="79"/>
      <c r="E36" s="79"/>
      <c r="F36" s="79"/>
      <c r="G36" s="79"/>
      <c r="H36" s="79"/>
      <c r="I36" s="20"/>
      <c r="J36" s="79" t="s">
        <v>64</v>
      </c>
      <c r="K36" s="80"/>
      <c r="L36" s="80"/>
      <c r="M36" s="80"/>
      <c r="N36" s="80"/>
      <c r="O36" s="80"/>
      <c r="P36" s="80"/>
      <c r="Q36" s="80"/>
      <c r="R36" s="80"/>
      <c r="T36" s="79" t="s">
        <v>64</v>
      </c>
      <c r="U36" s="80"/>
      <c r="V36" s="80"/>
      <c r="W36" s="80"/>
      <c r="X36" s="80"/>
      <c r="Y36" s="80"/>
      <c r="Z36" s="80"/>
      <c r="AA36" s="80"/>
      <c r="AB36" s="80"/>
      <c r="AC36" s="80"/>
      <c r="AE36" s="80" t="s">
        <v>63</v>
      </c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</row>
    <row r="37" spans="1:45" ht="15.75" customHeight="1">
      <c r="A37" s="79"/>
      <c r="B37" s="79"/>
      <c r="C37" s="79"/>
      <c r="D37" s="79"/>
      <c r="E37" s="79"/>
      <c r="F37" s="79"/>
      <c r="G37" s="79"/>
      <c r="H37" s="79"/>
      <c r="I37" s="20"/>
      <c r="J37" s="80"/>
      <c r="K37" s="80"/>
      <c r="L37" s="80"/>
      <c r="M37" s="80"/>
      <c r="N37" s="80"/>
      <c r="O37" s="80"/>
      <c r="P37" s="80"/>
      <c r="Q37" s="80"/>
      <c r="R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</row>
    <row r="38" spans="1:45">
      <c r="A38" s="79"/>
      <c r="B38" s="79"/>
      <c r="C38" s="79"/>
      <c r="D38" s="79"/>
      <c r="E38" s="79"/>
      <c r="F38" s="79"/>
      <c r="G38" s="79"/>
      <c r="H38" s="79"/>
      <c r="J38" s="80"/>
      <c r="K38" s="80"/>
      <c r="L38" s="80"/>
      <c r="M38" s="80"/>
      <c r="N38" s="80"/>
      <c r="O38" s="80"/>
      <c r="P38" s="80"/>
      <c r="Q38" s="80"/>
      <c r="R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</row>
    <row r="39" spans="1:45">
      <c r="A39" s="25"/>
      <c r="B39" s="15"/>
      <c r="C39" s="15"/>
      <c r="D39" s="14"/>
      <c r="E39" s="14"/>
    </row>
    <row r="40" spans="1:45">
      <c r="A40" s="25"/>
      <c r="B40" s="15"/>
      <c r="C40" s="15"/>
      <c r="D40" s="14"/>
      <c r="E40" s="14"/>
    </row>
    <row r="41" spans="1:45">
      <c r="A41" s="25"/>
      <c r="B41" s="15"/>
      <c r="C41" s="15"/>
      <c r="D41" s="14"/>
      <c r="E41" s="14"/>
    </row>
    <row r="42" spans="1:45">
      <c r="A42" s="25"/>
      <c r="B42" s="15"/>
      <c r="C42" s="15"/>
      <c r="D42" s="14"/>
      <c r="E42" s="14"/>
    </row>
    <row r="43" spans="1:45">
      <c r="A43" s="25"/>
      <c r="B43" s="15"/>
      <c r="C43" s="15"/>
      <c r="D43" s="14"/>
      <c r="E43" s="14"/>
    </row>
    <row r="44" spans="1:45">
      <c r="A44" s="25"/>
      <c r="B44" s="15"/>
      <c r="C44" s="15"/>
      <c r="D44" s="14"/>
      <c r="E44" s="14"/>
    </row>
    <row r="45" spans="1:45">
      <c r="A45" s="25"/>
      <c r="B45" s="15"/>
      <c r="C45" s="15"/>
      <c r="D45" s="14"/>
      <c r="E45" s="14"/>
    </row>
    <row r="46" spans="1:45">
      <c r="A46" s="25"/>
      <c r="B46" s="15"/>
      <c r="C46" s="15"/>
      <c r="D46" s="14"/>
      <c r="E46" s="14"/>
    </row>
    <row r="47" spans="1:45">
      <c r="A47" s="25"/>
      <c r="B47" s="15"/>
      <c r="C47" s="15"/>
      <c r="D47" s="14"/>
      <c r="E47" s="14"/>
    </row>
    <row r="48" spans="1:45">
      <c r="A48" s="25"/>
      <c r="B48" s="15"/>
      <c r="C48" s="15"/>
      <c r="D48" s="14"/>
      <c r="E48" s="14"/>
    </row>
    <row r="49" spans="1:5">
      <c r="A49" s="25"/>
      <c r="B49" s="15"/>
      <c r="C49" s="15"/>
      <c r="D49" s="14"/>
      <c r="E49" s="14"/>
    </row>
    <row r="50" spans="1:5">
      <c r="A50" s="25"/>
      <c r="B50" s="15"/>
      <c r="C50" s="15"/>
      <c r="D50" s="14"/>
      <c r="E50" s="14"/>
    </row>
    <row r="51" spans="1:5">
      <c r="A51" s="25"/>
      <c r="B51" s="15"/>
      <c r="C51" s="15"/>
      <c r="D51" s="14"/>
      <c r="E51" s="14"/>
    </row>
    <row r="52" spans="1:5">
      <c r="A52" s="25"/>
      <c r="B52" s="15"/>
      <c r="C52" s="15"/>
      <c r="D52" s="14"/>
      <c r="E52" s="14"/>
    </row>
  </sheetData>
  <mergeCells count="27">
    <mergeCell ref="AK2:AM2"/>
    <mergeCell ref="A1:H1"/>
    <mergeCell ref="J1:R1"/>
    <mergeCell ref="T1:AC1"/>
    <mergeCell ref="AE1:AS1"/>
    <mergeCell ref="A2:C4"/>
    <mergeCell ref="D2:F3"/>
    <mergeCell ref="G2:H3"/>
    <mergeCell ref="J2:M4"/>
    <mergeCell ref="N2:P3"/>
    <mergeCell ref="Q2:R3"/>
    <mergeCell ref="A36:H38"/>
    <mergeCell ref="J36:R38"/>
    <mergeCell ref="T36:AC38"/>
    <mergeCell ref="AE36:AS38"/>
    <mergeCell ref="AN2:AP2"/>
    <mergeCell ref="AQ2:AS2"/>
    <mergeCell ref="AF3:AG3"/>
    <mergeCell ref="AI3:AJ3"/>
    <mergeCell ref="AL3:AM3"/>
    <mergeCell ref="AO3:AP3"/>
    <mergeCell ref="AR3:AS3"/>
    <mergeCell ref="T2:X4"/>
    <mergeCell ref="Y2:AA3"/>
    <mergeCell ref="AB2:AC3"/>
    <mergeCell ref="AE2:AG2"/>
    <mergeCell ref="AH2:AJ2"/>
  </mergeCells>
  <phoneticPr fontId="1" type="noConversion"/>
  <conditionalFormatting sqref="Y1:AC1 Y4:AC35 Y2 Y39:AC1048576">
    <cfRule type="cellIs" dxfId="4" priority="1" operator="lessThan">
      <formula>0</formula>
    </cfRule>
  </conditionalFormatting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工作表29"/>
  <dimension ref="A1:AS52"/>
  <sheetViews>
    <sheetView topLeftCell="O1" zoomScale="85" zoomScaleNormal="85" workbookViewId="0">
      <selection activeCell="AI3" sqref="AI3:AJ3"/>
    </sheetView>
  </sheetViews>
  <sheetFormatPr defaultColWidth="9" defaultRowHeight="15.5"/>
  <cols>
    <col min="1" max="1" width="3.58203125" style="22" customWidth="1"/>
    <col min="2" max="3" width="3.58203125" style="4" customWidth="1"/>
    <col min="4" max="8" width="10.58203125" style="10" customWidth="1"/>
    <col min="9" max="9" width="2.08203125" style="1" customWidth="1"/>
    <col min="10" max="10" width="3.58203125" style="22" customWidth="1"/>
    <col min="11" max="12" width="3.58203125" style="4" customWidth="1"/>
    <col min="13" max="13" width="3.08203125" style="4" bestFit="1" customWidth="1"/>
    <col min="14" max="18" width="10.58203125" style="10" customWidth="1"/>
    <col min="19" max="19" width="2.08203125" style="1" customWidth="1"/>
    <col min="20" max="20" width="3.58203125" style="22" customWidth="1"/>
    <col min="21" max="23" width="3.58203125" style="4" customWidth="1"/>
    <col min="24" max="24" width="3.08203125" style="4" bestFit="1" customWidth="1"/>
    <col min="25" max="29" width="10.58203125" style="10" customWidth="1"/>
    <col min="30" max="30" width="2.08203125" style="1" customWidth="1"/>
    <col min="31" max="31" width="7.58203125" style="4" customWidth="1"/>
    <col min="32" max="32" width="10.58203125" style="10" customWidth="1"/>
    <col min="33" max="33" width="10.58203125" style="1" customWidth="1"/>
    <col min="34" max="34" width="7.58203125" style="4" customWidth="1"/>
    <col min="35" max="35" width="10.58203125" style="10" customWidth="1"/>
    <col min="36" max="36" width="10.58203125" style="1" customWidth="1"/>
    <col min="37" max="37" width="7.58203125" style="4" customWidth="1"/>
    <col min="38" max="38" width="10.58203125" style="10" customWidth="1"/>
    <col min="39" max="39" width="10.58203125" style="1" customWidth="1"/>
    <col min="40" max="40" width="7.58203125" style="4" customWidth="1"/>
    <col min="41" max="41" width="10.58203125" style="10" customWidth="1"/>
    <col min="42" max="42" width="10.58203125" style="1" customWidth="1"/>
    <col min="43" max="16384" width="9" style="1"/>
  </cols>
  <sheetData>
    <row r="1" spans="1:45" ht="24" customHeight="1">
      <c r="A1" s="57" t="s">
        <v>58</v>
      </c>
      <c r="B1" s="57"/>
      <c r="C1" s="57"/>
      <c r="D1" s="57"/>
      <c r="E1" s="57"/>
      <c r="F1" s="57"/>
      <c r="G1" s="57"/>
      <c r="H1" s="58"/>
      <c r="J1" s="59" t="s">
        <v>60</v>
      </c>
      <c r="K1" s="59"/>
      <c r="L1" s="59"/>
      <c r="M1" s="59"/>
      <c r="N1" s="59"/>
      <c r="O1" s="59"/>
      <c r="P1" s="59"/>
      <c r="Q1" s="59"/>
      <c r="R1" s="59"/>
      <c r="T1" s="60" t="s">
        <v>59</v>
      </c>
      <c r="U1" s="60"/>
      <c r="V1" s="60"/>
      <c r="W1" s="60"/>
      <c r="X1" s="60"/>
      <c r="Y1" s="60"/>
      <c r="Z1" s="60"/>
      <c r="AA1" s="60"/>
      <c r="AB1" s="60"/>
      <c r="AC1" s="60"/>
      <c r="AE1" s="61" t="s">
        <v>180</v>
      </c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</row>
    <row r="2" spans="1:45" s="2" customFormat="1" ht="19.5" customHeight="1">
      <c r="A2" s="63" t="s">
        <v>55</v>
      </c>
      <c r="B2" s="63"/>
      <c r="C2" s="63"/>
      <c r="D2" s="65"/>
      <c r="E2" s="66"/>
      <c r="F2" s="67"/>
      <c r="G2" s="65"/>
      <c r="H2" s="67"/>
      <c r="J2" s="71" t="s">
        <v>56</v>
      </c>
      <c r="K2" s="71"/>
      <c r="L2" s="71"/>
      <c r="M2" s="71"/>
      <c r="N2" s="73"/>
      <c r="O2" s="74"/>
      <c r="P2" s="75"/>
      <c r="Q2" s="73"/>
      <c r="R2" s="75"/>
      <c r="T2" s="90" t="s">
        <v>57</v>
      </c>
      <c r="U2" s="90"/>
      <c r="V2" s="90"/>
      <c r="W2" s="90"/>
      <c r="X2" s="90"/>
      <c r="Y2" s="92"/>
      <c r="Z2" s="93"/>
      <c r="AA2" s="94"/>
      <c r="AB2" s="92"/>
      <c r="AC2" s="94"/>
      <c r="AE2" s="54" t="s">
        <v>140</v>
      </c>
      <c r="AF2" s="55"/>
      <c r="AG2" s="56"/>
      <c r="AH2" s="81" t="s">
        <v>141</v>
      </c>
      <c r="AI2" s="82"/>
      <c r="AJ2" s="83"/>
      <c r="AK2" s="54" t="s">
        <v>142</v>
      </c>
      <c r="AL2" s="55"/>
      <c r="AM2" s="56"/>
      <c r="AN2" s="81" t="s">
        <v>143</v>
      </c>
      <c r="AO2" s="82"/>
      <c r="AP2" s="83"/>
      <c r="AQ2" s="54" t="s">
        <v>169</v>
      </c>
      <c r="AR2" s="55"/>
      <c r="AS2" s="56"/>
    </row>
    <row r="3" spans="1:45" ht="16.5" customHeight="1">
      <c r="A3" s="63"/>
      <c r="B3" s="63"/>
      <c r="C3" s="63"/>
      <c r="D3" s="68"/>
      <c r="E3" s="69"/>
      <c r="F3" s="70"/>
      <c r="G3" s="68"/>
      <c r="H3" s="70"/>
      <c r="J3" s="71"/>
      <c r="K3" s="71"/>
      <c r="L3" s="71"/>
      <c r="M3" s="71"/>
      <c r="N3" s="76"/>
      <c r="O3" s="77"/>
      <c r="P3" s="78"/>
      <c r="Q3" s="76"/>
      <c r="R3" s="78"/>
      <c r="T3" s="90"/>
      <c r="U3" s="90"/>
      <c r="V3" s="90"/>
      <c r="W3" s="90"/>
      <c r="X3" s="90"/>
      <c r="Y3" s="95"/>
      <c r="Z3" s="96"/>
      <c r="AA3" s="97"/>
      <c r="AB3" s="95"/>
      <c r="AC3" s="97"/>
      <c r="AE3" s="52" t="s">
        <v>178</v>
      </c>
      <c r="AF3" s="85" t="s">
        <v>177</v>
      </c>
      <c r="AG3" s="85"/>
      <c r="AH3" s="52" t="s">
        <v>178</v>
      </c>
      <c r="AI3" s="85" t="s">
        <v>177</v>
      </c>
      <c r="AJ3" s="85"/>
      <c r="AK3" s="52" t="s">
        <v>178</v>
      </c>
      <c r="AL3" s="85" t="s">
        <v>177</v>
      </c>
      <c r="AM3" s="85"/>
      <c r="AN3" s="52" t="s">
        <v>178</v>
      </c>
      <c r="AO3" s="85" t="s">
        <v>177</v>
      </c>
      <c r="AP3" s="85"/>
      <c r="AQ3" s="52" t="s">
        <v>178</v>
      </c>
      <c r="AR3" s="85" t="s">
        <v>177</v>
      </c>
      <c r="AS3" s="85"/>
    </row>
    <row r="4" spans="1:45" s="4" customFormat="1" ht="37.25" customHeight="1">
      <c r="A4" s="63"/>
      <c r="B4" s="64"/>
      <c r="C4" s="64"/>
      <c r="D4" s="19" t="s">
        <v>25</v>
      </c>
      <c r="E4" s="19" t="s">
        <v>26</v>
      </c>
      <c r="F4" s="19" t="s">
        <v>27</v>
      </c>
      <c r="G4" s="19" t="s">
        <v>28</v>
      </c>
      <c r="H4" s="19" t="s">
        <v>29</v>
      </c>
      <c r="J4" s="71"/>
      <c r="K4" s="72"/>
      <c r="L4" s="72"/>
      <c r="M4" s="72"/>
      <c r="N4" s="39" t="s">
        <v>25</v>
      </c>
      <c r="O4" s="39" t="s">
        <v>26</v>
      </c>
      <c r="P4" s="39" t="s">
        <v>27</v>
      </c>
      <c r="Q4" s="39" t="s">
        <v>28</v>
      </c>
      <c r="R4" s="39" t="s">
        <v>29</v>
      </c>
      <c r="T4" s="90"/>
      <c r="U4" s="91"/>
      <c r="V4" s="91"/>
      <c r="W4" s="91"/>
      <c r="X4" s="91"/>
      <c r="Y4" s="40" t="s">
        <v>25</v>
      </c>
      <c r="Z4" s="40" t="s">
        <v>26</v>
      </c>
      <c r="AA4" s="40" t="s">
        <v>27</v>
      </c>
      <c r="AB4" s="40" t="s">
        <v>28</v>
      </c>
      <c r="AC4" s="40" t="s">
        <v>29</v>
      </c>
      <c r="AE4" s="48"/>
      <c r="AF4" s="48" t="s">
        <v>0</v>
      </c>
      <c r="AG4" s="48" t="s">
        <v>1</v>
      </c>
      <c r="AH4" s="48"/>
      <c r="AI4" s="48" t="s">
        <v>0</v>
      </c>
      <c r="AJ4" s="48" t="s">
        <v>1</v>
      </c>
      <c r="AK4" s="48" t="s">
        <v>2</v>
      </c>
      <c r="AL4" s="48" t="s">
        <v>0</v>
      </c>
      <c r="AM4" s="48" t="s">
        <v>1</v>
      </c>
      <c r="AN4" s="49" t="s">
        <v>2</v>
      </c>
      <c r="AO4" s="49" t="s">
        <v>0</v>
      </c>
      <c r="AP4" s="49" t="s">
        <v>1</v>
      </c>
      <c r="AQ4" s="48" t="s">
        <v>2</v>
      </c>
      <c r="AR4" s="48" t="s">
        <v>0</v>
      </c>
      <c r="AS4" s="48" t="s">
        <v>1</v>
      </c>
    </row>
    <row r="5" spans="1:45">
      <c r="A5" s="24">
        <v>1</v>
      </c>
      <c r="B5" s="19" t="s">
        <v>30</v>
      </c>
      <c r="C5" s="19" t="s">
        <v>32</v>
      </c>
      <c r="D5" s="11">
        <v>268</v>
      </c>
      <c r="E5" s="9">
        <v>303</v>
      </c>
      <c r="F5" s="9">
        <v>277</v>
      </c>
      <c r="G5" s="9">
        <v>268</v>
      </c>
      <c r="H5" s="9">
        <v>299.20227271864098</v>
      </c>
      <c r="J5" s="21">
        <v>1</v>
      </c>
      <c r="K5" s="39" t="s">
        <v>30</v>
      </c>
      <c r="L5" s="39" t="s">
        <v>35</v>
      </c>
      <c r="M5" s="39" t="s">
        <v>38</v>
      </c>
      <c r="N5" s="9">
        <v>59.287172284841141</v>
      </c>
      <c r="O5" s="9">
        <v>63.996654155488557</v>
      </c>
      <c r="P5" s="9">
        <v>66.830716787894573</v>
      </c>
      <c r="Q5" s="9">
        <v>57.94650951563694</v>
      </c>
      <c r="R5" s="9">
        <v>60.147923730817325</v>
      </c>
      <c r="T5" s="23">
        <v>1</v>
      </c>
      <c r="U5" s="40" t="s">
        <v>30</v>
      </c>
      <c r="V5" s="40" t="s">
        <v>35</v>
      </c>
      <c r="W5" s="40" t="s">
        <v>32</v>
      </c>
      <c r="X5" s="40" t="s">
        <v>38</v>
      </c>
      <c r="Y5" s="11">
        <v>32160</v>
      </c>
      <c r="Z5" s="9">
        <v>36360</v>
      </c>
      <c r="AA5" s="9">
        <v>27977</v>
      </c>
      <c r="AB5" s="9">
        <v>35912</v>
      </c>
      <c r="AC5" s="9">
        <v>36179</v>
      </c>
      <c r="AE5" s="48" t="s">
        <v>3</v>
      </c>
      <c r="AF5" s="29">
        <v>600</v>
      </c>
      <c r="AG5" s="29">
        <v>568</v>
      </c>
      <c r="AH5" s="48" t="s">
        <v>3</v>
      </c>
      <c r="AI5" s="29">
        <v>600</v>
      </c>
      <c r="AJ5" s="29">
        <v>501</v>
      </c>
      <c r="AK5" s="48" t="s">
        <v>3</v>
      </c>
      <c r="AL5" s="29">
        <v>600</v>
      </c>
      <c r="AM5" s="29">
        <v>541</v>
      </c>
      <c r="AN5" s="48" t="s">
        <v>3</v>
      </c>
      <c r="AO5" s="29">
        <v>600</v>
      </c>
      <c r="AP5" s="29">
        <v>551</v>
      </c>
      <c r="AQ5" s="48" t="s">
        <v>3</v>
      </c>
      <c r="AR5" s="29">
        <v>600</v>
      </c>
      <c r="AS5" s="29">
        <v>499</v>
      </c>
    </row>
    <row r="6" spans="1:45">
      <c r="A6" s="24">
        <v>2</v>
      </c>
      <c r="B6" s="19" t="s">
        <v>30</v>
      </c>
      <c r="C6" s="19" t="s">
        <v>33</v>
      </c>
      <c r="D6" s="11">
        <v>362</v>
      </c>
      <c r="E6" s="9">
        <v>437</v>
      </c>
      <c r="F6" s="9">
        <v>392</v>
      </c>
      <c r="G6" s="9">
        <v>369</v>
      </c>
      <c r="H6" s="9">
        <v>413</v>
      </c>
      <c r="J6" s="21">
        <v>2</v>
      </c>
      <c r="K6" s="39" t="s">
        <v>30</v>
      </c>
      <c r="L6" s="39" t="s">
        <v>41</v>
      </c>
      <c r="M6" s="39" t="s">
        <v>34</v>
      </c>
      <c r="N6" s="9">
        <v>82.931260073667858</v>
      </c>
      <c r="O6" s="9">
        <v>94.146245801796795</v>
      </c>
      <c r="P6" s="9">
        <v>89.445644833056321</v>
      </c>
      <c r="Q6" s="9">
        <v>83.519269257471052</v>
      </c>
      <c r="R6" s="9">
        <v>94.444578564099913</v>
      </c>
      <c r="T6" s="23">
        <v>2</v>
      </c>
      <c r="U6" s="40" t="s">
        <v>30</v>
      </c>
      <c r="V6" s="40" t="s">
        <v>41</v>
      </c>
      <c r="W6" s="40" t="s">
        <v>34</v>
      </c>
      <c r="X6" s="40" t="s">
        <v>42</v>
      </c>
      <c r="Y6" s="11">
        <v>199512</v>
      </c>
      <c r="Z6" s="9">
        <v>201663</v>
      </c>
      <c r="AA6" s="9">
        <v>192339</v>
      </c>
      <c r="AB6" s="9">
        <v>206312</v>
      </c>
      <c r="AC6" s="9">
        <v>203619</v>
      </c>
      <c r="AE6" s="48" t="s">
        <v>4</v>
      </c>
      <c r="AF6" s="29">
        <v>480</v>
      </c>
      <c r="AG6" s="29">
        <v>770</v>
      </c>
      <c r="AH6" s="48" t="s">
        <v>4</v>
      </c>
      <c r="AI6" s="29">
        <v>480</v>
      </c>
      <c r="AJ6" s="29">
        <v>747</v>
      </c>
      <c r="AK6" s="48" t="s">
        <v>4</v>
      </c>
      <c r="AL6" s="29">
        <v>499</v>
      </c>
      <c r="AM6" s="29">
        <v>777</v>
      </c>
      <c r="AN6" s="48" t="s">
        <v>4</v>
      </c>
      <c r="AO6" s="29">
        <v>466</v>
      </c>
      <c r="AP6" s="29">
        <v>765</v>
      </c>
      <c r="AQ6" s="48" t="s">
        <v>4</v>
      </c>
      <c r="AR6" s="29">
        <v>468</v>
      </c>
      <c r="AS6" s="29">
        <v>729</v>
      </c>
    </row>
    <row r="7" spans="1:45">
      <c r="A7" s="24">
        <v>3</v>
      </c>
      <c r="B7" s="19" t="s">
        <v>30</v>
      </c>
      <c r="C7" s="19" t="s">
        <v>34</v>
      </c>
      <c r="D7" s="11">
        <v>612</v>
      </c>
      <c r="E7" s="9">
        <v>679</v>
      </c>
      <c r="F7" s="9">
        <v>639</v>
      </c>
      <c r="G7" s="9">
        <v>629</v>
      </c>
      <c r="H7" s="9">
        <v>681</v>
      </c>
      <c r="J7" s="21">
        <v>3</v>
      </c>
      <c r="K7" s="39" t="s">
        <v>30</v>
      </c>
      <c r="L7" s="39" t="s">
        <v>44</v>
      </c>
      <c r="M7" s="39" t="s">
        <v>32</v>
      </c>
      <c r="N7" s="9">
        <v>33.153051880930029</v>
      </c>
      <c r="O7" s="9">
        <v>48.330836214502284</v>
      </c>
      <c r="P7" s="9">
        <v>43.618337154899272</v>
      </c>
      <c r="Q7" s="9">
        <v>39.203556518427241</v>
      </c>
      <c r="R7" s="9">
        <v>45.328614890833229</v>
      </c>
      <c r="T7" s="23">
        <v>3</v>
      </c>
      <c r="U7" s="40" t="s">
        <v>41</v>
      </c>
      <c r="V7" s="40" t="s">
        <v>39</v>
      </c>
      <c r="W7" s="40" t="s">
        <v>34</v>
      </c>
      <c r="X7" s="40" t="s">
        <v>42</v>
      </c>
      <c r="Y7" s="11">
        <v>68253</v>
      </c>
      <c r="Z7" s="9">
        <v>75586.5</v>
      </c>
      <c r="AA7" s="9">
        <v>65699.5</v>
      </c>
      <c r="AB7" s="9">
        <v>69114.5</v>
      </c>
      <c r="AC7" s="9">
        <v>80273.5</v>
      </c>
      <c r="AE7" s="48" t="s">
        <v>5</v>
      </c>
      <c r="AF7" s="29">
        <v>600</v>
      </c>
      <c r="AG7" s="29">
        <v>836</v>
      </c>
      <c r="AH7" s="48" t="s">
        <v>5</v>
      </c>
      <c r="AI7" s="29">
        <v>600</v>
      </c>
      <c r="AJ7" s="29">
        <v>804</v>
      </c>
      <c r="AK7" s="48" t="s">
        <v>5</v>
      </c>
      <c r="AL7" s="29">
        <v>600</v>
      </c>
      <c r="AM7" s="29">
        <v>818</v>
      </c>
      <c r="AN7" s="48" t="s">
        <v>5</v>
      </c>
      <c r="AO7" s="29">
        <v>600</v>
      </c>
      <c r="AP7" s="29">
        <v>819</v>
      </c>
      <c r="AQ7" s="48" t="s">
        <v>5</v>
      </c>
      <c r="AR7" s="29">
        <v>589</v>
      </c>
      <c r="AS7" s="29">
        <v>798</v>
      </c>
    </row>
    <row r="8" spans="1:45" ht="15.75" customHeight="1">
      <c r="A8" s="24">
        <v>4</v>
      </c>
      <c r="B8" s="19" t="s">
        <v>35</v>
      </c>
      <c r="C8" s="19" t="s">
        <v>38</v>
      </c>
      <c r="D8" s="11">
        <v>240</v>
      </c>
      <c r="E8" s="9">
        <v>240</v>
      </c>
      <c r="F8" s="9">
        <v>202</v>
      </c>
      <c r="G8" s="9">
        <v>268</v>
      </c>
      <c r="H8" s="9">
        <v>242</v>
      </c>
      <c r="J8" s="21">
        <v>4</v>
      </c>
      <c r="K8" s="39" t="s">
        <v>35</v>
      </c>
      <c r="L8" s="39" t="s">
        <v>32</v>
      </c>
      <c r="M8" s="39" t="s">
        <v>38</v>
      </c>
      <c r="N8" s="9">
        <v>122.37841251405389</v>
      </c>
      <c r="O8" s="9">
        <v>129.18456378210303</v>
      </c>
      <c r="P8" s="9">
        <v>135.8115393168344</v>
      </c>
      <c r="Q8" s="9">
        <v>136.10260183294602</v>
      </c>
      <c r="R8" s="9">
        <v>120.61227794817977</v>
      </c>
      <c r="T8" s="23">
        <v>4</v>
      </c>
      <c r="U8" s="40" t="s">
        <v>46</v>
      </c>
      <c r="V8" s="40" t="s">
        <v>43</v>
      </c>
      <c r="W8" s="40" t="s">
        <v>33</v>
      </c>
      <c r="X8" s="40" t="s">
        <v>47</v>
      </c>
      <c r="Y8" s="11">
        <v>450463.5</v>
      </c>
      <c r="Z8" s="9">
        <v>340467</v>
      </c>
      <c r="AA8" s="9">
        <v>352886.5</v>
      </c>
      <c r="AB8" s="9">
        <v>419094</v>
      </c>
      <c r="AC8" s="9">
        <v>356476</v>
      </c>
      <c r="AE8" s="48" t="s">
        <v>6</v>
      </c>
      <c r="AF8" s="29">
        <f>AF7+(AF7-AF6)</f>
        <v>720</v>
      </c>
      <c r="AG8" s="29">
        <f>AG6</f>
        <v>770</v>
      </c>
      <c r="AH8" s="48" t="s">
        <v>6</v>
      </c>
      <c r="AI8" s="29">
        <f>AI7+(AI7-AI6)</f>
        <v>720</v>
      </c>
      <c r="AJ8" s="29">
        <f>AJ6</f>
        <v>747</v>
      </c>
      <c r="AK8" s="48" t="s">
        <v>6</v>
      </c>
      <c r="AL8" s="29">
        <f t="shared" ref="AL8" si="0">AL7+(AL7-AL6)</f>
        <v>701</v>
      </c>
      <c r="AM8" s="29">
        <f t="shared" ref="AM8" si="1">AM6</f>
        <v>777</v>
      </c>
      <c r="AN8" s="48" t="s">
        <v>6</v>
      </c>
      <c r="AO8" s="29">
        <f t="shared" ref="AO8" si="2">AO7+(AO7-AO6)</f>
        <v>734</v>
      </c>
      <c r="AP8" s="29">
        <f t="shared" ref="AP8" si="3">AP6</f>
        <v>765</v>
      </c>
      <c r="AQ8" s="48" t="s">
        <v>6</v>
      </c>
      <c r="AR8" s="29">
        <f t="shared" ref="AR8" si="4">AR7+(AR7-AR6)</f>
        <v>710</v>
      </c>
      <c r="AS8" s="29">
        <f t="shared" ref="AS8" si="5">AS6</f>
        <v>729</v>
      </c>
    </row>
    <row r="9" spans="1:45" ht="15.75" customHeight="1">
      <c r="A9" s="24">
        <v>5</v>
      </c>
      <c r="B9" s="19" t="s">
        <v>32</v>
      </c>
      <c r="C9" s="19" t="s">
        <v>33</v>
      </c>
      <c r="D9" s="11">
        <v>94</v>
      </c>
      <c r="E9" s="9">
        <v>134</v>
      </c>
      <c r="F9" s="9">
        <v>115</v>
      </c>
      <c r="G9" s="9">
        <v>101</v>
      </c>
      <c r="H9" s="9">
        <v>114.52947218947619</v>
      </c>
      <c r="J9" s="21">
        <v>5</v>
      </c>
      <c r="K9" s="39" t="s">
        <v>39</v>
      </c>
      <c r="L9" s="39" t="s">
        <v>34</v>
      </c>
      <c r="M9" s="39" t="s">
        <v>40</v>
      </c>
      <c r="N9" s="9">
        <v>141.51624344395123</v>
      </c>
      <c r="O9" s="9">
        <v>153.8417524398663</v>
      </c>
      <c r="P9" s="9">
        <v>144.87945589639867</v>
      </c>
      <c r="Q9" s="9">
        <v>153.26613860736626</v>
      </c>
      <c r="R9" s="9">
        <v>151.92751306414701</v>
      </c>
      <c r="T9" s="23">
        <v>5</v>
      </c>
      <c r="U9" s="40" t="s">
        <v>48</v>
      </c>
      <c r="V9" s="40" t="s">
        <v>43</v>
      </c>
      <c r="W9" s="40" t="s">
        <v>34</v>
      </c>
      <c r="X9" s="40" t="s">
        <v>44</v>
      </c>
      <c r="Y9" s="11">
        <v>449568</v>
      </c>
      <c r="Z9" s="9">
        <v>332150</v>
      </c>
      <c r="AA9" s="9">
        <v>318058</v>
      </c>
      <c r="AB9" s="9">
        <v>429352</v>
      </c>
      <c r="AC9" s="9">
        <v>335885</v>
      </c>
      <c r="AE9" s="48" t="s">
        <v>77</v>
      </c>
      <c r="AF9" s="29">
        <v>600</v>
      </c>
      <c r="AG9" s="29">
        <v>930</v>
      </c>
      <c r="AH9" s="48" t="s">
        <v>77</v>
      </c>
      <c r="AI9" s="29">
        <v>600</v>
      </c>
      <c r="AJ9" s="29">
        <v>938</v>
      </c>
      <c r="AK9" s="48" t="s">
        <v>77</v>
      </c>
      <c r="AL9" s="29">
        <v>600</v>
      </c>
      <c r="AM9" s="29">
        <v>933</v>
      </c>
      <c r="AN9" s="48" t="s">
        <v>77</v>
      </c>
      <c r="AO9" s="29">
        <v>600</v>
      </c>
      <c r="AP9" s="29">
        <v>920</v>
      </c>
      <c r="AQ9" s="48" t="s">
        <v>77</v>
      </c>
      <c r="AR9" s="29">
        <v>600</v>
      </c>
      <c r="AS9" s="29">
        <v>912</v>
      </c>
    </row>
    <row r="10" spans="1:45">
      <c r="A10" s="24">
        <v>6</v>
      </c>
      <c r="B10" s="19" t="s">
        <v>32</v>
      </c>
      <c r="C10" s="19" t="s">
        <v>34</v>
      </c>
      <c r="D10" s="11">
        <v>344</v>
      </c>
      <c r="E10" s="9">
        <v>376</v>
      </c>
      <c r="F10" s="9">
        <v>362</v>
      </c>
      <c r="G10" s="9">
        <v>361</v>
      </c>
      <c r="H10" s="9">
        <v>382.15834414546021</v>
      </c>
      <c r="J10" s="21">
        <v>6</v>
      </c>
      <c r="K10" s="39" t="s">
        <v>40</v>
      </c>
      <c r="L10" s="39" t="s">
        <v>34</v>
      </c>
      <c r="M10" s="39" t="s">
        <v>62</v>
      </c>
      <c r="N10" s="9">
        <v>19.24187827802438</v>
      </c>
      <c r="O10" s="9">
        <v>13.079123780066919</v>
      </c>
      <c r="P10" s="9">
        <v>17.560272051800684</v>
      </c>
      <c r="Q10" s="9">
        <v>13.366930696316807</v>
      </c>
      <c r="R10" s="9">
        <v>14.036243467926433</v>
      </c>
      <c r="T10" s="23">
        <v>6</v>
      </c>
      <c r="U10" s="40" t="s">
        <v>52</v>
      </c>
      <c r="V10" s="40" t="s">
        <v>51</v>
      </c>
      <c r="W10" s="40" t="s">
        <v>54</v>
      </c>
      <c r="X10" s="40" t="s">
        <v>50</v>
      </c>
      <c r="Y10" s="11">
        <v>3195</v>
      </c>
      <c r="Z10" s="9">
        <v>6900</v>
      </c>
      <c r="AA10" s="9">
        <v>3754</v>
      </c>
      <c r="AB10" s="9">
        <v>4785.5</v>
      </c>
      <c r="AC10" s="9">
        <v>4129</v>
      </c>
      <c r="AE10" s="48" t="s">
        <v>8</v>
      </c>
      <c r="AF10" s="29">
        <v>494</v>
      </c>
      <c r="AG10" s="29">
        <v>1143</v>
      </c>
      <c r="AH10" s="48" t="s">
        <v>8</v>
      </c>
      <c r="AI10" s="29">
        <v>501</v>
      </c>
      <c r="AJ10" s="29">
        <v>1157</v>
      </c>
      <c r="AK10" s="48" t="s">
        <v>8</v>
      </c>
      <c r="AL10" s="29">
        <v>521</v>
      </c>
      <c r="AM10" s="29">
        <v>1155</v>
      </c>
      <c r="AN10" s="48" t="s">
        <v>8</v>
      </c>
      <c r="AO10" s="29">
        <v>499</v>
      </c>
      <c r="AP10" s="29">
        <v>1156</v>
      </c>
      <c r="AQ10" s="48" t="s">
        <v>8</v>
      </c>
      <c r="AR10" s="29">
        <v>484</v>
      </c>
      <c r="AS10" s="29">
        <v>1151</v>
      </c>
    </row>
    <row r="11" spans="1:45">
      <c r="A11" s="24">
        <v>7</v>
      </c>
      <c r="B11" s="19" t="s">
        <v>39</v>
      </c>
      <c r="C11" s="19" t="s">
        <v>40</v>
      </c>
      <c r="D11" s="11">
        <v>212</v>
      </c>
      <c r="E11" s="9">
        <v>198</v>
      </c>
      <c r="F11" s="9">
        <v>158</v>
      </c>
      <c r="G11" s="9">
        <v>202</v>
      </c>
      <c r="H11" s="9">
        <v>232</v>
      </c>
      <c r="J11" s="21">
        <v>7</v>
      </c>
      <c r="K11" s="39" t="s">
        <v>41</v>
      </c>
      <c r="L11" s="39" t="s">
        <v>34</v>
      </c>
      <c r="M11" s="39" t="s">
        <v>62</v>
      </c>
      <c r="N11" s="9">
        <v>148.98457911807594</v>
      </c>
      <c r="O11" s="9">
        <v>142.48738819714364</v>
      </c>
      <c r="P11" s="9">
        <v>145.87290220443788</v>
      </c>
      <c r="Q11" s="9">
        <v>149.52682174998134</v>
      </c>
      <c r="R11" s="9">
        <v>141.59817345505925</v>
      </c>
      <c r="T11" s="23">
        <v>7</v>
      </c>
      <c r="U11" s="40" t="s">
        <v>76</v>
      </c>
      <c r="V11" s="40" t="s">
        <v>73</v>
      </c>
      <c r="W11" s="40" t="s">
        <v>75</v>
      </c>
      <c r="X11" s="40" t="s">
        <v>74</v>
      </c>
      <c r="Y11" s="11">
        <v>3681</v>
      </c>
      <c r="Z11" s="9">
        <v>3587.5</v>
      </c>
      <c r="AA11" s="9">
        <v>5661</v>
      </c>
      <c r="AB11" s="9">
        <v>3830</v>
      </c>
      <c r="AC11" s="9">
        <v>5267.5</v>
      </c>
      <c r="AE11" s="48" t="s">
        <v>9</v>
      </c>
      <c r="AF11" s="29">
        <v>600</v>
      </c>
      <c r="AG11" s="29">
        <v>1180</v>
      </c>
      <c r="AH11" s="48" t="s">
        <v>9</v>
      </c>
      <c r="AI11" s="29">
        <v>600</v>
      </c>
      <c r="AJ11" s="29">
        <v>1180</v>
      </c>
      <c r="AK11" s="48" t="s">
        <v>9</v>
      </c>
      <c r="AL11" s="29">
        <v>600</v>
      </c>
      <c r="AM11" s="29">
        <v>1180</v>
      </c>
      <c r="AN11" s="48" t="s">
        <v>9</v>
      </c>
      <c r="AO11" s="29">
        <v>600</v>
      </c>
      <c r="AP11" s="29">
        <v>1180</v>
      </c>
      <c r="AQ11" s="48" t="s">
        <v>9</v>
      </c>
      <c r="AR11" s="29">
        <v>600</v>
      </c>
      <c r="AS11" s="29">
        <v>1180</v>
      </c>
    </row>
    <row r="12" spans="1:45">
      <c r="A12" s="24">
        <v>8</v>
      </c>
      <c r="B12" s="19" t="s">
        <v>41</v>
      </c>
      <c r="C12" s="19" t="s">
        <v>42</v>
      </c>
      <c r="D12" s="11">
        <v>652</v>
      </c>
      <c r="E12" s="9">
        <v>594</v>
      </c>
      <c r="F12" s="9">
        <v>602</v>
      </c>
      <c r="G12" s="9">
        <v>656</v>
      </c>
      <c r="H12" s="9">
        <v>598</v>
      </c>
      <c r="J12" s="21">
        <v>8</v>
      </c>
      <c r="K12" s="39" t="s">
        <v>42</v>
      </c>
      <c r="L12" s="39" t="s">
        <v>34</v>
      </c>
      <c r="M12" s="39" t="s">
        <v>62</v>
      </c>
      <c r="N12" s="9">
        <v>31.015420881924097</v>
      </c>
      <c r="O12" s="9">
        <v>37.512611802856348</v>
      </c>
      <c r="P12" s="9">
        <v>34.12709779556215</v>
      </c>
      <c r="Q12" s="9">
        <v>30.473178250018641</v>
      </c>
      <c r="R12" s="9">
        <v>38.401826544940718</v>
      </c>
      <c r="T12" s="23">
        <v>8</v>
      </c>
      <c r="U12" s="40"/>
      <c r="V12" s="40"/>
      <c r="W12" s="40"/>
      <c r="X12" s="40"/>
      <c r="Y12" s="11"/>
      <c r="Z12" s="9"/>
      <c r="AA12" s="9"/>
      <c r="AB12" s="9"/>
      <c r="AC12" s="9"/>
      <c r="AE12" s="48" t="s">
        <v>10</v>
      </c>
      <c r="AF12" s="29">
        <f>AF11+(AF11-AF10)</f>
        <v>706</v>
      </c>
      <c r="AG12" s="29">
        <f>AG10</f>
        <v>1143</v>
      </c>
      <c r="AH12" s="48" t="s">
        <v>10</v>
      </c>
      <c r="AI12" s="29">
        <f>AI11+(AI11-AI10)</f>
        <v>699</v>
      </c>
      <c r="AJ12" s="29">
        <f>AJ10</f>
        <v>1157</v>
      </c>
      <c r="AK12" s="48" t="s">
        <v>10</v>
      </c>
      <c r="AL12" s="29">
        <f t="shared" ref="AL12" si="6">AL11+(AL11-AL10)</f>
        <v>679</v>
      </c>
      <c r="AM12" s="29">
        <f t="shared" ref="AM12" si="7">AM10</f>
        <v>1155</v>
      </c>
      <c r="AN12" s="48" t="s">
        <v>10</v>
      </c>
      <c r="AO12" s="29">
        <f t="shared" ref="AO12" si="8">AO11+(AO11-AO10)</f>
        <v>701</v>
      </c>
      <c r="AP12" s="29">
        <f t="shared" ref="AP12" si="9">AP10</f>
        <v>1156</v>
      </c>
      <c r="AQ12" s="48" t="s">
        <v>10</v>
      </c>
      <c r="AR12" s="29">
        <f t="shared" ref="AR12" si="10">AR11+(AR11-AR10)</f>
        <v>716</v>
      </c>
      <c r="AS12" s="29">
        <f t="shared" ref="AS12" si="11">AS10</f>
        <v>1151</v>
      </c>
    </row>
    <row r="13" spans="1:45">
      <c r="A13" s="24">
        <v>9</v>
      </c>
      <c r="B13" s="19" t="s">
        <v>43</v>
      </c>
      <c r="C13" s="19" t="s">
        <v>44</v>
      </c>
      <c r="D13" s="11">
        <v>892</v>
      </c>
      <c r="E13" s="9">
        <v>650</v>
      </c>
      <c r="F13" s="9">
        <v>676</v>
      </c>
      <c r="G13" s="9">
        <v>748</v>
      </c>
      <c r="H13" s="9">
        <v>682</v>
      </c>
      <c r="J13" s="21">
        <v>9</v>
      </c>
      <c r="K13" s="39" t="s">
        <v>43</v>
      </c>
      <c r="L13" s="39" t="s">
        <v>41</v>
      </c>
      <c r="M13" s="39" t="s">
        <v>34</v>
      </c>
      <c r="N13" s="9">
        <v>141.16716791613598</v>
      </c>
      <c r="O13" s="9">
        <v>134.48360761008581</v>
      </c>
      <c r="P13" s="9">
        <v>132.89119862344012</v>
      </c>
      <c r="Q13" s="9">
        <v>130.10683900087167</v>
      </c>
      <c r="R13" s="9">
        <v>139.21005748526048</v>
      </c>
      <c r="T13" s="23">
        <v>9</v>
      </c>
      <c r="U13" s="40"/>
      <c r="V13" s="40"/>
      <c r="W13" s="40"/>
      <c r="X13" s="40"/>
      <c r="Y13" s="11"/>
      <c r="Z13" s="9"/>
      <c r="AA13" s="9"/>
      <c r="AB13" s="9"/>
      <c r="AC13" s="9"/>
      <c r="AE13" s="48" t="s">
        <v>11</v>
      </c>
      <c r="AF13" s="29">
        <v>274</v>
      </c>
      <c r="AG13" s="29">
        <v>984</v>
      </c>
      <c r="AH13" s="48" t="s">
        <v>11</v>
      </c>
      <c r="AI13" s="29">
        <v>303</v>
      </c>
      <c r="AJ13" s="29">
        <v>952</v>
      </c>
      <c r="AK13" s="48" t="s">
        <v>11</v>
      </c>
      <c r="AL13" s="29">
        <v>299</v>
      </c>
      <c r="AM13" s="29">
        <v>976</v>
      </c>
      <c r="AN13" s="48" t="s">
        <v>11</v>
      </c>
      <c r="AO13" s="29">
        <v>272</v>
      </c>
      <c r="AP13" s="29">
        <v>987</v>
      </c>
      <c r="AQ13" s="48" t="s">
        <v>11</v>
      </c>
      <c r="AR13" s="29">
        <v>301</v>
      </c>
      <c r="AS13" s="29">
        <v>943</v>
      </c>
    </row>
    <row r="14" spans="1:45">
      <c r="A14" s="24">
        <v>10</v>
      </c>
      <c r="B14" s="19" t="s">
        <v>45</v>
      </c>
      <c r="C14" s="19" t="s">
        <v>43</v>
      </c>
      <c r="D14" s="11">
        <v>101.40019723846694</v>
      </c>
      <c r="E14" s="9">
        <v>74.431176263713581</v>
      </c>
      <c r="F14" s="9">
        <v>65.924198895398035</v>
      </c>
      <c r="G14" s="9">
        <v>106.09901036296239</v>
      </c>
      <c r="H14" s="9">
        <v>47.095647357266465</v>
      </c>
      <c r="J14" s="21">
        <v>10</v>
      </c>
      <c r="K14" s="39" t="s">
        <v>44</v>
      </c>
      <c r="L14" s="39" t="s">
        <v>32</v>
      </c>
      <c r="M14" s="39" t="s">
        <v>62</v>
      </c>
      <c r="N14" s="9">
        <v>52.540152294014938</v>
      </c>
      <c r="O14" s="9">
        <v>46.949122473320415</v>
      </c>
      <c r="P14" s="9">
        <v>45.606548732323873</v>
      </c>
      <c r="Q14" s="9">
        <v>47.296316834950026</v>
      </c>
      <c r="R14" s="9">
        <v>44.905139259720052</v>
      </c>
      <c r="T14" s="23">
        <v>10</v>
      </c>
      <c r="U14" s="40"/>
      <c r="V14" s="40"/>
      <c r="W14" s="40"/>
      <c r="X14" s="40"/>
      <c r="Y14" s="11"/>
      <c r="Z14" s="9"/>
      <c r="AA14" s="9"/>
      <c r="AB14" s="9"/>
      <c r="AC14" s="9"/>
      <c r="AE14" s="48" t="s">
        <v>12</v>
      </c>
      <c r="AF14" s="29">
        <f>600+(600-AF13)</f>
        <v>926</v>
      </c>
      <c r="AG14" s="29">
        <f>AG13</f>
        <v>984</v>
      </c>
      <c r="AH14" s="48" t="s">
        <v>12</v>
      </c>
      <c r="AI14" s="29">
        <f>600+(600-AI13)</f>
        <v>897</v>
      </c>
      <c r="AJ14" s="29">
        <f>AJ13</f>
        <v>952</v>
      </c>
      <c r="AK14" s="48" t="s">
        <v>12</v>
      </c>
      <c r="AL14" s="29">
        <f t="shared" ref="AL14" si="12">600+(600-AL13)</f>
        <v>901</v>
      </c>
      <c r="AM14" s="29">
        <f t="shared" ref="AM14" si="13">AM13</f>
        <v>976</v>
      </c>
      <c r="AN14" s="48" t="s">
        <v>12</v>
      </c>
      <c r="AO14" s="29">
        <f t="shared" ref="AO14" si="14">600+(600-AO13)</f>
        <v>928</v>
      </c>
      <c r="AP14" s="29">
        <f t="shared" ref="AP14" si="15">AP13</f>
        <v>987</v>
      </c>
      <c r="AQ14" s="48" t="s">
        <v>12</v>
      </c>
      <c r="AR14" s="29">
        <f t="shared" ref="AR14" si="16">600+(600-AR13)</f>
        <v>899</v>
      </c>
      <c r="AS14" s="29">
        <f t="shared" ref="AS14" si="17">AS13</f>
        <v>943</v>
      </c>
    </row>
    <row r="15" spans="1:45">
      <c r="A15" s="24">
        <v>11</v>
      </c>
      <c r="B15" s="19" t="s">
        <v>46</v>
      </c>
      <c r="C15" s="19" t="s">
        <v>47</v>
      </c>
      <c r="D15" s="11">
        <v>738</v>
      </c>
      <c r="E15" s="9">
        <v>616</v>
      </c>
      <c r="F15" s="9">
        <v>622</v>
      </c>
      <c r="G15" s="9">
        <v>756</v>
      </c>
      <c r="H15" s="9">
        <v>642</v>
      </c>
      <c r="J15" s="21">
        <v>11</v>
      </c>
      <c r="K15" s="39" t="s">
        <v>44</v>
      </c>
      <c r="L15" s="39" t="s">
        <v>33</v>
      </c>
      <c r="M15" s="39" t="s">
        <v>62</v>
      </c>
      <c r="N15" s="9">
        <v>54.788826549480838</v>
      </c>
      <c r="O15" s="9">
        <v>56.13408555054734</v>
      </c>
      <c r="P15" s="9">
        <v>53.302668425347377</v>
      </c>
      <c r="Q15" s="9">
        <v>52.756001626386876</v>
      </c>
      <c r="R15" s="9">
        <v>53.797701552832393</v>
      </c>
      <c r="T15" s="23">
        <v>11</v>
      </c>
      <c r="U15" s="40"/>
      <c r="V15" s="40"/>
      <c r="W15" s="40"/>
      <c r="X15" s="40"/>
      <c r="Y15" s="11"/>
      <c r="Z15" s="9"/>
      <c r="AA15" s="9"/>
      <c r="AB15" s="9"/>
      <c r="AC15" s="9"/>
      <c r="AE15" s="48" t="s">
        <v>13</v>
      </c>
      <c r="AF15" s="29">
        <v>154</v>
      </c>
      <c r="AG15" s="29">
        <v>657</v>
      </c>
      <c r="AH15" s="48" t="s">
        <v>13</v>
      </c>
      <c r="AI15" s="29">
        <v>275</v>
      </c>
      <c r="AJ15" s="29">
        <v>723</v>
      </c>
      <c r="AK15" s="48" t="s">
        <v>13</v>
      </c>
      <c r="AL15" s="29">
        <v>262</v>
      </c>
      <c r="AM15" s="29">
        <v>736</v>
      </c>
      <c r="AN15" s="48" t="s">
        <v>13</v>
      </c>
      <c r="AO15" s="29">
        <v>226</v>
      </c>
      <c r="AP15" s="29">
        <v>716</v>
      </c>
      <c r="AQ15" s="48" t="s">
        <v>13</v>
      </c>
      <c r="AR15" s="29">
        <v>259</v>
      </c>
      <c r="AS15" s="29">
        <v>723</v>
      </c>
    </row>
    <row r="16" spans="1:45" ht="15.75" customHeight="1">
      <c r="A16" s="24">
        <v>12</v>
      </c>
      <c r="B16" s="19" t="s">
        <v>48</v>
      </c>
      <c r="C16" s="19" t="s">
        <v>30</v>
      </c>
      <c r="D16" s="11">
        <v>396.91938728159903</v>
      </c>
      <c r="E16" s="9">
        <v>343</v>
      </c>
      <c r="F16" s="9">
        <v>302</v>
      </c>
      <c r="G16" s="9">
        <v>519</v>
      </c>
      <c r="H16" s="9">
        <v>304</v>
      </c>
      <c r="J16" s="21">
        <v>12</v>
      </c>
      <c r="K16" s="39" t="s">
        <v>47</v>
      </c>
      <c r="L16" s="39" t="s">
        <v>30</v>
      </c>
      <c r="M16" s="39" t="s">
        <v>62</v>
      </c>
      <c r="N16" s="9">
        <v>99.215994950109675</v>
      </c>
      <c r="O16" s="9">
        <v>98.710313750197074</v>
      </c>
      <c r="P16" s="9">
        <v>100.38652254814819</v>
      </c>
      <c r="Q16" s="9">
        <v>96.719596575768946</v>
      </c>
      <c r="R16" s="9">
        <v>98.940217000230092</v>
      </c>
      <c r="T16" s="23">
        <v>12</v>
      </c>
      <c r="U16" s="40"/>
      <c r="V16" s="40"/>
      <c r="W16" s="40"/>
      <c r="X16" s="40"/>
      <c r="Y16" s="11"/>
      <c r="Z16" s="9"/>
      <c r="AA16" s="9"/>
      <c r="AB16" s="9"/>
      <c r="AC16" s="9"/>
      <c r="AE16" s="48" t="s">
        <v>14</v>
      </c>
      <c r="AF16" s="29">
        <f>600+(600-AF15)</f>
        <v>1046</v>
      </c>
      <c r="AG16" s="29">
        <f>AG15</f>
        <v>657</v>
      </c>
      <c r="AH16" s="48" t="s">
        <v>14</v>
      </c>
      <c r="AI16" s="29">
        <f>600+(600-AI15)</f>
        <v>925</v>
      </c>
      <c r="AJ16" s="29">
        <f>AJ15</f>
        <v>723</v>
      </c>
      <c r="AK16" s="48" t="s">
        <v>14</v>
      </c>
      <c r="AL16" s="29">
        <f t="shared" ref="AL16" si="18">600+(600-AL15)</f>
        <v>938</v>
      </c>
      <c r="AM16" s="29">
        <f t="shared" ref="AM16" si="19">AM15</f>
        <v>736</v>
      </c>
      <c r="AN16" s="48" t="s">
        <v>14</v>
      </c>
      <c r="AO16" s="29">
        <f t="shared" ref="AO16" si="20">600+(600-AO15)</f>
        <v>974</v>
      </c>
      <c r="AP16" s="29">
        <f t="shared" ref="AP16" si="21">AP15</f>
        <v>716</v>
      </c>
      <c r="AQ16" s="48" t="s">
        <v>14</v>
      </c>
      <c r="AR16" s="29">
        <f t="shared" ref="AR16" si="22">600+(600-AR15)</f>
        <v>941</v>
      </c>
      <c r="AS16" s="29">
        <f t="shared" ref="AS16" si="23">AS15</f>
        <v>723</v>
      </c>
    </row>
    <row r="17" spans="1:45" ht="15.75" customHeight="1">
      <c r="A17" s="24">
        <v>13</v>
      </c>
      <c r="B17" s="19" t="s">
        <v>48</v>
      </c>
      <c r="C17" s="19" t="s">
        <v>32</v>
      </c>
      <c r="D17" s="11">
        <v>664.54871905677464</v>
      </c>
      <c r="E17" s="9">
        <v>646</v>
      </c>
      <c r="F17" s="9">
        <v>579</v>
      </c>
      <c r="G17" s="9">
        <v>787</v>
      </c>
      <c r="H17" s="9">
        <v>603.10032332937772</v>
      </c>
      <c r="J17" s="21">
        <v>13</v>
      </c>
      <c r="K17" s="39" t="s">
        <v>47</v>
      </c>
      <c r="L17" s="39" t="s">
        <v>48</v>
      </c>
      <c r="M17" s="39" t="s">
        <v>62</v>
      </c>
      <c r="N17" s="9">
        <v>71.473190947573372</v>
      </c>
      <c r="O17" s="9">
        <v>63.027015627470568</v>
      </c>
      <c r="P17" s="9">
        <v>77.007489980384136</v>
      </c>
      <c r="Q17" s="9">
        <v>51.536593108116101</v>
      </c>
      <c r="R17" s="9">
        <v>71.810861123820374</v>
      </c>
      <c r="T17" s="23">
        <v>13</v>
      </c>
      <c r="U17" s="40"/>
      <c r="V17" s="40"/>
      <c r="W17" s="40"/>
      <c r="X17" s="40"/>
      <c r="Y17" s="11"/>
      <c r="Z17" s="9"/>
      <c r="AA17" s="9"/>
      <c r="AB17" s="9"/>
      <c r="AC17" s="9"/>
      <c r="AE17" s="48" t="s">
        <v>15</v>
      </c>
      <c r="AF17" s="29">
        <v>53</v>
      </c>
      <c r="AG17" s="29">
        <v>648</v>
      </c>
      <c r="AH17" s="48" t="s">
        <v>15</v>
      </c>
      <c r="AI17" s="29">
        <v>201</v>
      </c>
      <c r="AJ17" s="29">
        <v>731</v>
      </c>
      <c r="AK17" s="48" t="s">
        <v>15</v>
      </c>
      <c r="AL17" s="29">
        <v>197</v>
      </c>
      <c r="AM17" s="29">
        <v>747</v>
      </c>
      <c r="AN17" s="48" t="s">
        <v>15</v>
      </c>
      <c r="AO17" s="29">
        <v>122</v>
      </c>
      <c r="AP17" s="29">
        <v>695</v>
      </c>
      <c r="AQ17" s="48" t="s">
        <v>15</v>
      </c>
      <c r="AR17" s="29">
        <v>212</v>
      </c>
      <c r="AS17" s="29">
        <v>720</v>
      </c>
    </row>
    <row r="18" spans="1:45">
      <c r="A18" s="24">
        <v>14</v>
      </c>
      <c r="B18" s="19" t="s">
        <v>48</v>
      </c>
      <c r="C18" s="19" t="s">
        <v>33</v>
      </c>
      <c r="D18" s="11">
        <v>758.48071827832246</v>
      </c>
      <c r="E18" s="9">
        <v>780</v>
      </c>
      <c r="F18" s="9">
        <v>694</v>
      </c>
      <c r="G18" s="9">
        <v>888</v>
      </c>
      <c r="H18" s="9">
        <v>717</v>
      </c>
      <c r="J18" s="21">
        <v>14</v>
      </c>
      <c r="K18" s="44" t="s">
        <v>48</v>
      </c>
      <c r="L18" s="44" t="s">
        <v>78</v>
      </c>
      <c r="M18" s="44" t="s">
        <v>79</v>
      </c>
      <c r="N18" s="11">
        <v>54.478109430747431</v>
      </c>
      <c r="O18" s="9">
        <v>46.093726336020573</v>
      </c>
      <c r="P18" s="9">
        <v>51.307508768600428</v>
      </c>
      <c r="Q18" s="9">
        <v>71.26773471215472</v>
      </c>
      <c r="R18" s="9">
        <v>49.357203001562624</v>
      </c>
      <c r="T18" s="23">
        <v>14</v>
      </c>
      <c r="U18" s="40"/>
      <c r="V18" s="40"/>
      <c r="W18" s="40"/>
      <c r="X18" s="40"/>
      <c r="Y18" s="11"/>
      <c r="Z18" s="9"/>
      <c r="AA18" s="9"/>
      <c r="AB18" s="9"/>
      <c r="AC18" s="9"/>
      <c r="AE18" s="48" t="s">
        <v>16</v>
      </c>
      <c r="AF18" s="29">
        <f>600+(600-AF17)</f>
        <v>1147</v>
      </c>
      <c r="AG18" s="29">
        <f>AG17</f>
        <v>648</v>
      </c>
      <c r="AH18" s="48" t="s">
        <v>16</v>
      </c>
      <c r="AI18" s="29">
        <f>600+(600-AI17)</f>
        <v>999</v>
      </c>
      <c r="AJ18" s="29">
        <f>AJ17</f>
        <v>731</v>
      </c>
      <c r="AK18" s="48" t="s">
        <v>16</v>
      </c>
      <c r="AL18" s="29">
        <f t="shared" ref="AL18" si="24">600+(600-AL17)</f>
        <v>1003</v>
      </c>
      <c r="AM18" s="29">
        <f t="shared" ref="AM18" si="25">AM17</f>
        <v>747</v>
      </c>
      <c r="AN18" s="48" t="s">
        <v>16</v>
      </c>
      <c r="AO18" s="29">
        <f t="shared" ref="AO18" si="26">600+(600-AO17)</f>
        <v>1078</v>
      </c>
      <c r="AP18" s="29">
        <f t="shared" ref="AP18" si="27">AP17</f>
        <v>695</v>
      </c>
      <c r="AQ18" s="48" t="s">
        <v>16</v>
      </c>
      <c r="AR18" s="29">
        <f t="shared" ref="AR18" si="28">600+(600-AR17)</f>
        <v>988</v>
      </c>
      <c r="AS18" s="29">
        <f t="shared" ref="AS18" si="29">AS17</f>
        <v>720</v>
      </c>
    </row>
    <row r="19" spans="1:45">
      <c r="A19" s="24">
        <v>15</v>
      </c>
      <c r="B19" s="19" t="s">
        <v>48</v>
      </c>
      <c r="C19" s="19" t="s">
        <v>34</v>
      </c>
      <c r="D19" s="11">
        <v>1008.3615423051397</v>
      </c>
      <c r="E19" s="9">
        <v>1022</v>
      </c>
      <c r="F19" s="9">
        <v>941</v>
      </c>
      <c r="G19" s="9">
        <v>1148</v>
      </c>
      <c r="H19" s="9">
        <v>985</v>
      </c>
      <c r="J19" s="21">
        <v>15</v>
      </c>
      <c r="K19" s="44" t="s">
        <v>80</v>
      </c>
      <c r="L19" s="44" t="s">
        <v>78</v>
      </c>
      <c r="M19" s="44" t="s">
        <v>79</v>
      </c>
      <c r="N19" s="11">
        <v>17.436430672842871</v>
      </c>
      <c r="O19" s="9">
        <v>21.810934969142373</v>
      </c>
      <c r="P19" s="9">
        <v>22.734370475361658</v>
      </c>
      <c r="Q19" s="9">
        <v>21.409337291263395</v>
      </c>
      <c r="R19" s="9">
        <v>27.242597976630456</v>
      </c>
      <c r="T19" s="23">
        <v>15</v>
      </c>
      <c r="U19" s="40"/>
      <c r="V19" s="40"/>
      <c r="W19" s="40"/>
      <c r="X19" s="40"/>
      <c r="Y19" s="11"/>
      <c r="Z19" s="9"/>
      <c r="AA19" s="9"/>
      <c r="AB19" s="9"/>
      <c r="AC19" s="9"/>
      <c r="AE19" s="48" t="s">
        <v>17</v>
      </c>
      <c r="AF19" s="29">
        <v>231</v>
      </c>
      <c r="AG19" s="29">
        <v>84</v>
      </c>
      <c r="AH19" s="48" t="s">
        <v>17</v>
      </c>
      <c r="AI19" s="29">
        <v>292</v>
      </c>
      <c r="AJ19" s="29">
        <v>144</v>
      </c>
      <c r="AK19" s="48" t="s">
        <v>17</v>
      </c>
      <c r="AL19" s="29">
        <v>289</v>
      </c>
      <c r="AM19" s="29">
        <v>134</v>
      </c>
      <c r="AN19" s="48" t="s">
        <v>17</v>
      </c>
      <c r="AO19" s="29">
        <v>222</v>
      </c>
      <c r="AP19" s="29">
        <v>110</v>
      </c>
      <c r="AQ19" s="48" t="s">
        <v>17</v>
      </c>
      <c r="AR19" s="29">
        <v>279</v>
      </c>
      <c r="AS19" s="29">
        <v>125</v>
      </c>
    </row>
    <row r="20" spans="1:45">
      <c r="A20" s="24">
        <v>16</v>
      </c>
      <c r="B20" s="19" t="s">
        <v>50</v>
      </c>
      <c r="C20" s="19" t="s">
        <v>51</v>
      </c>
      <c r="D20" s="11">
        <v>45</v>
      </c>
      <c r="E20" s="9">
        <v>84.380092438915952</v>
      </c>
      <c r="F20" s="9">
        <v>50.009999000199947</v>
      </c>
      <c r="G20" s="9">
        <v>66.007575322836999</v>
      </c>
      <c r="H20" s="9">
        <v>54.037024344425184</v>
      </c>
      <c r="I20" s="3"/>
      <c r="J20" s="21">
        <v>16</v>
      </c>
      <c r="K20" s="44" t="s">
        <v>48</v>
      </c>
      <c r="L20" s="44" t="s">
        <v>81</v>
      </c>
      <c r="M20" s="44" t="s">
        <v>79</v>
      </c>
      <c r="N20" s="11">
        <v>96.394727435616431</v>
      </c>
      <c r="O20" s="9">
        <v>105.05323742361091</v>
      </c>
      <c r="P20" s="9">
        <v>104.76386497386035</v>
      </c>
      <c r="Q20" s="9">
        <v>96.46298577032195</v>
      </c>
      <c r="R20" s="9">
        <v>104.47276515700477</v>
      </c>
      <c r="T20" s="23">
        <v>16</v>
      </c>
      <c r="U20" s="40"/>
      <c r="V20" s="40"/>
      <c r="W20" s="40"/>
      <c r="X20" s="40"/>
      <c r="Y20" s="11"/>
      <c r="Z20" s="9"/>
      <c r="AA20" s="9"/>
      <c r="AB20" s="9"/>
      <c r="AC20" s="9"/>
      <c r="AE20" s="48" t="s">
        <v>18</v>
      </c>
      <c r="AF20" s="29">
        <v>573</v>
      </c>
      <c r="AG20" s="29">
        <v>172</v>
      </c>
      <c r="AH20" s="48" t="s">
        <v>18</v>
      </c>
      <c r="AI20" s="29">
        <v>600</v>
      </c>
      <c r="AJ20" s="29">
        <v>158</v>
      </c>
      <c r="AK20" s="48" t="s">
        <v>18</v>
      </c>
      <c r="AL20" s="29">
        <v>600</v>
      </c>
      <c r="AM20" s="29">
        <v>239</v>
      </c>
      <c r="AN20" s="48" t="s">
        <v>18</v>
      </c>
      <c r="AO20" s="29">
        <v>600</v>
      </c>
      <c r="AP20" s="29">
        <v>32</v>
      </c>
      <c r="AQ20" s="48" t="s">
        <v>18</v>
      </c>
      <c r="AR20" s="29">
        <v>600</v>
      </c>
      <c r="AS20" s="29">
        <v>195</v>
      </c>
    </row>
    <row r="21" spans="1:45">
      <c r="A21" s="24">
        <v>17</v>
      </c>
      <c r="B21" s="19" t="s">
        <v>65</v>
      </c>
      <c r="C21" s="19" t="s">
        <v>66</v>
      </c>
      <c r="D21" s="11">
        <v>250</v>
      </c>
      <c r="E21" s="9">
        <v>242</v>
      </c>
      <c r="F21" s="9">
        <v>247</v>
      </c>
      <c r="G21" s="9">
        <v>260</v>
      </c>
      <c r="H21" s="9">
        <v>268</v>
      </c>
      <c r="I21" s="3"/>
      <c r="J21" s="21">
        <v>17</v>
      </c>
      <c r="K21" s="44" t="s">
        <v>80</v>
      </c>
      <c r="L21" s="44" t="s">
        <v>81</v>
      </c>
      <c r="M21" s="44" t="s">
        <v>79</v>
      </c>
      <c r="N21" s="11">
        <v>19.291102129024456</v>
      </c>
      <c r="O21" s="9">
        <v>25.701730293233084</v>
      </c>
      <c r="P21" s="9">
        <v>28.10881207508065</v>
      </c>
      <c r="Q21" s="9">
        <v>21.194056481542276</v>
      </c>
      <c r="R21" s="9">
        <v>29.253237004483118</v>
      </c>
      <c r="T21" s="23">
        <v>17</v>
      </c>
      <c r="U21" s="40"/>
      <c r="V21" s="40"/>
      <c r="W21" s="40"/>
      <c r="X21" s="40"/>
      <c r="Y21" s="11"/>
      <c r="Z21" s="9"/>
      <c r="AA21" s="9"/>
      <c r="AB21" s="9"/>
      <c r="AC21" s="9"/>
      <c r="AE21" s="48" t="s">
        <v>19</v>
      </c>
      <c r="AF21" s="29">
        <f>600+(600-AF19)</f>
        <v>969</v>
      </c>
      <c r="AG21" s="29">
        <f>AG19</f>
        <v>84</v>
      </c>
      <c r="AH21" s="48" t="s">
        <v>19</v>
      </c>
      <c r="AI21" s="29">
        <f>600+(600-AI19)</f>
        <v>908</v>
      </c>
      <c r="AJ21" s="29">
        <f>AJ19</f>
        <v>144</v>
      </c>
      <c r="AK21" s="48" t="s">
        <v>19</v>
      </c>
      <c r="AL21" s="29">
        <f t="shared" ref="AL21" si="30">600+(600-AL19)</f>
        <v>911</v>
      </c>
      <c r="AM21" s="29">
        <f t="shared" ref="AM21" si="31">AM19</f>
        <v>134</v>
      </c>
      <c r="AN21" s="48" t="s">
        <v>19</v>
      </c>
      <c r="AO21" s="29">
        <f t="shared" ref="AO21" si="32">600+(600-AO19)</f>
        <v>978</v>
      </c>
      <c r="AP21" s="29">
        <f t="shared" ref="AP21" si="33">AP19</f>
        <v>110</v>
      </c>
      <c r="AQ21" s="48" t="s">
        <v>19</v>
      </c>
      <c r="AR21" s="29">
        <f t="shared" ref="AR21" si="34">600+(600-AR19)</f>
        <v>921</v>
      </c>
      <c r="AS21" s="29">
        <f t="shared" ref="AS21" si="35">AS19</f>
        <v>125</v>
      </c>
    </row>
    <row r="22" spans="1:45">
      <c r="A22" s="24">
        <v>18</v>
      </c>
      <c r="B22" s="19" t="s">
        <v>76</v>
      </c>
      <c r="C22" s="19" t="s">
        <v>75</v>
      </c>
      <c r="D22" s="11">
        <v>40.249223594996216</v>
      </c>
      <c r="E22" s="9">
        <v>40.311288741492746</v>
      </c>
      <c r="F22" s="9">
        <v>51</v>
      </c>
      <c r="G22" s="9">
        <v>38.209946349085598</v>
      </c>
      <c r="H22" s="9">
        <v>53.037722424704477</v>
      </c>
      <c r="I22" s="3"/>
      <c r="J22" s="21">
        <v>18</v>
      </c>
      <c r="K22" s="39"/>
      <c r="L22" s="39"/>
      <c r="M22" s="39"/>
      <c r="N22" s="11"/>
      <c r="O22" s="9"/>
      <c r="P22" s="9"/>
      <c r="Q22" s="9"/>
      <c r="R22" s="9"/>
      <c r="T22" s="23">
        <v>18</v>
      </c>
      <c r="U22" s="40"/>
      <c r="V22" s="40"/>
      <c r="W22" s="40"/>
      <c r="X22" s="40"/>
      <c r="Y22" s="11"/>
      <c r="Z22" s="9"/>
      <c r="AA22" s="9"/>
      <c r="AB22" s="9"/>
      <c r="AC22" s="9"/>
      <c r="AE22" s="48" t="s">
        <v>20</v>
      </c>
      <c r="AF22" s="29">
        <v>362</v>
      </c>
      <c r="AG22" s="29">
        <v>600</v>
      </c>
      <c r="AH22" s="48" t="s">
        <v>20</v>
      </c>
      <c r="AI22" s="29">
        <v>342</v>
      </c>
      <c r="AJ22" s="29">
        <v>500</v>
      </c>
      <c r="AK22" s="48" t="s">
        <v>20</v>
      </c>
      <c r="AL22" s="29">
        <v>361</v>
      </c>
      <c r="AM22" s="29">
        <v>611</v>
      </c>
      <c r="AN22" s="49" t="s">
        <v>20</v>
      </c>
      <c r="AO22" s="30">
        <v>348</v>
      </c>
      <c r="AP22" s="30">
        <v>586</v>
      </c>
      <c r="AQ22" s="48" t="s">
        <v>20</v>
      </c>
      <c r="AR22" s="29">
        <v>346</v>
      </c>
      <c r="AS22" s="29">
        <v>567</v>
      </c>
    </row>
    <row r="23" spans="1:45">
      <c r="A23" s="24">
        <v>19</v>
      </c>
      <c r="B23" s="19" t="s">
        <v>73</v>
      </c>
      <c r="C23" s="19" t="s">
        <v>74</v>
      </c>
      <c r="D23" s="11">
        <v>210.28789789238942</v>
      </c>
      <c r="E23" s="9">
        <v>179.02513789968157</v>
      </c>
      <c r="F23" s="9">
        <v>222.44100341438852</v>
      </c>
      <c r="G23" s="9">
        <v>200.5617112013158</v>
      </c>
      <c r="H23" s="9">
        <v>199.090431713832</v>
      </c>
      <c r="I23" s="3"/>
      <c r="J23" s="21">
        <v>19</v>
      </c>
      <c r="K23" s="39"/>
      <c r="L23" s="39"/>
      <c r="M23" s="39"/>
      <c r="N23" s="11"/>
      <c r="O23" s="9"/>
      <c r="P23" s="9"/>
      <c r="Q23" s="9"/>
      <c r="R23" s="9"/>
      <c r="T23" s="23">
        <v>19</v>
      </c>
      <c r="U23" s="40"/>
      <c r="V23" s="40"/>
      <c r="W23" s="40"/>
      <c r="X23" s="40"/>
      <c r="Y23" s="11"/>
      <c r="Z23" s="9"/>
      <c r="AA23" s="9"/>
      <c r="AB23" s="9"/>
      <c r="AC23" s="9"/>
      <c r="AE23" s="48" t="s">
        <v>21</v>
      </c>
      <c r="AF23" s="29">
        <v>436</v>
      </c>
      <c r="AG23" s="29">
        <v>617</v>
      </c>
      <c r="AH23" s="49" t="s">
        <v>21</v>
      </c>
      <c r="AI23" s="30">
        <v>411</v>
      </c>
      <c r="AJ23" s="30">
        <v>613</v>
      </c>
      <c r="AK23" s="48" t="s">
        <v>21</v>
      </c>
      <c r="AL23" s="29">
        <v>432</v>
      </c>
      <c r="AM23" s="29">
        <v>618</v>
      </c>
      <c r="AN23" s="49" t="s">
        <v>21</v>
      </c>
      <c r="AO23" s="30">
        <v>422</v>
      </c>
      <c r="AP23" s="30">
        <v>616</v>
      </c>
      <c r="AQ23" s="48" t="s">
        <v>21</v>
      </c>
      <c r="AR23" s="29">
        <v>424</v>
      </c>
      <c r="AS23" s="29">
        <v>584</v>
      </c>
    </row>
    <row r="24" spans="1:45">
      <c r="A24" s="24">
        <v>20</v>
      </c>
      <c r="B24" s="19"/>
      <c r="C24" s="19"/>
      <c r="D24" s="9"/>
      <c r="E24" s="9"/>
      <c r="F24" s="9"/>
      <c r="G24" s="9"/>
      <c r="H24" s="9"/>
      <c r="I24" s="3"/>
      <c r="J24" s="21">
        <v>20</v>
      </c>
      <c r="K24" s="39"/>
      <c r="L24" s="39"/>
      <c r="M24" s="39"/>
      <c r="N24" s="11"/>
      <c r="O24" s="9"/>
      <c r="P24" s="9"/>
      <c r="Q24" s="9"/>
      <c r="R24" s="9"/>
      <c r="T24" s="23">
        <v>20</v>
      </c>
      <c r="U24" s="40"/>
      <c r="V24" s="40"/>
      <c r="W24" s="40"/>
      <c r="X24" s="40"/>
      <c r="Y24" s="11"/>
      <c r="Z24" s="9"/>
      <c r="AA24" s="9"/>
      <c r="AB24" s="9"/>
      <c r="AC24" s="9"/>
      <c r="AE24" s="48" t="s">
        <v>22</v>
      </c>
      <c r="AF24" s="29">
        <v>504</v>
      </c>
      <c r="AG24" s="29">
        <v>591</v>
      </c>
      <c r="AH24" s="49" t="s">
        <v>22</v>
      </c>
      <c r="AI24" s="30">
        <v>498</v>
      </c>
      <c r="AJ24" s="30">
        <v>587</v>
      </c>
      <c r="AK24" s="48" t="s">
        <v>22</v>
      </c>
      <c r="AL24" s="29">
        <v>511</v>
      </c>
      <c r="AM24" s="29">
        <v>603</v>
      </c>
      <c r="AN24" s="49" t="s">
        <v>22</v>
      </c>
      <c r="AO24" s="30">
        <v>493</v>
      </c>
      <c r="AP24" s="30">
        <v>587</v>
      </c>
      <c r="AQ24" s="48" t="s">
        <v>22</v>
      </c>
      <c r="AR24" s="29">
        <v>499</v>
      </c>
      <c r="AS24" s="29">
        <v>569</v>
      </c>
    </row>
    <row r="25" spans="1:45" ht="15.75" customHeight="1">
      <c r="A25" s="24">
        <v>21</v>
      </c>
      <c r="B25" s="19"/>
      <c r="C25" s="19"/>
      <c r="D25" s="9"/>
      <c r="E25" s="9"/>
      <c r="F25" s="9"/>
      <c r="G25" s="9"/>
      <c r="H25" s="9"/>
      <c r="I25" s="3"/>
      <c r="J25" s="21">
        <v>21</v>
      </c>
      <c r="K25" s="39"/>
      <c r="L25" s="39"/>
      <c r="M25" s="39"/>
      <c r="N25" s="11"/>
      <c r="O25" s="9"/>
      <c r="P25" s="9"/>
      <c r="Q25" s="9"/>
      <c r="R25" s="9"/>
      <c r="T25" s="23">
        <v>21</v>
      </c>
      <c r="U25" s="40"/>
      <c r="V25" s="40"/>
      <c r="W25" s="40"/>
      <c r="X25" s="40"/>
      <c r="Y25" s="11"/>
      <c r="Z25" s="9"/>
      <c r="AA25" s="9"/>
      <c r="AB25" s="9"/>
      <c r="AC25" s="9"/>
      <c r="AE25" s="48" t="s">
        <v>23</v>
      </c>
      <c r="AF25" s="29">
        <v>436</v>
      </c>
      <c r="AG25" s="29">
        <v>572</v>
      </c>
      <c r="AH25" s="49" t="s">
        <v>23</v>
      </c>
      <c r="AI25" s="30">
        <v>419</v>
      </c>
      <c r="AJ25" s="30">
        <v>529</v>
      </c>
      <c r="AK25" s="48" t="s">
        <v>23</v>
      </c>
      <c r="AL25" s="29">
        <v>431</v>
      </c>
      <c r="AM25" s="29">
        <v>568</v>
      </c>
      <c r="AN25" s="49" t="s">
        <v>23</v>
      </c>
      <c r="AO25" s="30">
        <v>423</v>
      </c>
      <c r="AP25" s="30">
        <v>550</v>
      </c>
      <c r="AQ25" s="48" t="s">
        <v>23</v>
      </c>
      <c r="AR25" s="29">
        <v>422</v>
      </c>
      <c r="AS25" s="29">
        <v>530</v>
      </c>
    </row>
    <row r="26" spans="1:45" ht="16.5" customHeight="1">
      <c r="A26" s="24">
        <v>22</v>
      </c>
      <c r="B26" s="19"/>
      <c r="C26" s="19"/>
      <c r="D26" s="9"/>
      <c r="E26" s="9"/>
      <c r="F26" s="9"/>
      <c r="G26" s="9"/>
      <c r="H26" s="9"/>
      <c r="I26" s="3"/>
      <c r="J26" s="21">
        <v>22</v>
      </c>
      <c r="K26" s="39"/>
      <c r="L26" s="39"/>
      <c r="M26" s="39"/>
      <c r="N26" s="11"/>
      <c r="O26" s="9"/>
      <c r="P26" s="9"/>
      <c r="Q26" s="9"/>
      <c r="R26" s="9"/>
      <c r="T26" s="23">
        <v>22</v>
      </c>
      <c r="U26" s="40"/>
      <c r="V26" s="40"/>
      <c r="W26" s="40"/>
      <c r="X26" s="40"/>
      <c r="Y26" s="11"/>
      <c r="Z26" s="9"/>
      <c r="AA26" s="9"/>
      <c r="AB26" s="9"/>
      <c r="AC26" s="9"/>
      <c r="AE26" s="48" t="s">
        <v>24</v>
      </c>
      <c r="AF26" s="31">
        <v>1180</v>
      </c>
      <c r="AG26" s="31">
        <v>1180</v>
      </c>
      <c r="AH26" s="49" t="s">
        <v>24</v>
      </c>
      <c r="AI26" s="30">
        <v>1180</v>
      </c>
      <c r="AJ26" s="30">
        <v>1180</v>
      </c>
      <c r="AK26" s="48" t="s">
        <v>24</v>
      </c>
      <c r="AL26" s="31">
        <v>1180</v>
      </c>
      <c r="AM26" s="31">
        <v>1180</v>
      </c>
      <c r="AN26" s="49" t="s">
        <v>24</v>
      </c>
      <c r="AO26" s="30">
        <v>1180</v>
      </c>
      <c r="AP26" s="30">
        <v>1180</v>
      </c>
      <c r="AQ26" s="32" t="s">
        <v>24</v>
      </c>
      <c r="AR26" s="31">
        <v>1180</v>
      </c>
      <c r="AS26" s="31">
        <v>1180</v>
      </c>
    </row>
    <row r="27" spans="1:45">
      <c r="A27" s="24">
        <v>23</v>
      </c>
      <c r="B27" s="19"/>
      <c r="C27" s="19"/>
      <c r="D27" s="9"/>
      <c r="E27" s="9"/>
      <c r="F27" s="9"/>
      <c r="G27" s="9"/>
      <c r="H27" s="9"/>
      <c r="J27" s="21">
        <v>23</v>
      </c>
      <c r="K27" s="39"/>
      <c r="L27" s="39"/>
      <c r="M27" s="39"/>
      <c r="N27" s="11"/>
      <c r="O27" s="9"/>
      <c r="P27" s="9"/>
      <c r="Q27" s="9"/>
      <c r="R27" s="9"/>
      <c r="T27" s="23">
        <v>23</v>
      </c>
      <c r="U27" s="40"/>
      <c r="V27" s="40"/>
      <c r="W27" s="40"/>
      <c r="X27" s="40"/>
      <c r="Y27" s="11"/>
      <c r="Z27" s="9"/>
      <c r="AA27" s="9"/>
      <c r="AB27" s="9"/>
      <c r="AC27" s="9"/>
      <c r="AE27" s="46" t="s">
        <v>67</v>
      </c>
      <c r="AF27" s="8">
        <v>600</v>
      </c>
      <c r="AG27" s="37">
        <v>0</v>
      </c>
      <c r="AH27" s="46" t="s">
        <v>67</v>
      </c>
      <c r="AI27" s="9">
        <v>600</v>
      </c>
      <c r="AJ27" s="38">
        <v>0</v>
      </c>
      <c r="AK27" s="46" t="s">
        <v>67</v>
      </c>
      <c r="AL27" s="8">
        <v>600</v>
      </c>
      <c r="AM27" s="37">
        <v>0</v>
      </c>
      <c r="AN27" s="46" t="s">
        <v>67</v>
      </c>
      <c r="AO27" s="9">
        <v>600</v>
      </c>
      <c r="AP27" s="38">
        <v>0</v>
      </c>
      <c r="AQ27" s="46" t="s">
        <v>67</v>
      </c>
      <c r="AR27" s="8">
        <v>600</v>
      </c>
      <c r="AS27" s="37">
        <v>0</v>
      </c>
    </row>
    <row r="28" spans="1:45" s="7" customFormat="1">
      <c r="A28" s="24">
        <v>24</v>
      </c>
      <c r="B28" s="19"/>
      <c r="C28" s="19"/>
      <c r="D28" s="17"/>
      <c r="E28" s="12"/>
      <c r="F28" s="12"/>
      <c r="G28" s="12"/>
      <c r="H28" s="12"/>
      <c r="J28" s="21">
        <v>24</v>
      </c>
      <c r="K28" s="39"/>
      <c r="L28" s="39"/>
      <c r="M28" s="39"/>
      <c r="N28" s="17"/>
      <c r="O28" s="12"/>
      <c r="P28" s="12"/>
      <c r="Q28" s="12"/>
      <c r="R28" s="12"/>
      <c r="T28" s="23">
        <v>24</v>
      </c>
      <c r="U28" s="40"/>
      <c r="V28" s="40"/>
      <c r="W28" s="40"/>
      <c r="X28" s="40"/>
      <c r="Y28" s="17"/>
      <c r="Z28" s="12"/>
      <c r="AA28" s="12"/>
      <c r="AB28" s="12"/>
      <c r="AC28" s="12"/>
      <c r="AE28" s="46" t="s">
        <v>68</v>
      </c>
      <c r="AF28" s="8">
        <v>445</v>
      </c>
      <c r="AG28" s="37">
        <v>512</v>
      </c>
      <c r="AH28" s="46" t="s">
        <v>68</v>
      </c>
      <c r="AI28" s="9">
        <v>418</v>
      </c>
      <c r="AJ28" s="38">
        <v>439</v>
      </c>
      <c r="AK28" s="46" t="s">
        <v>68</v>
      </c>
      <c r="AL28" s="8">
        <v>426</v>
      </c>
      <c r="AM28" s="37">
        <v>498</v>
      </c>
      <c r="AN28" s="46" t="s">
        <v>68</v>
      </c>
      <c r="AO28" s="9">
        <v>444</v>
      </c>
      <c r="AP28" s="38">
        <v>506</v>
      </c>
      <c r="AQ28" s="46" t="s">
        <v>68</v>
      </c>
      <c r="AR28" s="8">
        <v>424</v>
      </c>
      <c r="AS28" s="37">
        <v>445</v>
      </c>
    </row>
    <row r="29" spans="1:45">
      <c r="A29" s="24">
        <v>25</v>
      </c>
      <c r="B29" s="19"/>
      <c r="C29" s="19"/>
      <c r="D29" s="18"/>
      <c r="E29" s="13"/>
      <c r="F29" s="9"/>
      <c r="G29" s="9"/>
      <c r="H29" s="9"/>
      <c r="J29" s="21">
        <v>25</v>
      </c>
      <c r="K29" s="39"/>
      <c r="L29" s="39"/>
      <c r="M29" s="39"/>
      <c r="N29" s="11"/>
      <c r="O29" s="9"/>
      <c r="P29" s="9"/>
      <c r="Q29" s="9"/>
      <c r="R29" s="9"/>
      <c r="T29" s="23">
        <v>25</v>
      </c>
      <c r="U29" s="40"/>
      <c r="V29" s="40"/>
      <c r="W29" s="40"/>
      <c r="X29" s="40"/>
      <c r="Y29" s="11"/>
      <c r="Z29" s="9"/>
      <c r="AA29" s="9"/>
      <c r="AB29" s="9"/>
      <c r="AC29" s="9"/>
      <c r="AE29" s="46" t="s">
        <v>69</v>
      </c>
      <c r="AF29" s="8">
        <v>337</v>
      </c>
      <c r="AG29" s="37">
        <v>554</v>
      </c>
      <c r="AH29" s="46" t="s">
        <v>69</v>
      </c>
      <c r="AI29" s="9">
        <v>320</v>
      </c>
      <c r="AJ29" s="38">
        <v>485</v>
      </c>
      <c r="AK29" s="46" t="s">
        <v>69</v>
      </c>
      <c r="AL29" s="8">
        <v>300</v>
      </c>
      <c r="AM29" s="37">
        <v>534</v>
      </c>
      <c r="AN29" s="46" t="s">
        <v>69</v>
      </c>
      <c r="AO29" s="9">
        <v>342</v>
      </c>
      <c r="AP29" s="38">
        <v>529</v>
      </c>
      <c r="AQ29" s="46" t="s">
        <v>69</v>
      </c>
      <c r="AR29" s="8">
        <v>319</v>
      </c>
      <c r="AS29" s="37">
        <v>493</v>
      </c>
    </row>
    <row r="30" spans="1:45">
      <c r="A30" s="24">
        <v>26</v>
      </c>
      <c r="B30" s="19"/>
      <c r="C30" s="19"/>
      <c r="D30" s="11"/>
      <c r="E30" s="9"/>
      <c r="F30" s="9"/>
      <c r="G30" s="9"/>
      <c r="H30" s="9"/>
      <c r="J30" s="21">
        <v>26</v>
      </c>
      <c r="K30" s="39"/>
      <c r="L30" s="39"/>
      <c r="M30" s="39"/>
      <c r="N30" s="11"/>
      <c r="O30" s="9"/>
      <c r="P30" s="9"/>
      <c r="Q30" s="9"/>
      <c r="R30" s="9"/>
      <c r="T30" s="23">
        <v>26</v>
      </c>
      <c r="U30" s="40"/>
      <c r="V30" s="40"/>
      <c r="W30" s="40"/>
      <c r="X30" s="40"/>
      <c r="Y30" s="11"/>
      <c r="Z30" s="9"/>
      <c r="AA30" s="9"/>
      <c r="AB30" s="9"/>
      <c r="AC30" s="9"/>
      <c r="AE30" s="46" t="s">
        <v>70</v>
      </c>
      <c r="AF30" s="8">
        <v>547</v>
      </c>
      <c r="AG30" s="37">
        <v>543</v>
      </c>
      <c r="AH30" s="46" t="s">
        <v>70</v>
      </c>
      <c r="AI30" s="9">
        <v>499</v>
      </c>
      <c r="AJ30" s="38">
        <v>482</v>
      </c>
      <c r="AK30" s="46" t="s">
        <v>70</v>
      </c>
      <c r="AL30" s="8">
        <v>522</v>
      </c>
      <c r="AM30" s="37">
        <v>548</v>
      </c>
      <c r="AN30" s="46" t="s">
        <v>70</v>
      </c>
      <c r="AO30" s="9">
        <v>542</v>
      </c>
      <c r="AP30" s="38">
        <v>544</v>
      </c>
      <c r="AQ30" s="46" t="s">
        <v>70</v>
      </c>
      <c r="AR30" s="8">
        <v>518</v>
      </c>
      <c r="AS30" s="37">
        <v>499</v>
      </c>
    </row>
    <row r="31" spans="1:45">
      <c r="A31" s="24">
        <v>27</v>
      </c>
      <c r="B31" s="19"/>
      <c r="C31" s="19"/>
      <c r="D31" s="11"/>
      <c r="E31" s="9"/>
      <c r="F31" s="9"/>
      <c r="G31" s="9"/>
      <c r="H31" s="9"/>
      <c r="J31" s="21">
        <v>27</v>
      </c>
      <c r="K31" s="39"/>
      <c r="L31" s="39"/>
      <c r="M31" s="39"/>
      <c r="N31" s="11"/>
      <c r="O31" s="9"/>
      <c r="P31" s="9"/>
      <c r="Q31" s="9"/>
      <c r="R31" s="9"/>
      <c r="T31" s="23">
        <v>27</v>
      </c>
      <c r="U31" s="40"/>
      <c r="V31" s="40"/>
      <c r="W31" s="40"/>
      <c r="X31" s="40"/>
      <c r="Y31" s="11"/>
      <c r="Z31" s="9"/>
      <c r="AA31" s="9"/>
      <c r="AB31" s="9"/>
      <c r="AC31" s="9"/>
      <c r="AE31" s="46" t="s">
        <v>71</v>
      </c>
      <c r="AF31" s="8">
        <v>427</v>
      </c>
      <c r="AG31" s="37">
        <v>548</v>
      </c>
      <c r="AH31" s="46" t="s">
        <v>71</v>
      </c>
      <c r="AI31" s="9">
        <v>423</v>
      </c>
      <c r="AJ31" s="38">
        <v>479</v>
      </c>
      <c r="AK31" s="46" t="s">
        <v>71</v>
      </c>
      <c r="AL31" s="8">
        <v>426</v>
      </c>
      <c r="AM31" s="37">
        <v>549</v>
      </c>
      <c r="AN31" s="46" t="s">
        <v>71</v>
      </c>
      <c r="AO31" s="9">
        <v>440</v>
      </c>
      <c r="AP31" s="38">
        <v>544</v>
      </c>
      <c r="AQ31" s="46" t="s">
        <v>71</v>
      </c>
      <c r="AR31" s="8">
        <v>426</v>
      </c>
      <c r="AS31" s="37">
        <v>498</v>
      </c>
    </row>
    <row r="32" spans="1:45">
      <c r="A32" s="24">
        <v>28</v>
      </c>
      <c r="B32" s="19"/>
      <c r="C32" s="19"/>
      <c r="D32" s="11"/>
      <c r="E32" s="9"/>
      <c r="F32" s="9"/>
      <c r="G32" s="9"/>
      <c r="H32" s="9"/>
      <c r="J32" s="21">
        <v>28</v>
      </c>
      <c r="K32" s="39"/>
      <c r="L32" s="39"/>
      <c r="M32" s="39"/>
      <c r="N32" s="11"/>
      <c r="O32" s="9"/>
      <c r="P32" s="9"/>
      <c r="Q32" s="9"/>
      <c r="R32" s="9"/>
      <c r="T32" s="23">
        <v>28</v>
      </c>
      <c r="U32" s="40"/>
      <c r="V32" s="40"/>
      <c r="W32" s="40"/>
      <c r="X32" s="40"/>
      <c r="Y32" s="11"/>
      <c r="Z32" s="9"/>
      <c r="AA32" s="9"/>
      <c r="AB32" s="9"/>
      <c r="AC32" s="9"/>
      <c r="AE32" s="46"/>
      <c r="AF32" s="8"/>
      <c r="AG32" s="37"/>
      <c r="AH32" s="46"/>
      <c r="AI32" s="9"/>
      <c r="AJ32" s="38"/>
      <c r="AK32" s="46"/>
      <c r="AL32" s="8"/>
      <c r="AM32" s="37"/>
      <c r="AN32" s="46"/>
      <c r="AO32" s="9"/>
      <c r="AP32" s="38"/>
      <c r="AQ32" s="46"/>
      <c r="AR32" s="8"/>
      <c r="AS32" s="37"/>
    </row>
    <row r="33" spans="1:45">
      <c r="A33" s="24">
        <v>29</v>
      </c>
      <c r="B33" s="19"/>
      <c r="C33" s="19"/>
      <c r="D33" s="11"/>
      <c r="E33" s="9"/>
      <c r="F33" s="9"/>
      <c r="G33" s="9"/>
      <c r="H33" s="9"/>
      <c r="J33" s="21">
        <v>29</v>
      </c>
      <c r="K33" s="39"/>
      <c r="L33" s="39"/>
      <c r="M33" s="39"/>
      <c r="N33" s="11"/>
      <c r="O33" s="9"/>
      <c r="P33" s="9"/>
      <c r="Q33" s="9"/>
      <c r="R33" s="9"/>
      <c r="T33" s="23">
        <v>29</v>
      </c>
      <c r="U33" s="40"/>
      <c r="V33" s="40"/>
      <c r="W33" s="40"/>
      <c r="X33" s="40"/>
      <c r="Y33" s="11"/>
      <c r="Z33" s="9"/>
      <c r="AA33" s="9"/>
      <c r="AB33" s="9"/>
      <c r="AC33" s="9"/>
      <c r="AE33" s="41"/>
      <c r="AF33" s="8"/>
      <c r="AG33" s="6"/>
      <c r="AH33" s="42"/>
      <c r="AI33" s="9"/>
      <c r="AJ33" s="16"/>
      <c r="AK33" s="41"/>
      <c r="AL33" s="8"/>
      <c r="AM33" s="6"/>
      <c r="AN33" s="42"/>
      <c r="AO33" s="9"/>
      <c r="AP33" s="16"/>
      <c r="AQ33" s="41"/>
      <c r="AR33" s="8"/>
      <c r="AS33" s="6"/>
    </row>
    <row r="34" spans="1:45">
      <c r="A34" s="24">
        <v>30</v>
      </c>
      <c r="B34" s="19"/>
      <c r="C34" s="19"/>
      <c r="D34" s="11"/>
      <c r="E34" s="9"/>
      <c r="F34" s="9"/>
      <c r="G34" s="9"/>
      <c r="H34" s="9"/>
      <c r="J34" s="21">
        <v>30</v>
      </c>
      <c r="K34" s="39"/>
      <c r="L34" s="39"/>
      <c r="M34" s="39"/>
      <c r="N34" s="11"/>
      <c r="O34" s="9"/>
      <c r="P34" s="9"/>
      <c r="Q34" s="9"/>
      <c r="R34" s="9"/>
      <c r="T34" s="23">
        <v>30</v>
      </c>
      <c r="U34" s="40"/>
      <c r="V34" s="40"/>
      <c r="W34" s="40"/>
      <c r="X34" s="40"/>
      <c r="Y34" s="11"/>
      <c r="Z34" s="9"/>
      <c r="AA34" s="9"/>
      <c r="AB34" s="9"/>
      <c r="AC34" s="9"/>
      <c r="AE34" s="41"/>
      <c r="AF34" s="8"/>
      <c r="AG34" s="6"/>
      <c r="AH34" s="42"/>
      <c r="AI34" s="9"/>
      <c r="AJ34" s="16"/>
      <c r="AK34" s="41"/>
      <c r="AL34" s="8"/>
      <c r="AM34" s="6"/>
      <c r="AN34" s="42"/>
      <c r="AO34" s="9"/>
      <c r="AP34" s="16"/>
      <c r="AQ34" s="41"/>
      <c r="AR34" s="8"/>
      <c r="AS34" s="6"/>
    </row>
    <row r="35" spans="1:45">
      <c r="A35" s="25"/>
      <c r="B35" s="15"/>
      <c r="C35" s="15"/>
      <c r="D35" s="14"/>
      <c r="E35" s="14"/>
    </row>
    <row r="36" spans="1:45" ht="15.75" customHeight="1">
      <c r="A36" s="79" t="s">
        <v>64</v>
      </c>
      <c r="B36" s="79"/>
      <c r="C36" s="79"/>
      <c r="D36" s="79"/>
      <c r="E36" s="79"/>
      <c r="F36" s="79"/>
      <c r="G36" s="79"/>
      <c r="H36" s="79"/>
      <c r="I36" s="20"/>
      <c r="J36" s="79" t="s">
        <v>64</v>
      </c>
      <c r="K36" s="80"/>
      <c r="L36" s="80"/>
      <c r="M36" s="80"/>
      <c r="N36" s="80"/>
      <c r="O36" s="80"/>
      <c r="P36" s="80"/>
      <c r="Q36" s="80"/>
      <c r="R36" s="80"/>
      <c r="T36" s="79" t="s">
        <v>64</v>
      </c>
      <c r="U36" s="80"/>
      <c r="V36" s="80"/>
      <c r="W36" s="80"/>
      <c r="X36" s="80"/>
      <c r="Y36" s="80"/>
      <c r="Z36" s="80"/>
      <c r="AA36" s="80"/>
      <c r="AB36" s="80"/>
      <c r="AC36" s="80"/>
      <c r="AE36" s="80" t="s">
        <v>63</v>
      </c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</row>
    <row r="37" spans="1:45" ht="15.75" customHeight="1">
      <c r="A37" s="79"/>
      <c r="B37" s="79"/>
      <c r="C37" s="79"/>
      <c r="D37" s="79"/>
      <c r="E37" s="79"/>
      <c r="F37" s="79"/>
      <c r="G37" s="79"/>
      <c r="H37" s="79"/>
      <c r="I37" s="20"/>
      <c r="J37" s="80"/>
      <c r="K37" s="80"/>
      <c r="L37" s="80"/>
      <c r="M37" s="80"/>
      <c r="N37" s="80"/>
      <c r="O37" s="80"/>
      <c r="P37" s="80"/>
      <c r="Q37" s="80"/>
      <c r="R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</row>
    <row r="38" spans="1:45">
      <c r="A38" s="79"/>
      <c r="B38" s="79"/>
      <c r="C38" s="79"/>
      <c r="D38" s="79"/>
      <c r="E38" s="79"/>
      <c r="F38" s="79"/>
      <c r="G38" s="79"/>
      <c r="H38" s="79"/>
      <c r="J38" s="80"/>
      <c r="K38" s="80"/>
      <c r="L38" s="80"/>
      <c r="M38" s="80"/>
      <c r="N38" s="80"/>
      <c r="O38" s="80"/>
      <c r="P38" s="80"/>
      <c r="Q38" s="80"/>
      <c r="R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</row>
    <row r="39" spans="1:45">
      <c r="A39" s="25"/>
      <c r="B39" s="15"/>
      <c r="C39" s="15"/>
      <c r="D39" s="14"/>
      <c r="E39" s="14"/>
    </row>
    <row r="40" spans="1:45">
      <c r="A40" s="25"/>
      <c r="B40" s="15"/>
      <c r="C40" s="15"/>
      <c r="D40" s="14"/>
      <c r="E40" s="14"/>
    </row>
    <row r="41" spans="1:45">
      <c r="A41" s="25"/>
      <c r="B41" s="15"/>
      <c r="C41" s="15"/>
      <c r="D41" s="14"/>
      <c r="E41" s="14"/>
    </row>
    <row r="42" spans="1:45">
      <c r="A42" s="25"/>
      <c r="B42" s="15"/>
      <c r="C42" s="15"/>
      <c r="D42" s="14"/>
      <c r="E42" s="14"/>
    </row>
    <row r="43" spans="1:45">
      <c r="A43" s="25"/>
      <c r="B43" s="15"/>
      <c r="C43" s="15"/>
      <c r="D43" s="14"/>
      <c r="E43" s="14"/>
    </row>
    <row r="44" spans="1:45">
      <c r="A44" s="25"/>
      <c r="B44" s="15"/>
      <c r="C44" s="15"/>
      <c r="D44" s="14"/>
      <c r="E44" s="14"/>
    </row>
    <row r="45" spans="1:45">
      <c r="A45" s="25"/>
      <c r="B45" s="15"/>
      <c r="C45" s="15"/>
      <c r="D45" s="14"/>
      <c r="E45" s="14"/>
    </row>
    <row r="46" spans="1:45">
      <c r="A46" s="25"/>
      <c r="B46" s="15"/>
      <c r="C46" s="15"/>
      <c r="D46" s="14"/>
      <c r="E46" s="14"/>
    </row>
    <row r="47" spans="1:45">
      <c r="A47" s="25"/>
      <c r="B47" s="15"/>
      <c r="C47" s="15"/>
      <c r="D47" s="14"/>
      <c r="E47" s="14"/>
    </row>
    <row r="48" spans="1:45">
      <c r="A48" s="25"/>
      <c r="B48" s="15"/>
      <c r="C48" s="15"/>
      <c r="D48" s="14"/>
      <c r="E48" s="14"/>
    </row>
    <row r="49" spans="1:5">
      <c r="A49" s="25"/>
      <c r="B49" s="15"/>
      <c r="C49" s="15"/>
      <c r="D49" s="14"/>
      <c r="E49" s="14"/>
    </row>
    <row r="50" spans="1:5">
      <c r="A50" s="25"/>
      <c r="B50" s="15"/>
      <c r="C50" s="15"/>
      <c r="D50" s="14"/>
      <c r="E50" s="14"/>
    </row>
    <row r="51" spans="1:5">
      <c r="A51" s="25"/>
      <c r="B51" s="15"/>
      <c r="C51" s="15"/>
      <c r="D51" s="14"/>
      <c r="E51" s="14"/>
    </row>
    <row r="52" spans="1:5">
      <c r="A52" s="25"/>
      <c r="B52" s="15"/>
      <c r="C52" s="15"/>
      <c r="D52" s="14"/>
      <c r="E52" s="14"/>
    </row>
  </sheetData>
  <mergeCells count="27">
    <mergeCell ref="AK2:AM2"/>
    <mergeCell ref="A1:H1"/>
    <mergeCell ref="J1:R1"/>
    <mergeCell ref="T1:AC1"/>
    <mergeCell ref="AE1:AS1"/>
    <mergeCell ref="A2:C4"/>
    <mergeCell ref="D2:F3"/>
    <mergeCell ref="G2:H3"/>
    <mergeCell ref="J2:M4"/>
    <mergeCell ref="N2:P3"/>
    <mergeCell ref="Q2:R3"/>
    <mergeCell ref="A36:H38"/>
    <mergeCell ref="J36:R38"/>
    <mergeCell ref="T36:AC38"/>
    <mergeCell ref="AE36:AS38"/>
    <mergeCell ref="AN2:AP2"/>
    <mergeCell ref="AQ2:AS2"/>
    <mergeCell ref="AF3:AG3"/>
    <mergeCell ref="AI3:AJ3"/>
    <mergeCell ref="AL3:AM3"/>
    <mergeCell ref="AO3:AP3"/>
    <mergeCell ref="AR3:AS3"/>
    <mergeCell ref="T2:X4"/>
    <mergeCell ref="Y2:AA3"/>
    <mergeCell ref="AB2:AC3"/>
    <mergeCell ref="AE2:AG2"/>
    <mergeCell ref="AH2:AJ2"/>
  </mergeCells>
  <phoneticPr fontId="1" type="noConversion"/>
  <conditionalFormatting sqref="Y1:AC1 Y4:AC35 Y2 Y39:AC1048576">
    <cfRule type="cellIs" dxfId="3" priority="1" operator="lessThan">
      <formula>0</formula>
    </cfRule>
  </conditionalFormatting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工作表30"/>
  <dimension ref="A1:AS52"/>
  <sheetViews>
    <sheetView topLeftCell="P1" zoomScale="85" zoomScaleNormal="85" workbookViewId="0">
      <selection activeCell="AI3" sqref="AI3:AJ3"/>
    </sheetView>
  </sheetViews>
  <sheetFormatPr defaultColWidth="9" defaultRowHeight="15.5"/>
  <cols>
    <col min="1" max="1" width="3.58203125" style="22" customWidth="1"/>
    <col min="2" max="3" width="3.58203125" style="4" customWidth="1"/>
    <col min="4" max="8" width="10.58203125" style="10" customWidth="1"/>
    <col min="9" max="9" width="2.08203125" style="1" customWidth="1"/>
    <col min="10" max="10" width="3.58203125" style="22" customWidth="1"/>
    <col min="11" max="12" width="3.58203125" style="4" customWidth="1"/>
    <col min="13" max="13" width="3.08203125" style="4" bestFit="1" customWidth="1"/>
    <col min="14" max="18" width="10.58203125" style="10" customWidth="1"/>
    <col min="19" max="19" width="2.08203125" style="1" customWidth="1"/>
    <col min="20" max="20" width="3.58203125" style="22" customWidth="1"/>
    <col min="21" max="23" width="3.58203125" style="4" customWidth="1"/>
    <col min="24" max="24" width="3.08203125" style="4" bestFit="1" customWidth="1"/>
    <col min="25" max="29" width="10.58203125" style="10" customWidth="1"/>
    <col min="30" max="30" width="2.08203125" style="1" customWidth="1"/>
    <col min="31" max="31" width="7.58203125" style="4" customWidth="1"/>
    <col min="32" max="32" width="10.58203125" style="10" customWidth="1"/>
    <col min="33" max="33" width="10.58203125" style="1" customWidth="1"/>
    <col min="34" max="34" width="7.58203125" style="4" customWidth="1"/>
    <col min="35" max="35" width="10.58203125" style="10" customWidth="1"/>
    <col min="36" max="36" width="10.58203125" style="1" customWidth="1"/>
    <col min="37" max="37" width="7.58203125" style="4" customWidth="1"/>
    <col min="38" max="38" width="10.58203125" style="10" customWidth="1"/>
    <col min="39" max="39" width="10.58203125" style="1" customWidth="1"/>
    <col min="40" max="40" width="7.58203125" style="4" customWidth="1"/>
    <col min="41" max="41" width="10.58203125" style="10" customWidth="1"/>
    <col min="42" max="42" width="10.58203125" style="1" customWidth="1"/>
    <col min="43" max="16384" width="9" style="1"/>
  </cols>
  <sheetData>
    <row r="1" spans="1:45" ht="24" customHeight="1">
      <c r="A1" s="57" t="s">
        <v>58</v>
      </c>
      <c r="B1" s="57"/>
      <c r="C1" s="57"/>
      <c r="D1" s="57"/>
      <c r="E1" s="57"/>
      <c r="F1" s="57"/>
      <c r="G1" s="57"/>
      <c r="H1" s="58"/>
      <c r="J1" s="59" t="s">
        <v>60</v>
      </c>
      <c r="K1" s="59"/>
      <c r="L1" s="59"/>
      <c r="M1" s="59"/>
      <c r="N1" s="59"/>
      <c r="O1" s="59"/>
      <c r="P1" s="59"/>
      <c r="Q1" s="59"/>
      <c r="R1" s="59"/>
      <c r="T1" s="60" t="s">
        <v>59</v>
      </c>
      <c r="U1" s="60"/>
      <c r="V1" s="60"/>
      <c r="W1" s="60"/>
      <c r="X1" s="60"/>
      <c r="Y1" s="60"/>
      <c r="Z1" s="60"/>
      <c r="AA1" s="60"/>
      <c r="AB1" s="60"/>
      <c r="AC1" s="60"/>
      <c r="AE1" s="61" t="s">
        <v>180</v>
      </c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</row>
    <row r="2" spans="1:45" s="2" customFormat="1" ht="19.5" customHeight="1">
      <c r="A2" s="63" t="s">
        <v>55</v>
      </c>
      <c r="B2" s="63"/>
      <c r="C2" s="63"/>
      <c r="D2" s="65"/>
      <c r="E2" s="66"/>
      <c r="F2" s="67"/>
      <c r="G2" s="65"/>
      <c r="H2" s="67"/>
      <c r="J2" s="71" t="s">
        <v>56</v>
      </c>
      <c r="K2" s="71"/>
      <c r="L2" s="71"/>
      <c r="M2" s="71"/>
      <c r="N2" s="73"/>
      <c r="O2" s="74"/>
      <c r="P2" s="75"/>
      <c r="Q2" s="73"/>
      <c r="R2" s="75"/>
      <c r="T2" s="90" t="s">
        <v>57</v>
      </c>
      <c r="U2" s="90"/>
      <c r="V2" s="90"/>
      <c r="W2" s="90"/>
      <c r="X2" s="90"/>
      <c r="Y2" s="92"/>
      <c r="Z2" s="93"/>
      <c r="AA2" s="94"/>
      <c r="AB2" s="92"/>
      <c r="AC2" s="94"/>
      <c r="AE2" s="54" t="s">
        <v>145</v>
      </c>
      <c r="AF2" s="55"/>
      <c r="AG2" s="56"/>
      <c r="AH2" s="81" t="s">
        <v>146</v>
      </c>
      <c r="AI2" s="82"/>
      <c r="AJ2" s="83"/>
      <c r="AK2" s="54" t="s">
        <v>147</v>
      </c>
      <c r="AL2" s="55"/>
      <c r="AM2" s="56"/>
      <c r="AN2" s="81" t="s">
        <v>148</v>
      </c>
      <c r="AO2" s="82"/>
      <c r="AP2" s="83"/>
      <c r="AQ2" s="54" t="s">
        <v>149</v>
      </c>
      <c r="AR2" s="55"/>
      <c r="AS2" s="56"/>
    </row>
    <row r="3" spans="1:45" ht="16.5" customHeight="1">
      <c r="A3" s="63"/>
      <c r="B3" s="63"/>
      <c r="C3" s="63"/>
      <c r="D3" s="68"/>
      <c r="E3" s="69"/>
      <c r="F3" s="70"/>
      <c r="G3" s="68"/>
      <c r="H3" s="70"/>
      <c r="J3" s="71"/>
      <c r="K3" s="71"/>
      <c r="L3" s="71"/>
      <c r="M3" s="71"/>
      <c r="N3" s="76"/>
      <c r="O3" s="77"/>
      <c r="P3" s="78"/>
      <c r="Q3" s="76"/>
      <c r="R3" s="78"/>
      <c r="T3" s="90"/>
      <c r="U3" s="90"/>
      <c r="V3" s="90"/>
      <c r="W3" s="90"/>
      <c r="X3" s="90"/>
      <c r="Y3" s="95"/>
      <c r="Z3" s="96"/>
      <c r="AA3" s="97"/>
      <c r="AB3" s="95"/>
      <c r="AC3" s="97"/>
      <c r="AE3" s="52" t="s">
        <v>178</v>
      </c>
      <c r="AF3" s="85" t="s">
        <v>177</v>
      </c>
      <c r="AG3" s="85"/>
      <c r="AH3" s="52" t="s">
        <v>178</v>
      </c>
      <c r="AI3" s="85" t="s">
        <v>177</v>
      </c>
      <c r="AJ3" s="85"/>
      <c r="AK3" s="52" t="s">
        <v>178</v>
      </c>
      <c r="AL3" s="85" t="s">
        <v>177</v>
      </c>
      <c r="AM3" s="85"/>
      <c r="AN3" s="52" t="s">
        <v>178</v>
      </c>
      <c r="AO3" s="85" t="s">
        <v>177</v>
      </c>
      <c r="AP3" s="85"/>
      <c r="AQ3" s="52" t="s">
        <v>178</v>
      </c>
      <c r="AR3" s="85" t="s">
        <v>177</v>
      </c>
      <c r="AS3" s="85"/>
    </row>
    <row r="4" spans="1:45" s="4" customFormat="1" ht="36" customHeight="1">
      <c r="A4" s="63"/>
      <c r="B4" s="64"/>
      <c r="C4" s="64"/>
      <c r="D4" s="19" t="s">
        <v>25</v>
      </c>
      <c r="E4" s="19" t="s">
        <v>26</v>
      </c>
      <c r="F4" s="19" t="s">
        <v>27</v>
      </c>
      <c r="G4" s="19" t="s">
        <v>28</v>
      </c>
      <c r="H4" s="19" t="s">
        <v>29</v>
      </c>
      <c r="J4" s="71"/>
      <c r="K4" s="72"/>
      <c r="L4" s="72"/>
      <c r="M4" s="72"/>
      <c r="N4" s="39" t="s">
        <v>25</v>
      </c>
      <c r="O4" s="39" t="s">
        <v>26</v>
      </c>
      <c r="P4" s="39" t="s">
        <v>27</v>
      </c>
      <c r="Q4" s="39" t="s">
        <v>28</v>
      </c>
      <c r="R4" s="39" t="s">
        <v>29</v>
      </c>
      <c r="T4" s="90"/>
      <c r="U4" s="91"/>
      <c r="V4" s="91"/>
      <c r="W4" s="91"/>
      <c r="X4" s="91"/>
      <c r="Y4" s="40" t="s">
        <v>25</v>
      </c>
      <c r="Z4" s="40" t="s">
        <v>26</v>
      </c>
      <c r="AA4" s="40" t="s">
        <v>27</v>
      </c>
      <c r="AB4" s="40" t="s">
        <v>28</v>
      </c>
      <c r="AC4" s="40" t="s">
        <v>29</v>
      </c>
      <c r="AE4" s="48"/>
      <c r="AF4" s="48" t="s">
        <v>0</v>
      </c>
      <c r="AG4" s="48" t="s">
        <v>1</v>
      </c>
      <c r="AH4" s="48"/>
      <c r="AI4" s="48" t="s">
        <v>0</v>
      </c>
      <c r="AJ4" s="48" t="s">
        <v>1</v>
      </c>
      <c r="AK4" s="48" t="s">
        <v>2</v>
      </c>
      <c r="AL4" s="48" t="s">
        <v>0</v>
      </c>
      <c r="AM4" s="48" t="s">
        <v>1</v>
      </c>
      <c r="AN4" s="49" t="s">
        <v>2</v>
      </c>
      <c r="AO4" s="49" t="s">
        <v>0</v>
      </c>
      <c r="AP4" s="49" t="s">
        <v>1</v>
      </c>
      <c r="AQ4" s="48" t="s">
        <v>2</v>
      </c>
      <c r="AR4" s="48" t="s">
        <v>0</v>
      </c>
      <c r="AS4" s="48" t="s">
        <v>1</v>
      </c>
    </row>
    <row r="5" spans="1:45">
      <c r="A5" s="24">
        <v>1</v>
      </c>
      <c r="B5" s="19" t="s">
        <v>30</v>
      </c>
      <c r="C5" s="19" t="s">
        <v>32</v>
      </c>
      <c r="D5" s="11">
        <v>274</v>
      </c>
      <c r="E5" s="9">
        <v>311</v>
      </c>
      <c r="F5" s="9">
        <v>301</v>
      </c>
      <c r="G5" s="9">
        <v>291</v>
      </c>
      <c r="H5" s="9">
        <v>264</v>
      </c>
      <c r="J5" s="21">
        <v>1</v>
      </c>
      <c r="K5" s="39" t="s">
        <v>30</v>
      </c>
      <c r="L5" s="39" t="s">
        <v>35</v>
      </c>
      <c r="M5" s="39" t="s">
        <v>38</v>
      </c>
      <c r="N5" s="9">
        <v>64.495860513186244</v>
      </c>
      <c r="O5" s="9">
        <v>66.900622858208266</v>
      </c>
      <c r="P5" s="9">
        <v>65.556045219583467</v>
      </c>
      <c r="Q5" s="9">
        <v>63.709527133907322</v>
      </c>
      <c r="R5" s="9">
        <v>63.334076075887666</v>
      </c>
      <c r="T5" s="23">
        <v>1</v>
      </c>
      <c r="U5" s="40" t="s">
        <v>30</v>
      </c>
      <c r="V5" s="40" t="s">
        <v>35</v>
      </c>
      <c r="W5" s="40" t="s">
        <v>32</v>
      </c>
      <c r="X5" s="40" t="s">
        <v>38</v>
      </c>
      <c r="Y5" s="11">
        <v>28496</v>
      </c>
      <c r="Z5" s="9">
        <v>37009</v>
      </c>
      <c r="AA5" s="9">
        <v>36120</v>
      </c>
      <c r="AB5" s="9">
        <v>36084</v>
      </c>
      <c r="AC5" s="9">
        <v>30096</v>
      </c>
      <c r="AE5" s="48" t="s">
        <v>3</v>
      </c>
      <c r="AF5" s="29">
        <v>600</v>
      </c>
      <c r="AG5" s="29">
        <v>555</v>
      </c>
      <c r="AH5" s="48" t="s">
        <v>3</v>
      </c>
      <c r="AI5" s="29">
        <v>600</v>
      </c>
      <c r="AJ5" s="29">
        <v>459</v>
      </c>
      <c r="AK5" s="48" t="s">
        <v>3</v>
      </c>
      <c r="AL5" s="29">
        <v>600</v>
      </c>
      <c r="AM5" s="29">
        <v>506</v>
      </c>
      <c r="AN5" s="48" t="s">
        <v>3</v>
      </c>
      <c r="AO5" s="29">
        <v>600</v>
      </c>
      <c r="AP5" s="29">
        <v>478</v>
      </c>
      <c r="AQ5" s="48" t="s">
        <v>3</v>
      </c>
      <c r="AR5" s="29">
        <v>600</v>
      </c>
      <c r="AS5" s="29">
        <v>524</v>
      </c>
    </row>
    <row r="6" spans="1:45">
      <c r="A6" s="24">
        <v>2</v>
      </c>
      <c r="B6" s="19" t="s">
        <v>30</v>
      </c>
      <c r="C6" s="19" t="s">
        <v>33</v>
      </c>
      <c r="D6" s="11">
        <v>377</v>
      </c>
      <c r="E6" s="9">
        <v>444.00112612469803</v>
      </c>
      <c r="F6" s="9">
        <v>426</v>
      </c>
      <c r="G6" s="9">
        <v>426</v>
      </c>
      <c r="H6" s="9">
        <v>374</v>
      </c>
      <c r="J6" s="21">
        <v>2</v>
      </c>
      <c r="K6" s="39" t="s">
        <v>30</v>
      </c>
      <c r="L6" s="39" t="s">
        <v>41</v>
      </c>
      <c r="M6" s="39" t="s">
        <v>34</v>
      </c>
      <c r="N6" s="9">
        <v>82.828831149166007</v>
      </c>
      <c r="O6" s="9">
        <v>94.266201784556017</v>
      </c>
      <c r="P6" s="9">
        <v>87.813236929408433</v>
      </c>
      <c r="Q6" s="9">
        <v>99.710515132957738</v>
      </c>
      <c r="R6" s="9">
        <v>95.014618835197439</v>
      </c>
      <c r="T6" s="23">
        <v>2</v>
      </c>
      <c r="U6" s="40" t="s">
        <v>30</v>
      </c>
      <c r="V6" s="40" t="s">
        <v>41</v>
      </c>
      <c r="W6" s="40" t="s">
        <v>34</v>
      </c>
      <c r="X6" s="40" t="s">
        <v>42</v>
      </c>
      <c r="Y6" s="11">
        <v>213125</v>
      </c>
      <c r="Z6" s="9">
        <v>224231</v>
      </c>
      <c r="AA6" s="9">
        <v>225116</v>
      </c>
      <c r="AB6" s="9">
        <v>197964</v>
      </c>
      <c r="AC6" s="9">
        <v>192864</v>
      </c>
      <c r="AE6" s="48" t="s">
        <v>4</v>
      </c>
      <c r="AF6" s="29">
        <v>496</v>
      </c>
      <c r="AG6" s="29">
        <v>773</v>
      </c>
      <c r="AH6" s="48" t="s">
        <v>4</v>
      </c>
      <c r="AI6" s="29">
        <v>481</v>
      </c>
      <c r="AJ6" s="29">
        <v>738</v>
      </c>
      <c r="AK6" s="48" t="s">
        <v>4</v>
      </c>
      <c r="AL6" s="29">
        <v>480</v>
      </c>
      <c r="AM6" s="29">
        <v>770</v>
      </c>
      <c r="AN6" s="48" t="s">
        <v>4</v>
      </c>
      <c r="AO6" s="29">
        <v>476</v>
      </c>
      <c r="AP6" s="29">
        <v>729</v>
      </c>
      <c r="AQ6" s="48" t="s">
        <v>4</v>
      </c>
      <c r="AR6" s="29">
        <v>486</v>
      </c>
      <c r="AS6" s="29">
        <v>751</v>
      </c>
    </row>
    <row r="7" spans="1:45">
      <c r="A7" s="24">
        <v>3</v>
      </c>
      <c r="B7" s="19" t="s">
        <v>30</v>
      </c>
      <c r="C7" s="19" t="s">
        <v>34</v>
      </c>
      <c r="D7" s="11">
        <v>625</v>
      </c>
      <c r="E7" s="9">
        <v>721</v>
      </c>
      <c r="F7" s="9">
        <v>674</v>
      </c>
      <c r="G7" s="9">
        <v>702</v>
      </c>
      <c r="H7" s="9">
        <v>656</v>
      </c>
      <c r="J7" s="21">
        <v>3</v>
      </c>
      <c r="K7" s="39" t="s">
        <v>30</v>
      </c>
      <c r="L7" s="39" t="s">
        <v>44</v>
      </c>
      <c r="M7" s="39" t="s">
        <v>32</v>
      </c>
      <c r="N7" s="9">
        <v>40.354136040557684</v>
      </c>
      <c r="O7" s="9">
        <v>43.894443328823215</v>
      </c>
      <c r="P7" s="9">
        <v>46.771907066922722</v>
      </c>
      <c r="Q7" s="9">
        <v>45.967012586201726</v>
      </c>
      <c r="R7" s="9">
        <v>43.944412860603506</v>
      </c>
      <c r="T7" s="23">
        <v>3</v>
      </c>
      <c r="U7" s="40" t="s">
        <v>41</v>
      </c>
      <c r="V7" s="40" t="s">
        <v>39</v>
      </c>
      <c r="W7" s="40" t="s">
        <v>34</v>
      </c>
      <c r="X7" s="40" t="s">
        <v>42</v>
      </c>
      <c r="Y7" s="11">
        <v>79443</v>
      </c>
      <c r="Z7" s="9">
        <v>82140</v>
      </c>
      <c r="AA7" s="9">
        <v>87152</v>
      </c>
      <c r="AB7" s="9">
        <v>81918</v>
      </c>
      <c r="AC7" s="9">
        <v>88831.5</v>
      </c>
      <c r="AE7" s="48" t="s">
        <v>5</v>
      </c>
      <c r="AF7" s="29">
        <v>600</v>
      </c>
      <c r="AG7" s="29">
        <v>829</v>
      </c>
      <c r="AH7" s="48" t="s">
        <v>5</v>
      </c>
      <c r="AI7" s="29">
        <v>600</v>
      </c>
      <c r="AJ7" s="29">
        <v>770</v>
      </c>
      <c r="AK7" s="48" t="s">
        <v>5</v>
      </c>
      <c r="AL7" s="29">
        <v>600</v>
      </c>
      <c r="AM7" s="29">
        <v>807</v>
      </c>
      <c r="AN7" s="48" t="s">
        <v>5</v>
      </c>
      <c r="AO7" s="29">
        <v>600</v>
      </c>
      <c r="AP7" s="29">
        <v>769</v>
      </c>
      <c r="AQ7" s="48" t="s">
        <v>5</v>
      </c>
      <c r="AR7" s="29">
        <v>600</v>
      </c>
      <c r="AS7" s="29">
        <v>788</v>
      </c>
    </row>
    <row r="8" spans="1:45" ht="15.75" customHeight="1">
      <c r="A8" s="24">
        <v>4</v>
      </c>
      <c r="B8" s="19" t="s">
        <v>35</v>
      </c>
      <c r="C8" s="19" t="s">
        <v>38</v>
      </c>
      <c r="D8" s="11">
        <v>208</v>
      </c>
      <c r="E8" s="9">
        <v>238</v>
      </c>
      <c r="F8" s="9">
        <v>240</v>
      </c>
      <c r="G8" s="9">
        <v>248</v>
      </c>
      <c r="H8" s="9">
        <v>228</v>
      </c>
      <c r="J8" s="21">
        <v>4</v>
      </c>
      <c r="K8" s="39" t="s">
        <v>35</v>
      </c>
      <c r="L8" s="39" t="s">
        <v>32</v>
      </c>
      <c r="M8" s="39" t="s">
        <v>38</v>
      </c>
      <c r="N8" s="9">
        <v>123.39848846798726</v>
      </c>
      <c r="O8" s="9">
        <v>149.89756001481805</v>
      </c>
      <c r="P8" s="9">
        <v>145.72745099284802</v>
      </c>
      <c r="Q8" s="9">
        <v>144.24260680831736</v>
      </c>
      <c r="R8" s="9">
        <v>144.03714060607194</v>
      </c>
      <c r="T8" s="23">
        <v>4</v>
      </c>
      <c r="U8" s="40" t="s">
        <v>46</v>
      </c>
      <c r="V8" s="40" t="s">
        <v>43</v>
      </c>
      <c r="W8" s="40" t="s">
        <v>33</v>
      </c>
      <c r="X8" s="40" t="s">
        <v>47</v>
      </c>
      <c r="Y8" s="11">
        <v>417135.5</v>
      </c>
      <c r="Z8" s="9">
        <v>387564</v>
      </c>
      <c r="AA8" s="9">
        <v>370221</v>
      </c>
      <c r="AB8" s="9">
        <v>342043.5</v>
      </c>
      <c r="AC8" s="9">
        <v>335896.5</v>
      </c>
      <c r="AE8" s="48" t="s">
        <v>6</v>
      </c>
      <c r="AF8" s="29">
        <f>AF7+(AF7-AF6)</f>
        <v>704</v>
      </c>
      <c r="AG8" s="29">
        <f>AG6</f>
        <v>773</v>
      </c>
      <c r="AH8" s="48" t="s">
        <v>6</v>
      </c>
      <c r="AI8" s="29">
        <f>AI7+(AI7-AI6)</f>
        <v>719</v>
      </c>
      <c r="AJ8" s="29">
        <f>AJ6</f>
        <v>738</v>
      </c>
      <c r="AK8" s="48" t="s">
        <v>6</v>
      </c>
      <c r="AL8" s="29">
        <f t="shared" ref="AL8" si="0">AL7+(AL7-AL6)</f>
        <v>720</v>
      </c>
      <c r="AM8" s="29">
        <f t="shared" ref="AM8" si="1">AM6</f>
        <v>770</v>
      </c>
      <c r="AN8" s="48" t="s">
        <v>6</v>
      </c>
      <c r="AO8" s="29">
        <f t="shared" ref="AO8" si="2">AO7+(AO7-AO6)</f>
        <v>724</v>
      </c>
      <c r="AP8" s="29">
        <f t="shared" ref="AP8" si="3">AP6</f>
        <v>729</v>
      </c>
      <c r="AQ8" s="48" t="s">
        <v>6</v>
      </c>
      <c r="AR8" s="29">
        <f t="shared" ref="AR8" si="4">AR7+(AR7-AR6)</f>
        <v>714</v>
      </c>
      <c r="AS8" s="29">
        <f t="shared" ref="AS8" si="5">AS6</f>
        <v>751</v>
      </c>
    </row>
    <row r="9" spans="1:45" ht="15.75" customHeight="1">
      <c r="A9" s="24">
        <v>5</v>
      </c>
      <c r="B9" s="19" t="s">
        <v>32</v>
      </c>
      <c r="C9" s="19" t="s">
        <v>33</v>
      </c>
      <c r="D9" s="11">
        <v>103</v>
      </c>
      <c r="E9" s="9">
        <v>133.00375934536586</v>
      </c>
      <c r="F9" s="9">
        <v>125</v>
      </c>
      <c r="G9" s="9">
        <v>135</v>
      </c>
      <c r="H9" s="9">
        <v>110</v>
      </c>
      <c r="J9" s="21">
        <v>5</v>
      </c>
      <c r="K9" s="39" t="s">
        <v>39</v>
      </c>
      <c r="L9" s="39" t="s">
        <v>34</v>
      </c>
      <c r="M9" s="39" t="s">
        <v>40</v>
      </c>
      <c r="N9" s="9">
        <v>135.95388900637749</v>
      </c>
      <c r="O9" s="9">
        <v>152.13662151639403</v>
      </c>
      <c r="P9" s="9">
        <v>154.30459028256467</v>
      </c>
      <c r="Q9" s="9">
        <v>156.0183300419215</v>
      </c>
      <c r="R9" s="9">
        <v>158.57375395441798</v>
      </c>
      <c r="T9" s="23">
        <v>5</v>
      </c>
      <c r="U9" s="40" t="s">
        <v>48</v>
      </c>
      <c r="V9" s="40" t="s">
        <v>43</v>
      </c>
      <c r="W9" s="40" t="s">
        <v>34</v>
      </c>
      <c r="X9" s="40" t="s">
        <v>44</v>
      </c>
      <c r="Y9" s="11">
        <v>349443</v>
      </c>
      <c r="Z9" s="9">
        <v>415004</v>
      </c>
      <c r="AA9" s="9">
        <v>352260</v>
      </c>
      <c r="AB9" s="9">
        <v>337590</v>
      </c>
      <c r="AC9" s="9">
        <v>342696</v>
      </c>
      <c r="AE9" s="48" t="s">
        <v>77</v>
      </c>
      <c r="AF9" s="29">
        <v>600</v>
      </c>
      <c r="AG9" s="29">
        <v>932</v>
      </c>
      <c r="AH9" s="48" t="s">
        <v>77</v>
      </c>
      <c r="AI9" s="29">
        <v>599</v>
      </c>
      <c r="AJ9" s="29">
        <v>903</v>
      </c>
      <c r="AK9" s="48" t="s">
        <v>77</v>
      </c>
      <c r="AL9" s="29">
        <v>600</v>
      </c>
      <c r="AM9" s="29">
        <v>932</v>
      </c>
      <c r="AN9" s="48" t="s">
        <v>77</v>
      </c>
      <c r="AO9" s="29">
        <v>600</v>
      </c>
      <c r="AP9" s="29">
        <v>904</v>
      </c>
      <c r="AQ9" s="48" t="s">
        <v>77</v>
      </c>
      <c r="AR9" s="29">
        <v>600</v>
      </c>
      <c r="AS9" s="29">
        <v>898</v>
      </c>
    </row>
    <row r="10" spans="1:45">
      <c r="A10" s="24">
        <v>6</v>
      </c>
      <c r="B10" s="19" t="s">
        <v>32</v>
      </c>
      <c r="C10" s="19" t="s">
        <v>34</v>
      </c>
      <c r="D10" s="11">
        <v>351</v>
      </c>
      <c r="E10" s="9">
        <v>410</v>
      </c>
      <c r="F10" s="9">
        <v>373</v>
      </c>
      <c r="G10" s="9">
        <v>411</v>
      </c>
      <c r="H10" s="9">
        <v>392</v>
      </c>
      <c r="J10" s="21">
        <v>6</v>
      </c>
      <c r="K10" s="39" t="s">
        <v>40</v>
      </c>
      <c r="L10" s="39" t="s">
        <v>34</v>
      </c>
      <c r="M10" s="39" t="s">
        <v>62</v>
      </c>
      <c r="N10" s="9">
        <v>22.0230554968112</v>
      </c>
      <c r="O10" s="9">
        <v>13.931689241802953</v>
      </c>
      <c r="P10" s="9">
        <v>12.847704858717686</v>
      </c>
      <c r="Q10" s="9">
        <v>11.990834979039317</v>
      </c>
      <c r="R10" s="9">
        <v>10.71312302279107</v>
      </c>
      <c r="T10" s="23">
        <v>6</v>
      </c>
      <c r="U10" s="40" t="s">
        <v>52</v>
      </c>
      <c r="V10" s="40" t="s">
        <v>51</v>
      </c>
      <c r="W10" s="40" t="s">
        <v>54</v>
      </c>
      <c r="X10" s="40" t="s">
        <v>50</v>
      </c>
      <c r="Y10" s="11">
        <v>2853</v>
      </c>
      <c r="Z10" s="9">
        <v>5177</v>
      </c>
      <c r="AA10" s="9">
        <v>3611</v>
      </c>
      <c r="AB10" s="9">
        <v>3095</v>
      </c>
      <c r="AC10" s="9">
        <v>3976.5</v>
      </c>
      <c r="AE10" s="48" t="s">
        <v>8</v>
      </c>
      <c r="AF10" s="29">
        <v>511</v>
      </c>
      <c r="AG10" s="29">
        <v>1144</v>
      </c>
      <c r="AH10" s="48" t="s">
        <v>8</v>
      </c>
      <c r="AI10" s="29">
        <v>471</v>
      </c>
      <c r="AJ10" s="29">
        <v>1148</v>
      </c>
      <c r="AK10" s="48" t="s">
        <v>8</v>
      </c>
      <c r="AL10" s="29">
        <v>486</v>
      </c>
      <c r="AM10" s="29">
        <v>1154</v>
      </c>
      <c r="AN10" s="48" t="s">
        <v>8</v>
      </c>
      <c r="AO10" s="29">
        <v>487</v>
      </c>
      <c r="AP10" s="29">
        <v>1156</v>
      </c>
      <c r="AQ10" s="48" t="s">
        <v>8</v>
      </c>
      <c r="AR10" s="29">
        <v>489</v>
      </c>
      <c r="AS10" s="29">
        <v>1159</v>
      </c>
    </row>
    <row r="11" spans="1:45">
      <c r="A11" s="24">
        <v>7</v>
      </c>
      <c r="B11" s="19" t="s">
        <v>39</v>
      </c>
      <c r="C11" s="19" t="s">
        <v>40</v>
      </c>
      <c r="D11" s="11">
        <v>178</v>
      </c>
      <c r="E11" s="9">
        <v>258</v>
      </c>
      <c r="F11" s="9">
        <v>228</v>
      </c>
      <c r="G11" s="9">
        <v>226</v>
      </c>
      <c r="H11" s="9">
        <v>222</v>
      </c>
      <c r="J11" s="21">
        <v>7</v>
      </c>
      <c r="K11" s="39" t="s">
        <v>41</v>
      </c>
      <c r="L11" s="39" t="s">
        <v>34</v>
      </c>
      <c r="M11" s="39" t="s">
        <v>62</v>
      </c>
      <c r="N11" s="9">
        <v>146.93481054156018</v>
      </c>
      <c r="O11" s="9">
        <v>143.27777156201611</v>
      </c>
      <c r="P11" s="9">
        <v>144.9849602046433</v>
      </c>
      <c r="Q11" s="9">
        <v>138.21548399174821</v>
      </c>
      <c r="R11" s="9">
        <v>138.18552722430138</v>
      </c>
      <c r="T11" s="23">
        <v>7</v>
      </c>
      <c r="U11" s="40" t="s">
        <v>76</v>
      </c>
      <c r="V11" s="40" t="s">
        <v>73</v>
      </c>
      <c r="W11" s="40" t="s">
        <v>75</v>
      </c>
      <c r="X11" s="40" t="s">
        <v>74</v>
      </c>
      <c r="Y11" s="11">
        <v>3135</v>
      </c>
      <c r="Z11" s="9">
        <v>6303</v>
      </c>
      <c r="AA11" s="9">
        <v>4156.5</v>
      </c>
      <c r="AB11" s="9">
        <v>4037</v>
      </c>
      <c r="AC11" s="9">
        <v>3840</v>
      </c>
      <c r="AE11" s="48" t="s">
        <v>9</v>
      </c>
      <c r="AF11" s="29">
        <v>600</v>
      </c>
      <c r="AG11" s="29">
        <v>1180</v>
      </c>
      <c r="AH11" s="48" t="s">
        <v>9</v>
      </c>
      <c r="AI11" s="29">
        <v>600</v>
      </c>
      <c r="AJ11" s="29">
        <v>1180</v>
      </c>
      <c r="AK11" s="48" t="s">
        <v>9</v>
      </c>
      <c r="AL11" s="29">
        <v>600</v>
      </c>
      <c r="AM11" s="29">
        <v>1180</v>
      </c>
      <c r="AN11" s="48" t="s">
        <v>9</v>
      </c>
      <c r="AO11" s="29">
        <v>600</v>
      </c>
      <c r="AP11" s="29">
        <v>1180</v>
      </c>
      <c r="AQ11" s="48" t="s">
        <v>9</v>
      </c>
      <c r="AR11" s="29">
        <v>600</v>
      </c>
      <c r="AS11" s="29">
        <v>1180</v>
      </c>
    </row>
    <row r="12" spans="1:45">
      <c r="A12" s="24">
        <v>8</v>
      </c>
      <c r="B12" s="19" t="s">
        <v>41</v>
      </c>
      <c r="C12" s="19" t="s">
        <v>42</v>
      </c>
      <c r="D12" s="11">
        <v>682</v>
      </c>
      <c r="E12" s="9">
        <v>622</v>
      </c>
      <c r="F12" s="9">
        <v>668</v>
      </c>
      <c r="G12" s="9">
        <v>564</v>
      </c>
      <c r="H12" s="9">
        <v>588</v>
      </c>
      <c r="J12" s="21">
        <v>8</v>
      </c>
      <c r="K12" s="39" t="s">
        <v>42</v>
      </c>
      <c r="L12" s="39" t="s">
        <v>34</v>
      </c>
      <c r="M12" s="39" t="s">
        <v>62</v>
      </c>
      <c r="N12" s="9">
        <v>33.065189458439832</v>
      </c>
      <c r="O12" s="9">
        <v>36.722228437983887</v>
      </c>
      <c r="P12" s="9">
        <v>35.015039795356664</v>
      </c>
      <c r="Q12" s="9">
        <v>41.784516008251778</v>
      </c>
      <c r="R12" s="9">
        <v>41.814472775698633</v>
      </c>
      <c r="T12" s="23">
        <v>8</v>
      </c>
      <c r="U12" s="40"/>
      <c r="V12" s="40"/>
      <c r="W12" s="40"/>
      <c r="X12" s="40"/>
      <c r="Y12" s="11"/>
      <c r="Z12" s="9"/>
      <c r="AA12" s="9"/>
      <c r="AB12" s="9"/>
      <c r="AC12" s="9"/>
      <c r="AE12" s="48" t="s">
        <v>10</v>
      </c>
      <c r="AF12" s="29">
        <f>AF11+(AF11-AF10)</f>
        <v>689</v>
      </c>
      <c r="AG12" s="29">
        <f>AG10</f>
        <v>1144</v>
      </c>
      <c r="AH12" s="48" t="s">
        <v>10</v>
      </c>
      <c r="AI12" s="29">
        <f>AI11+(AI11-AI10)</f>
        <v>729</v>
      </c>
      <c r="AJ12" s="29">
        <f>AJ10</f>
        <v>1148</v>
      </c>
      <c r="AK12" s="48" t="s">
        <v>10</v>
      </c>
      <c r="AL12" s="29">
        <f t="shared" ref="AL12" si="6">AL11+(AL11-AL10)</f>
        <v>714</v>
      </c>
      <c r="AM12" s="29">
        <f t="shared" ref="AM12" si="7">AM10</f>
        <v>1154</v>
      </c>
      <c r="AN12" s="48" t="s">
        <v>10</v>
      </c>
      <c r="AO12" s="29">
        <f t="shared" ref="AO12" si="8">AO11+(AO11-AO10)</f>
        <v>713</v>
      </c>
      <c r="AP12" s="29">
        <f t="shared" ref="AP12" si="9">AP10</f>
        <v>1156</v>
      </c>
      <c r="AQ12" s="48" t="s">
        <v>10</v>
      </c>
      <c r="AR12" s="29">
        <f t="shared" ref="AR12" si="10">AR11+(AR11-AR10)</f>
        <v>711</v>
      </c>
      <c r="AS12" s="29">
        <f t="shared" ref="AS12" si="11">AS10</f>
        <v>1159</v>
      </c>
    </row>
    <row r="13" spans="1:45">
      <c r="A13" s="24">
        <v>9</v>
      </c>
      <c r="B13" s="19" t="s">
        <v>43</v>
      </c>
      <c r="C13" s="19" t="s">
        <v>44</v>
      </c>
      <c r="D13" s="11">
        <v>738</v>
      </c>
      <c r="E13" s="9">
        <v>718</v>
      </c>
      <c r="F13" s="9">
        <v>684</v>
      </c>
      <c r="G13" s="9">
        <v>660</v>
      </c>
      <c r="H13" s="9">
        <v>654</v>
      </c>
      <c r="J13" s="21">
        <v>9</v>
      </c>
      <c r="K13" s="39" t="s">
        <v>43</v>
      </c>
      <c r="L13" s="39" t="s">
        <v>41</v>
      </c>
      <c r="M13" s="39" t="s">
        <v>34</v>
      </c>
      <c r="N13" s="9">
        <v>130.12779212885562</v>
      </c>
      <c r="O13" s="9">
        <v>138.66175952041436</v>
      </c>
      <c r="P13" s="9">
        <v>126.92419222835302</v>
      </c>
      <c r="Q13" s="9">
        <v>143.42508822216351</v>
      </c>
      <c r="R13" s="9">
        <v>139.24588074687111</v>
      </c>
      <c r="T13" s="23">
        <v>9</v>
      </c>
      <c r="U13" s="40"/>
      <c r="V13" s="40"/>
      <c r="W13" s="40"/>
      <c r="X13" s="40"/>
      <c r="Y13" s="11"/>
      <c r="Z13" s="9"/>
      <c r="AA13" s="9"/>
      <c r="AB13" s="9"/>
      <c r="AC13" s="9"/>
      <c r="AE13" s="48" t="s">
        <v>11</v>
      </c>
      <c r="AF13" s="29">
        <v>259</v>
      </c>
      <c r="AG13" s="29">
        <v>958</v>
      </c>
      <c r="AH13" s="48" t="s">
        <v>11</v>
      </c>
      <c r="AI13" s="29">
        <v>289</v>
      </c>
      <c r="AJ13" s="29">
        <v>948</v>
      </c>
      <c r="AK13" s="48" t="s">
        <v>11</v>
      </c>
      <c r="AL13" s="29">
        <v>266</v>
      </c>
      <c r="AM13" s="29">
        <v>946</v>
      </c>
      <c r="AN13" s="48" t="s">
        <v>11</v>
      </c>
      <c r="AO13" s="29">
        <v>318</v>
      </c>
      <c r="AP13" s="29">
        <v>928</v>
      </c>
      <c r="AQ13" s="48" t="s">
        <v>11</v>
      </c>
      <c r="AR13" s="29">
        <v>306</v>
      </c>
      <c r="AS13" s="29">
        <v>917</v>
      </c>
    </row>
    <row r="14" spans="1:45">
      <c r="A14" s="24">
        <v>10</v>
      </c>
      <c r="B14" s="19" t="s">
        <v>45</v>
      </c>
      <c r="C14" s="19" t="s">
        <v>43</v>
      </c>
      <c r="D14" s="11">
        <v>66.189122973491649</v>
      </c>
      <c r="E14" s="9">
        <v>49.162994213127419</v>
      </c>
      <c r="F14" s="9">
        <v>111.07204868912791</v>
      </c>
      <c r="G14" s="9">
        <v>54.120236510939236</v>
      </c>
      <c r="H14" s="9">
        <v>50.358713248056688</v>
      </c>
      <c r="J14" s="21">
        <v>10</v>
      </c>
      <c r="K14" s="39" t="s">
        <v>44</v>
      </c>
      <c r="L14" s="39" t="s">
        <v>32</v>
      </c>
      <c r="M14" s="39" t="s">
        <v>62</v>
      </c>
      <c r="N14" s="9">
        <v>45.909445082941936</v>
      </c>
      <c r="O14" s="9">
        <v>43.028646643037391</v>
      </c>
      <c r="P14" s="9">
        <v>49.198221590470084</v>
      </c>
      <c r="Q14" s="9">
        <v>47.961237908065279</v>
      </c>
      <c r="R14" s="9">
        <v>54.82024137480002</v>
      </c>
      <c r="T14" s="23">
        <v>10</v>
      </c>
      <c r="U14" s="40"/>
      <c r="V14" s="40"/>
      <c r="W14" s="40"/>
      <c r="X14" s="40"/>
      <c r="Y14" s="11"/>
      <c r="Z14" s="9"/>
      <c r="AA14" s="9"/>
      <c r="AB14" s="9"/>
      <c r="AC14" s="9"/>
      <c r="AE14" s="48" t="s">
        <v>12</v>
      </c>
      <c r="AF14" s="29">
        <f>600+(600-AF13)</f>
        <v>941</v>
      </c>
      <c r="AG14" s="29">
        <f>AG13</f>
        <v>958</v>
      </c>
      <c r="AH14" s="48" t="s">
        <v>12</v>
      </c>
      <c r="AI14" s="29">
        <f>600+(600-AI13)</f>
        <v>911</v>
      </c>
      <c r="AJ14" s="29">
        <f>AJ13</f>
        <v>948</v>
      </c>
      <c r="AK14" s="48" t="s">
        <v>12</v>
      </c>
      <c r="AL14" s="29">
        <f t="shared" ref="AL14" si="12">600+(600-AL13)</f>
        <v>934</v>
      </c>
      <c r="AM14" s="29">
        <f t="shared" ref="AM14" si="13">AM13</f>
        <v>946</v>
      </c>
      <c r="AN14" s="48" t="s">
        <v>12</v>
      </c>
      <c r="AO14" s="29">
        <f t="shared" ref="AO14" si="14">600+(600-AO13)</f>
        <v>882</v>
      </c>
      <c r="AP14" s="29">
        <f t="shared" ref="AP14" si="15">AP13</f>
        <v>928</v>
      </c>
      <c r="AQ14" s="48" t="s">
        <v>12</v>
      </c>
      <c r="AR14" s="29">
        <f t="shared" ref="AR14" si="16">600+(600-AR13)</f>
        <v>894</v>
      </c>
      <c r="AS14" s="29">
        <f t="shared" ref="AS14" si="17">AS13</f>
        <v>917</v>
      </c>
    </row>
    <row r="15" spans="1:45">
      <c r="A15" s="24">
        <v>11</v>
      </c>
      <c r="B15" s="19" t="s">
        <v>46</v>
      </c>
      <c r="C15" s="19" t="s">
        <v>47</v>
      </c>
      <c r="D15" s="11">
        <v>740</v>
      </c>
      <c r="E15" s="9">
        <v>698</v>
      </c>
      <c r="F15" s="9">
        <v>662</v>
      </c>
      <c r="G15" s="9">
        <v>626</v>
      </c>
      <c r="H15" s="9">
        <v>630</v>
      </c>
      <c r="J15" s="21">
        <v>11</v>
      </c>
      <c r="K15" s="39" t="s">
        <v>44</v>
      </c>
      <c r="L15" s="39" t="s">
        <v>33</v>
      </c>
      <c r="M15" s="39" t="s">
        <v>62</v>
      </c>
      <c r="N15" s="9">
        <v>51.608816553576823</v>
      </c>
      <c r="O15" s="9">
        <v>52.309267674987915</v>
      </c>
      <c r="P15" s="9">
        <v>56.608358096914692</v>
      </c>
      <c r="Q15" s="9">
        <v>57.795448326201459</v>
      </c>
      <c r="R15" s="9">
        <v>61.516711023188648</v>
      </c>
      <c r="T15" s="23">
        <v>11</v>
      </c>
      <c r="U15" s="40"/>
      <c r="V15" s="40"/>
      <c r="W15" s="40"/>
      <c r="X15" s="40"/>
      <c r="Y15" s="11"/>
      <c r="Z15" s="9"/>
      <c r="AA15" s="9"/>
      <c r="AB15" s="9"/>
      <c r="AC15" s="9"/>
      <c r="AE15" s="48" t="s">
        <v>13</v>
      </c>
      <c r="AF15" s="29">
        <v>231</v>
      </c>
      <c r="AG15" s="29">
        <v>732</v>
      </c>
      <c r="AH15" s="48" t="s">
        <v>13</v>
      </c>
      <c r="AI15" s="29">
        <v>241</v>
      </c>
      <c r="AJ15" s="29">
        <v>721</v>
      </c>
      <c r="AK15" s="48" t="s">
        <v>13</v>
      </c>
      <c r="AL15" s="29">
        <v>258</v>
      </c>
      <c r="AM15" s="29">
        <v>706</v>
      </c>
      <c r="AN15" s="48" t="s">
        <v>13</v>
      </c>
      <c r="AO15" s="29">
        <v>270</v>
      </c>
      <c r="AP15" s="29">
        <v>695</v>
      </c>
      <c r="AQ15" s="48" t="s">
        <v>13</v>
      </c>
      <c r="AR15" s="29">
        <v>273</v>
      </c>
      <c r="AS15" s="29">
        <v>664</v>
      </c>
    </row>
    <row r="16" spans="1:45" ht="15.75" customHeight="1">
      <c r="A16" s="24">
        <v>12</v>
      </c>
      <c r="B16" s="19" t="s">
        <v>48</v>
      </c>
      <c r="C16" s="19" t="s">
        <v>30</v>
      </c>
      <c r="D16" s="11">
        <v>322.893171188243</v>
      </c>
      <c r="E16" s="9">
        <v>435</v>
      </c>
      <c r="F16" s="9">
        <v>356</v>
      </c>
      <c r="G16" s="9">
        <v>321</v>
      </c>
      <c r="H16" s="9">
        <v>392</v>
      </c>
      <c r="J16" s="21">
        <v>12</v>
      </c>
      <c r="K16" s="39" t="s">
        <v>47</v>
      </c>
      <c r="L16" s="39" t="s">
        <v>30</v>
      </c>
      <c r="M16" s="39" t="s">
        <v>62</v>
      </c>
      <c r="N16" s="9">
        <v>97.205844303519484</v>
      </c>
      <c r="O16" s="9">
        <v>96.267437496996592</v>
      </c>
      <c r="P16" s="9">
        <v>98.673365139109819</v>
      </c>
      <c r="Q16" s="9">
        <v>99.272857619728015</v>
      </c>
      <c r="R16" s="9">
        <v>100.64362781423898</v>
      </c>
      <c r="T16" s="23">
        <v>12</v>
      </c>
      <c r="U16" s="40"/>
      <c r="V16" s="40"/>
      <c r="W16" s="40"/>
      <c r="X16" s="40"/>
      <c r="Y16" s="11"/>
      <c r="Z16" s="9"/>
      <c r="AA16" s="9"/>
      <c r="AB16" s="9"/>
      <c r="AC16" s="9"/>
      <c r="AE16" s="48" t="s">
        <v>14</v>
      </c>
      <c r="AF16" s="29">
        <f>600+(600-AF15)</f>
        <v>969</v>
      </c>
      <c r="AG16" s="29">
        <f>AG15</f>
        <v>732</v>
      </c>
      <c r="AH16" s="48" t="s">
        <v>14</v>
      </c>
      <c r="AI16" s="29">
        <f>600+(600-AI15)</f>
        <v>959</v>
      </c>
      <c r="AJ16" s="29">
        <f>AJ15</f>
        <v>721</v>
      </c>
      <c r="AK16" s="48" t="s">
        <v>14</v>
      </c>
      <c r="AL16" s="29">
        <f t="shared" ref="AL16" si="18">600+(600-AL15)</f>
        <v>942</v>
      </c>
      <c r="AM16" s="29">
        <f t="shared" ref="AM16" si="19">AM15</f>
        <v>706</v>
      </c>
      <c r="AN16" s="48" t="s">
        <v>14</v>
      </c>
      <c r="AO16" s="29">
        <f t="shared" ref="AO16" si="20">600+(600-AO15)</f>
        <v>930</v>
      </c>
      <c r="AP16" s="29">
        <f t="shared" ref="AP16" si="21">AP15</f>
        <v>695</v>
      </c>
      <c r="AQ16" s="48" t="s">
        <v>14</v>
      </c>
      <c r="AR16" s="29">
        <f t="shared" ref="AR16" si="22">600+(600-AR15)</f>
        <v>927</v>
      </c>
      <c r="AS16" s="29">
        <f t="shared" ref="AS16" si="23">AS15</f>
        <v>664</v>
      </c>
    </row>
    <row r="17" spans="1:45" ht="15.75" customHeight="1">
      <c r="A17" s="24">
        <v>13</v>
      </c>
      <c r="B17" s="19" t="s">
        <v>48</v>
      </c>
      <c r="C17" s="19" t="s">
        <v>32</v>
      </c>
      <c r="D17" s="11">
        <v>596.48302574339868</v>
      </c>
      <c r="E17" s="9">
        <v>746</v>
      </c>
      <c r="F17" s="9">
        <v>657</v>
      </c>
      <c r="G17" s="9">
        <v>612</v>
      </c>
      <c r="H17" s="9">
        <v>656</v>
      </c>
      <c r="J17" s="21">
        <v>13</v>
      </c>
      <c r="K17" s="39" t="s">
        <v>47</v>
      </c>
      <c r="L17" s="39" t="s">
        <v>48</v>
      </c>
      <c r="M17" s="39" t="s">
        <v>62</v>
      </c>
      <c r="N17" s="9">
        <v>74.409208711169853</v>
      </c>
      <c r="O17" s="9">
        <v>49.66763886561575</v>
      </c>
      <c r="P17" s="9">
        <v>65.794664105919779</v>
      </c>
      <c r="Q17" s="9">
        <v>67.19019833837207</v>
      </c>
      <c r="R17" s="9">
        <v>63.40156458101378</v>
      </c>
      <c r="T17" s="23">
        <v>13</v>
      </c>
      <c r="U17" s="40"/>
      <c r="V17" s="40"/>
      <c r="W17" s="40"/>
      <c r="X17" s="40"/>
      <c r="Y17" s="11"/>
      <c r="Z17" s="9"/>
      <c r="AA17" s="9"/>
      <c r="AB17" s="9"/>
      <c r="AC17" s="9"/>
      <c r="AE17" s="48" t="s">
        <v>15</v>
      </c>
      <c r="AF17" s="29">
        <v>165</v>
      </c>
      <c r="AG17" s="29">
        <v>737</v>
      </c>
      <c r="AH17" s="48" t="s">
        <v>15</v>
      </c>
      <c r="AI17" s="29">
        <v>192</v>
      </c>
      <c r="AJ17" s="29">
        <v>717</v>
      </c>
      <c r="AK17" s="48" t="s">
        <v>15</v>
      </c>
      <c r="AL17" s="29">
        <v>147</v>
      </c>
      <c r="AM17" s="29">
        <v>702</v>
      </c>
      <c r="AN17" s="48" t="s">
        <v>15</v>
      </c>
      <c r="AO17" s="29">
        <v>218</v>
      </c>
      <c r="AP17" s="29">
        <v>710</v>
      </c>
      <c r="AQ17" s="48" t="s">
        <v>15</v>
      </c>
      <c r="AR17" s="29">
        <v>223</v>
      </c>
      <c r="AS17" s="29">
        <v>658</v>
      </c>
    </row>
    <row r="18" spans="1:45">
      <c r="A18" s="24">
        <v>14</v>
      </c>
      <c r="B18" s="19" t="s">
        <v>48</v>
      </c>
      <c r="C18" s="19" t="s">
        <v>33</v>
      </c>
      <c r="D18" s="11">
        <v>699.4118958096152</v>
      </c>
      <c r="E18" s="9">
        <v>879.00056882802983</v>
      </c>
      <c r="F18" s="9">
        <v>782</v>
      </c>
      <c r="G18" s="9">
        <v>747</v>
      </c>
      <c r="H18" s="9">
        <v>766</v>
      </c>
      <c r="J18" s="21">
        <v>14</v>
      </c>
      <c r="K18" s="44" t="s">
        <v>48</v>
      </c>
      <c r="L18" s="44" t="s">
        <v>78</v>
      </c>
      <c r="M18" s="44" t="s">
        <v>79</v>
      </c>
      <c r="N18" s="11">
        <v>58.241033199796853</v>
      </c>
      <c r="O18" s="9">
        <v>51.596669762026849</v>
      </c>
      <c r="P18" s="9">
        <v>48.659717239607822</v>
      </c>
      <c r="Q18" s="9">
        <v>47.835272725330825</v>
      </c>
      <c r="R18" s="9">
        <v>67.893053576689098</v>
      </c>
      <c r="T18" s="23">
        <v>14</v>
      </c>
      <c r="U18" s="40"/>
      <c r="V18" s="40"/>
      <c r="W18" s="40"/>
      <c r="X18" s="40"/>
      <c r="Y18" s="11"/>
      <c r="Z18" s="9"/>
      <c r="AA18" s="9"/>
      <c r="AB18" s="9"/>
      <c r="AC18" s="9"/>
      <c r="AE18" s="48" t="s">
        <v>16</v>
      </c>
      <c r="AF18" s="29">
        <f>600+(600-AF17)</f>
        <v>1035</v>
      </c>
      <c r="AG18" s="29">
        <f>AG17</f>
        <v>737</v>
      </c>
      <c r="AH18" s="48" t="s">
        <v>16</v>
      </c>
      <c r="AI18" s="29">
        <f>600+(600-AI17)</f>
        <v>1008</v>
      </c>
      <c r="AJ18" s="29">
        <f>AJ17</f>
        <v>717</v>
      </c>
      <c r="AK18" s="48" t="s">
        <v>16</v>
      </c>
      <c r="AL18" s="29">
        <f t="shared" ref="AL18" si="24">600+(600-AL17)</f>
        <v>1053</v>
      </c>
      <c r="AM18" s="29">
        <f t="shared" ref="AM18" si="25">AM17</f>
        <v>702</v>
      </c>
      <c r="AN18" s="48" t="s">
        <v>16</v>
      </c>
      <c r="AO18" s="29">
        <f t="shared" ref="AO18" si="26">600+(600-AO17)</f>
        <v>982</v>
      </c>
      <c r="AP18" s="29">
        <f t="shared" ref="AP18" si="27">AP17</f>
        <v>710</v>
      </c>
      <c r="AQ18" s="48" t="s">
        <v>16</v>
      </c>
      <c r="AR18" s="29">
        <f t="shared" ref="AR18" si="28">600+(600-AR17)</f>
        <v>977</v>
      </c>
      <c r="AS18" s="29">
        <f t="shared" ref="AS18" si="29">AS17</f>
        <v>658</v>
      </c>
    </row>
    <row r="19" spans="1:45">
      <c r="A19" s="24">
        <v>15</v>
      </c>
      <c r="B19" s="19" t="s">
        <v>48</v>
      </c>
      <c r="C19" s="19" t="s">
        <v>34</v>
      </c>
      <c r="D19" s="11">
        <v>947.30406945183131</v>
      </c>
      <c r="E19" s="9">
        <v>1156</v>
      </c>
      <c r="F19" s="9">
        <v>1030</v>
      </c>
      <c r="G19" s="9">
        <v>1023</v>
      </c>
      <c r="H19" s="9">
        <v>1048</v>
      </c>
      <c r="J19" s="21">
        <v>15</v>
      </c>
      <c r="K19" s="44" t="s">
        <v>80</v>
      </c>
      <c r="L19" s="44" t="s">
        <v>78</v>
      </c>
      <c r="M19" s="44" t="s">
        <v>79</v>
      </c>
      <c r="N19" s="11">
        <v>19.882689706464202</v>
      </c>
      <c r="O19" s="9">
        <v>23.201001140519573</v>
      </c>
      <c r="P19" s="9">
        <v>17.102728969052372</v>
      </c>
      <c r="Q19" s="9">
        <v>20.369171193668425</v>
      </c>
      <c r="R19" s="9">
        <v>26.326579349488927</v>
      </c>
      <c r="T19" s="23">
        <v>15</v>
      </c>
      <c r="U19" s="40"/>
      <c r="V19" s="40"/>
      <c r="W19" s="40"/>
      <c r="X19" s="40"/>
      <c r="Y19" s="11"/>
      <c r="Z19" s="9"/>
      <c r="AA19" s="9"/>
      <c r="AB19" s="9"/>
      <c r="AC19" s="9"/>
      <c r="AE19" s="48" t="s">
        <v>17</v>
      </c>
      <c r="AF19" s="29">
        <v>230</v>
      </c>
      <c r="AG19" s="29">
        <v>113</v>
      </c>
      <c r="AH19" s="48" t="s">
        <v>17</v>
      </c>
      <c r="AI19" s="29">
        <v>251</v>
      </c>
      <c r="AJ19" s="29">
        <v>109</v>
      </c>
      <c r="AK19" s="48" t="s">
        <v>17</v>
      </c>
      <c r="AL19" s="29">
        <v>269</v>
      </c>
      <c r="AM19" s="29">
        <v>120</v>
      </c>
      <c r="AN19" s="48" t="s">
        <v>17</v>
      </c>
      <c r="AO19" s="29">
        <v>287</v>
      </c>
      <c r="AP19" s="29">
        <v>120</v>
      </c>
      <c r="AQ19" s="48" t="s">
        <v>17</v>
      </c>
      <c r="AR19" s="29">
        <v>285</v>
      </c>
      <c r="AS19" s="29">
        <v>119</v>
      </c>
    </row>
    <row r="20" spans="1:45">
      <c r="A20" s="24">
        <v>16</v>
      </c>
      <c r="B20" s="19" t="s">
        <v>50</v>
      </c>
      <c r="C20" s="19" t="s">
        <v>51</v>
      </c>
      <c r="D20" s="11">
        <v>43.289721643826724</v>
      </c>
      <c r="E20" s="9">
        <v>70.064256222413434</v>
      </c>
      <c r="F20" s="9">
        <v>48.259714048054619</v>
      </c>
      <c r="G20" s="9">
        <v>40.11234224026316</v>
      </c>
      <c r="H20" s="9">
        <v>56.089214649520635</v>
      </c>
      <c r="I20" s="3"/>
      <c r="J20" s="21">
        <v>16</v>
      </c>
      <c r="K20" s="44" t="s">
        <v>48</v>
      </c>
      <c r="L20" s="44" t="s">
        <v>81</v>
      </c>
      <c r="M20" s="44" t="s">
        <v>79</v>
      </c>
      <c r="N20" s="11">
        <v>103.12457968681198</v>
      </c>
      <c r="O20" s="9">
        <v>113.8703051277721</v>
      </c>
      <c r="P20" s="9">
        <v>100.29990310167631</v>
      </c>
      <c r="Q20" s="9">
        <v>115.90650799951442</v>
      </c>
      <c r="R20" s="9">
        <v>107.8374478697134</v>
      </c>
      <c r="T20" s="23">
        <v>16</v>
      </c>
      <c r="U20" s="40"/>
      <c r="V20" s="40"/>
      <c r="W20" s="40"/>
      <c r="X20" s="40"/>
      <c r="Y20" s="11"/>
      <c r="Z20" s="9"/>
      <c r="AA20" s="9"/>
      <c r="AB20" s="9"/>
      <c r="AC20" s="9"/>
      <c r="AE20" s="48" t="s">
        <v>18</v>
      </c>
      <c r="AF20" s="29">
        <v>576</v>
      </c>
      <c r="AG20" s="29">
        <v>233</v>
      </c>
      <c r="AH20" s="48" t="s">
        <v>18</v>
      </c>
      <c r="AI20" s="29">
        <v>600</v>
      </c>
      <c r="AJ20" s="29">
        <v>24</v>
      </c>
      <c r="AK20" s="48" t="s">
        <v>18</v>
      </c>
      <c r="AL20" s="29">
        <v>600</v>
      </c>
      <c r="AM20" s="29">
        <v>150</v>
      </c>
      <c r="AN20" s="48" t="s">
        <v>18</v>
      </c>
      <c r="AO20" s="29">
        <v>600</v>
      </c>
      <c r="AP20" s="29">
        <v>157</v>
      </c>
      <c r="AQ20" s="48" t="s">
        <v>18</v>
      </c>
      <c r="AR20" s="29">
        <v>600</v>
      </c>
      <c r="AS20" s="29">
        <v>132</v>
      </c>
    </row>
    <row r="21" spans="1:45">
      <c r="A21" s="24">
        <v>17</v>
      </c>
      <c r="B21" s="19" t="s">
        <v>65</v>
      </c>
      <c r="C21" s="19" t="s">
        <v>66</v>
      </c>
      <c r="D21" s="11">
        <v>248</v>
      </c>
      <c r="E21" s="9">
        <v>277.0018050482704</v>
      </c>
      <c r="F21" s="9">
        <v>248</v>
      </c>
      <c r="G21" s="9">
        <v>276</v>
      </c>
      <c r="H21" s="9">
        <v>282</v>
      </c>
      <c r="I21" s="3"/>
      <c r="J21" s="21">
        <v>17</v>
      </c>
      <c r="K21" s="44" t="s">
        <v>80</v>
      </c>
      <c r="L21" s="44" t="s">
        <v>81</v>
      </c>
      <c r="M21" s="44" t="s">
        <v>79</v>
      </c>
      <c r="N21" s="11">
        <v>21.725671553581144</v>
      </c>
      <c r="O21" s="9">
        <v>34.155876608744784</v>
      </c>
      <c r="P21" s="9">
        <v>19.03113879873862</v>
      </c>
      <c r="Q21" s="9">
        <v>26.646785471867634</v>
      </c>
      <c r="R21" s="9">
        <v>22.002895501013253</v>
      </c>
      <c r="T21" s="23">
        <v>17</v>
      </c>
      <c r="U21" s="40"/>
      <c r="V21" s="40"/>
      <c r="W21" s="40"/>
      <c r="X21" s="40"/>
      <c r="Y21" s="11"/>
      <c r="Z21" s="9"/>
      <c r="AA21" s="9"/>
      <c r="AB21" s="9"/>
      <c r="AC21" s="9"/>
      <c r="AE21" s="48" t="s">
        <v>19</v>
      </c>
      <c r="AF21" s="29">
        <f>600+(600-AF19)</f>
        <v>970</v>
      </c>
      <c r="AG21" s="29">
        <f>AG19</f>
        <v>113</v>
      </c>
      <c r="AH21" s="48" t="s">
        <v>19</v>
      </c>
      <c r="AI21" s="29">
        <f>600+(600-AI19)</f>
        <v>949</v>
      </c>
      <c r="AJ21" s="29">
        <f>AJ19</f>
        <v>109</v>
      </c>
      <c r="AK21" s="48" t="s">
        <v>19</v>
      </c>
      <c r="AL21" s="29">
        <f t="shared" ref="AL21" si="30">600+(600-AL19)</f>
        <v>931</v>
      </c>
      <c r="AM21" s="29">
        <f t="shared" ref="AM21" si="31">AM19</f>
        <v>120</v>
      </c>
      <c r="AN21" s="48" t="s">
        <v>19</v>
      </c>
      <c r="AO21" s="29">
        <f t="shared" ref="AO21" si="32">600+(600-AO19)</f>
        <v>913</v>
      </c>
      <c r="AP21" s="29">
        <f t="shared" ref="AP21" si="33">AP19</f>
        <v>120</v>
      </c>
      <c r="AQ21" s="48" t="s">
        <v>19</v>
      </c>
      <c r="AR21" s="29">
        <f t="shared" ref="AR21" si="34">600+(600-AR19)</f>
        <v>915</v>
      </c>
      <c r="AS21" s="29">
        <f t="shared" ref="AS21" si="35">AS19</f>
        <v>119</v>
      </c>
    </row>
    <row r="22" spans="1:45">
      <c r="A22" s="24">
        <v>18</v>
      </c>
      <c r="B22" s="19" t="s">
        <v>76</v>
      </c>
      <c r="C22" s="19" t="s">
        <v>75</v>
      </c>
      <c r="D22" s="11">
        <v>34.713109915419565</v>
      </c>
      <c r="E22" s="9">
        <v>57.035076926396798</v>
      </c>
      <c r="F22" s="9">
        <v>37.12142238654117</v>
      </c>
      <c r="G22" s="9">
        <v>41.048751503547585</v>
      </c>
      <c r="H22" s="9">
        <v>48.826222462934808</v>
      </c>
      <c r="I22" s="3"/>
      <c r="J22" s="21">
        <v>18</v>
      </c>
      <c r="K22" s="39"/>
      <c r="L22" s="39"/>
      <c r="M22" s="39"/>
      <c r="N22" s="11"/>
      <c r="O22" s="9"/>
      <c r="P22" s="9"/>
      <c r="Q22" s="9"/>
      <c r="R22" s="9"/>
      <c r="T22" s="23">
        <v>18</v>
      </c>
      <c r="U22" s="40"/>
      <c r="V22" s="40"/>
      <c r="W22" s="40"/>
      <c r="X22" s="40"/>
      <c r="Y22" s="11"/>
      <c r="Z22" s="9"/>
      <c r="AA22" s="9"/>
      <c r="AB22" s="9"/>
      <c r="AC22" s="9"/>
      <c r="AE22" s="48" t="s">
        <v>20</v>
      </c>
      <c r="AF22" s="29">
        <v>370</v>
      </c>
      <c r="AG22" s="29">
        <v>616</v>
      </c>
      <c r="AH22" s="48" t="s">
        <v>20</v>
      </c>
      <c r="AI22" s="29">
        <v>354</v>
      </c>
      <c r="AJ22" s="29">
        <v>544</v>
      </c>
      <c r="AK22" s="48" t="s">
        <v>20</v>
      </c>
      <c r="AL22" s="29">
        <v>359</v>
      </c>
      <c r="AM22" s="29">
        <v>563</v>
      </c>
      <c r="AN22" s="49" t="s">
        <v>20</v>
      </c>
      <c r="AO22" s="30">
        <v>355</v>
      </c>
      <c r="AP22" s="30">
        <v>564</v>
      </c>
      <c r="AQ22" s="48" t="s">
        <v>20</v>
      </c>
      <c r="AR22" s="29">
        <v>372</v>
      </c>
      <c r="AS22" s="29">
        <v>573</v>
      </c>
    </row>
    <row r="23" spans="1:45">
      <c r="A23" s="24">
        <v>19</v>
      </c>
      <c r="B23" s="19" t="s">
        <v>73</v>
      </c>
      <c r="C23" s="19" t="s">
        <v>74</v>
      </c>
      <c r="D23" s="11">
        <v>184.01086924418351</v>
      </c>
      <c r="E23" s="9">
        <v>222.46123257772354</v>
      </c>
      <c r="F23" s="9">
        <v>225.03555274667156</v>
      </c>
      <c r="G23" s="9">
        <v>196.91876497682998</v>
      </c>
      <c r="H23" s="9">
        <v>192</v>
      </c>
      <c r="I23" s="3"/>
      <c r="J23" s="21">
        <v>19</v>
      </c>
      <c r="K23" s="39"/>
      <c r="L23" s="39"/>
      <c r="M23" s="39"/>
      <c r="N23" s="11"/>
      <c r="O23" s="9"/>
      <c r="P23" s="9"/>
      <c r="Q23" s="9"/>
      <c r="R23" s="9"/>
      <c r="T23" s="23">
        <v>19</v>
      </c>
      <c r="U23" s="40"/>
      <c r="V23" s="40"/>
      <c r="W23" s="40"/>
      <c r="X23" s="40"/>
      <c r="Y23" s="11"/>
      <c r="Z23" s="9"/>
      <c r="AA23" s="9"/>
      <c r="AB23" s="9"/>
      <c r="AC23" s="9"/>
      <c r="AE23" s="48" t="s">
        <v>21</v>
      </c>
      <c r="AF23" s="29">
        <v>442</v>
      </c>
      <c r="AG23" s="29">
        <v>618</v>
      </c>
      <c r="AH23" s="49" t="s">
        <v>21</v>
      </c>
      <c r="AI23" s="30">
        <v>427</v>
      </c>
      <c r="AJ23" s="30">
        <v>571</v>
      </c>
      <c r="AK23" s="48" t="s">
        <v>21</v>
      </c>
      <c r="AL23" s="29">
        <v>432</v>
      </c>
      <c r="AM23" s="29">
        <v>579</v>
      </c>
      <c r="AN23" s="49" t="s">
        <v>21</v>
      </c>
      <c r="AO23" s="30">
        <v>434</v>
      </c>
      <c r="AP23" s="30">
        <v>571</v>
      </c>
      <c r="AQ23" s="48" t="s">
        <v>21</v>
      </c>
      <c r="AR23" s="29">
        <v>450</v>
      </c>
      <c r="AS23" s="29">
        <v>587</v>
      </c>
    </row>
    <row r="24" spans="1:45">
      <c r="A24" s="24">
        <v>20</v>
      </c>
      <c r="B24" s="19"/>
      <c r="C24" s="19"/>
      <c r="D24" s="9"/>
      <c r="E24" s="9"/>
      <c r="F24" s="9"/>
      <c r="G24" s="9"/>
      <c r="H24" s="9"/>
      <c r="I24" s="3"/>
      <c r="J24" s="21">
        <v>20</v>
      </c>
      <c r="K24" s="39"/>
      <c r="L24" s="39"/>
      <c r="M24" s="39"/>
      <c r="N24" s="11"/>
      <c r="O24" s="9"/>
      <c r="P24" s="9"/>
      <c r="Q24" s="9"/>
      <c r="R24" s="9"/>
      <c r="T24" s="23">
        <v>20</v>
      </c>
      <c r="U24" s="40"/>
      <c r="V24" s="40"/>
      <c r="W24" s="40"/>
      <c r="X24" s="40"/>
      <c r="Y24" s="11"/>
      <c r="Z24" s="9"/>
      <c r="AA24" s="9"/>
      <c r="AB24" s="9"/>
      <c r="AC24" s="9"/>
      <c r="AE24" s="48" t="s">
        <v>22</v>
      </c>
      <c r="AF24" s="29">
        <v>502</v>
      </c>
      <c r="AG24" s="29">
        <v>610</v>
      </c>
      <c r="AH24" s="49" t="s">
        <v>22</v>
      </c>
      <c r="AI24" s="30">
        <v>502</v>
      </c>
      <c r="AJ24" s="30">
        <v>546</v>
      </c>
      <c r="AK24" s="48" t="s">
        <v>22</v>
      </c>
      <c r="AL24" s="29">
        <v>508</v>
      </c>
      <c r="AM24" s="29">
        <v>577</v>
      </c>
      <c r="AN24" s="49" t="s">
        <v>22</v>
      </c>
      <c r="AO24" s="30">
        <v>509</v>
      </c>
      <c r="AP24" s="30">
        <v>554</v>
      </c>
      <c r="AQ24" s="48" t="s">
        <v>22</v>
      </c>
      <c r="AR24" s="29">
        <v>515</v>
      </c>
      <c r="AS24" s="29">
        <v>565</v>
      </c>
    </row>
    <row r="25" spans="1:45" ht="15.75" customHeight="1">
      <c r="A25" s="24">
        <v>21</v>
      </c>
      <c r="B25" s="19"/>
      <c r="C25" s="19"/>
      <c r="D25" s="9"/>
      <c r="E25" s="9"/>
      <c r="F25" s="9"/>
      <c r="G25" s="9"/>
      <c r="H25" s="9"/>
      <c r="I25" s="3"/>
      <c r="J25" s="21">
        <v>21</v>
      </c>
      <c r="K25" s="39"/>
      <c r="L25" s="39"/>
      <c r="M25" s="39"/>
      <c r="N25" s="11"/>
      <c r="O25" s="9"/>
      <c r="P25" s="9"/>
      <c r="Q25" s="9"/>
      <c r="R25" s="9"/>
      <c r="T25" s="23">
        <v>21</v>
      </c>
      <c r="U25" s="40"/>
      <c r="V25" s="40"/>
      <c r="W25" s="40"/>
      <c r="X25" s="40"/>
      <c r="Y25" s="11"/>
      <c r="Z25" s="9"/>
      <c r="AA25" s="9"/>
      <c r="AB25" s="9"/>
      <c r="AC25" s="9"/>
      <c r="AE25" s="48" t="s">
        <v>23</v>
      </c>
      <c r="AF25" s="29">
        <v>437</v>
      </c>
      <c r="AG25" s="29">
        <v>575</v>
      </c>
      <c r="AH25" s="49" t="s">
        <v>23</v>
      </c>
      <c r="AI25" s="30">
        <v>424</v>
      </c>
      <c r="AJ25" s="30">
        <v>501</v>
      </c>
      <c r="AK25" s="48" t="s">
        <v>23</v>
      </c>
      <c r="AL25" s="29">
        <v>437</v>
      </c>
      <c r="AM25" s="29">
        <v>531</v>
      </c>
      <c r="AN25" s="49" t="s">
        <v>23</v>
      </c>
      <c r="AO25" s="30">
        <v>431</v>
      </c>
      <c r="AP25" s="30">
        <v>531</v>
      </c>
      <c r="AQ25" s="48" t="s">
        <v>23</v>
      </c>
      <c r="AR25" s="29">
        <v>439</v>
      </c>
      <c r="AS25" s="29">
        <v>532</v>
      </c>
    </row>
    <row r="26" spans="1:45" ht="16.5" customHeight="1">
      <c r="A26" s="24">
        <v>22</v>
      </c>
      <c r="B26" s="19"/>
      <c r="C26" s="19"/>
      <c r="D26" s="9"/>
      <c r="E26" s="9"/>
      <c r="F26" s="9"/>
      <c r="G26" s="9"/>
      <c r="H26" s="9"/>
      <c r="I26" s="3"/>
      <c r="J26" s="21">
        <v>22</v>
      </c>
      <c r="K26" s="39"/>
      <c r="L26" s="39"/>
      <c r="M26" s="39"/>
      <c r="N26" s="11"/>
      <c r="O26" s="9"/>
      <c r="P26" s="9"/>
      <c r="Q26" s="9"/>
      <c r="R26" s="9"/>
      <c r="T26" s="23">
        <v>22</v>
      </c>
      <c r="U26" s="40"/>
      <c r="V26" s="40"/>
      <c r="W26" s="40"/>
      <c r="X26" s="40"/>
      <c r="Y26" s="11"/>
      <c r="Z26" s="9"/>
      <c r="AA26" s="9"/>
      <c r="AB26" s="9"/>
      <c r="AC26" s="9"/>
      <c r="AE26" s="48" t="s">
        <v>24</v>
      </c>
      <c r="AF26" s="31">
        <v>1180</v>
      </c>
      <c r="AG26" s="31">
        <v>1180</v>
      </c>
      <c r="AH26" s="49" t="s">
        <v>24</v>
      </c>
      <c r="AI26" s="30">
        <v>1180</v>
      </c>
      <c r="AJ26" s="30">
        <v>1180</v>
      </c>
      <c r="AK26" s="48" t="s">
        <v>24</v>
      </c>
      <c r="AL26" s="31">
        <v>1180</v>
      </c>
      <c r="AM26" s="31">
        <v>1180</v>
      </c>
      <c r="AN26" s="49" t="s">
        <v>24</v>
      </c>
      <c r="AO26" s="30">
        <v>1180</v>
      </c>
      <c r="AP26" s="30">
        <v>1180</v>
      </c>
      <c r="AQ26" s="32" t="s">
        <v>24</v>
      </c>
      <c r="AR26" s="31">
        <v>1180</v>
      </c>
      <c r="AS26" s="31">
        <v>1180</v>
      </c>
    </row>
    <row r="27" spans="1:45">
      <c r="A27" s="24">
        <v>23</v>
      </c>
      <c r="B27" s="19"/>
      <c r="C27" s="19"/>
      <c r="D27" s="9"/>
      <c r="E27" s="9"/>
      <c r="F27" s="9"/>
      <c r="G27" s="9"/>
      <c r="H27" s="9"/>
      <c r="J27" s="21">
        <v>23</v>
      </c>
      <c r="K27" s="39"/>
      <c r="L27" s="39"/>
      <c r="M27" s="39"/>
      <c r="N27" s="11"/>
      <c r="O27" s="9"/>
      <c r="P27" s="9"/>
      <c r="Q27" s="9"/>
      <c r="R27" s="9"/>
      <c r="T27" s="23">
        <v>23</v>
      </c>
      <c r="U27" s="40"/>
      <c r="V27" s="40"/>
      <c r="W27" s="40"/>
      <c r="X27" s="40"/>
      <c r="Y27" s="11"/>
      <c r="Z27" s="9"/>
      <c r="AA27" s="9"/>
      <c r="AB27" s="9"/>
      <c r="AC27" s="9"/>
      <c r="AE27" s="46" t="s">
        <v>67</v>
      </c>
      <c r="AF27" s="8">
        <v>600</v>
      </c>
      <c r="AG27" s="37">
        <v>0</v>
      </c>
      <c r="AH27" s="46" t="s">
        <v>67</v>
      </c>
      <c r="AI27" s="9">
        <v>600</v>
      </c>
      <c r="AJ27" s="38">
        <v>0</v>
      </c>
      <c r="AK27" s="46" t="s">
        <v>67</v>
      </c>
      <c r="AL27" s="8">
        <v>600</v>
      </c>
      <c r="AM27" s="37">
        <v>0</v>
      </c>
      <c r="AN27" s="46" t="s">
        <v>67</v>
      </c>
      <c r="AO27" s="9">
        <v>600</v>
      </c>
      <c r="AP27" s="38">
        <v>0</v>
      </c>
      <c r="AQ27" s="46" t="s">
        <v>67</v>
      </c>
      <c r="AR27" s="8">
        <v>600</v>
      </c>
      <c r="AS27" s="37">
        <v>0</v>
      </c>
    </row>
    <row r="28" spans="1:45" s="7" customFormat="1">
      <c r="A28" s="24">
        <v>24</v>
      </c>
      <c r="B28" s="19"/>
      <c r="C28" s="19"/>
      <c r="D28" s="17"/>
      <c r="E28" s="12"/>
      <c r="F28" s="12"/>
      <c r="G28" s="12"/>
      <c r="H28" s="12"/>
      <c r="J28" s="21">
        <v>24</v>
      </c>
      <c r="K28" s="39"/>
      <c r="L28" s="39"/>
      <c r="M28" s="39"/>
      <c r="N28" s="17"/>
      <c r="O28" s="12"/>
      <c r="P28" s="12"/>
      <c r="Q28" s="12"/>
      <c r="R28" s="12"/>
      <c r="T28" s="23">
        <v>24</v>
      </c>
      <c r="U28" s="40"/>
      <c r="V28" s="40"/>
      <c r="W28" s="40"/>
      <c r="X28" s="40"/>
      <c r="Y28" s="17"/>
      <c r="Z28" s="12"/>
      <c r="AA28" s="12"/>
      <c r="AB28" s="12"/>
      <c r="AC28" s="12"/>
      <c r="AE28" s="46" t="s">
        <v>68</v>
      </c>
      <c r="AF28" s="8">
        <v>437</v>
      </c>
      <c r="AG28" s="37">
        <v>524</v>
      </c>
      <c r="AH28" s="46" t="s">
        <v>68</v>
      </c>
      <c r="AI28" s="9">
        <v>424</v>
      </c>
      <c r="AJ28" s="38">
        <v>420</v>
      </c>
      <c r="AK28" s="46" t="s">
        <v>68</v>
      </c>
      <c r="AL28" s="8">
        <v>424</v>
      </c>
      <c r="AM28" s="37">
        <v>473</v>
      </c>
      <c r="AN28" s="46" t="s">
        <v>68</v>
      </c>
      <c r="AO28" s="9">
        <v>421</v>
      </c>
      <c r="AP28" s="38">
        <v>454</v>
      </c>
      <c r="AQ28" s="46" t="s">
        <v>68</v>
      </c>
      <c r="AR28" s="8">
        <v>439</v>
      </c>
      <c r="AS28" s="37">
        <v>482</v>
      </c>
    </row>
    <row r="29" spans="1:45">
      <c r="A29" s="24">
        <v>25</v>
      </c>
      <c r="B29" s="19"/>
      <c r="C29" s="19"/>
      <c r="D29" s="18"/>
      <c r="E29" s="13"/>
      <c r="F29" s="9"/>
      <c r="G29" s="9"/>
      <c r="H29" s="9"/>
      <c r="J29" s="21">
        <v>25</v>
      </c>
      <c r="K29" s="39"/>
      <c r="L29" s="39"/>
      <c r="M29" s="39"/>
      <c r="N29" s="11"/>
      <c r="O29" s="9"/>
      <c r="P29" s="9"/>
      <c r="Q29" s="9"/>
      <c r="R29" s="9"/>
      <c r="T29" s="23">
        <v>25</v>
      </c>
      <c r="U29" s="40"/>
      <c r="V29" s="40"/>
      <c r="W29" s="40"/>
      <c r="X29" s="40"/>
      <c r="Y29" s="11"/>
      <c r="Z29" s="9"/>
      <c r="AA29" s="9"/>
      <c r="AB29" s="9"/>
      <c r="AC29" s="9"/>
      <c r="AE29" s="46" t="s">
        <v>69</v>
      </c>
      <c r="AF29" s="8">
        <v>339</v>
      </c>
      <c r="AG29" s="37">
        <v>550</v>
      </c>
      <c r="AH29" s="46" t="s">
        <v>69</v>
      </c>
      <c r="AI29" s="9">
        <v>297</v>
      </c>
      <c r="AJ29" s="38">
        <v>489</v>
      </c>
      <c r="AK29" s="46" t="s">
        <v>69</v>
      </c>
      <c r="AL29" s="8">
        <v>306</v>
      </c>
      <c r="AM29" s="37">
        <v>515</v>
      </c>
      <c r="AN29" s="46" t="s">
        <v>69</v>
      </c>
      <c r="AO29" s="9">
        <v>312</v>
      </c>
      <c r="AP29" s="38">
        <v>499</v>
      </c>
      <c r="AQ29" s="46" t="s">
        <v>69</v>
      </c>
      <c r="AR29" s="8">
        <v>340</v>
      </c>
      <c r="AS29" s="37">
        <v>506</v>
      </c>
    </row>
    <row r="30" spans="1:45">
      <c r="A30" s="24">
        <v>26</v>
      </c>
      <c r="B30" s="19"/>
      <c r="C30" s="19"/>
      <c r="D30" s="11"/>
      <c r="E30" s="9"/>
      <c r="F30" s="9"/>
      <c r="G30" s="9"/>
      <c r="H30" s="9"/>
      <c r="J30" s="21">
        <v>26</v>
      </c>
      <c r="K30" s="39"/>
      <c r="L30" s="39"/>
      <c r="M30" s="39"/>
      <c r="N30" s="11"/>
      <c r="O30" s="9"/>
      <c r="P30" s="9"/>
      <c r="Q30" s="9"/>
      <c r="R30" s="9"/>
      <c r="T30" s="23">
        <v>26</v>
      </c>
      <c r="U30" s="40"/>
      <c r="V30" s="40"/>
      <c r="W30" s="40"/>
      <c r="X30" s="40"/>
      <c r="Y30" s="11"/>
      <c r="Z30" s="9"/>
      <c r="AA30" s="9"/>
      <c r="AB30" s="9"/>
      <c r="AC30" s="9"/>
      <c r="AE30" s="46" t="s">
        <v>70</v>
      </c>
      <c r="AF30" s="8">
        <v>523</v>
      </c>
      <c r="AG30" s="37">
        <v>552</v>
      </c>
      <c r="AH30" s="46" t="s">
        <v>70</v>
      </c>
      <c r="AI30" s="9">
        <v>517</v>
      </c>
      <c r="AJ30" s="38">
        <v>456</v>
      </c>
      <c r="AK30" s="46" t="s">
        <v>70</v>
      </c>
      <c r="AL30" s="8">
        <v>531</v>
      </c>
      <c r="AM30" s="37">
        <v>511</v>
      </c>
      <c r="AN30" s="46" t="s">
        <v>70</v>
      </c>
      <c r="AO30" s="9">
        <v>508</v>
      </c>
      <c r="AP30" s="38">
        <v>480</v>
      </c>
      <c r="AQ30" s="46" t="s">
        <v>70</v>
      </c>
      <c r="AR30" s="8">
        <v>532</v>
      </c>
      <c r="AS30" s="37">
        <v>506</v>
      </c>
    </row>
    <row r="31" spans="1:45">
      <c r="A31" s="24">
        <v>27</v>
      </c>
      <c r="B31" s="19"/>
      <c r="C31" s="19"/>
      <c r="D31" s="11"/>
      <c r="E31" s="9"/>
      <c r="F31" s="9"/>
      <c r="G31" s="9"/>
      <c r="H31" s="9"/>
      <c r="J31" s="21">
        <v>27</v>
      </c>
      <c r="K31" s="39"/>
      <c r="L31" s="39"/>
      <c r="M31" s="39"/>
      <c r="N31" s="11"/>
      <c r="O31" s="9"/>
      <c r="P31" s="9"/>
      <c r="Q31" s="9"/>
      <c r="R31" s="9"/>
      <c r="T31" s="23">
        <v>27</v>
      </c>
      <c r="U31" s="40"/>
      <c r="V31" s="40"/>
      <c r="W31" s="40"/>
      <c r="X31" s="40"/>
      <c r="Y31" s="11"/>
      <c r="Z31" s="9"/>
      <c r="AA31" s="9"/>
      <c r="AB31" s="9"/>
      <c r="AC31" s="9"/>
      <c r="AE31" s="46" t="s">
        <v>71</v>
      </c>
      <c r="AF31" s="8">
        <v>430</v>
      </c>
      <c r="AG31" s="37">
        <v>558</v>
      </c>
      <c r="AH31" s="46" t="s">
        <v>71</v>
      </c>
      <c r="AI31" s="9">
        <v>426</v>
      </c>
      <c r="AJ31" s="38">
        <v>477</v>
      </c>
      <c r="AK31" s="46" t="s">
        <v>71</v>
      </c>
      <c r="AL31" s="8">
        <v>421</v>
      </c>
      <c r="AM31" s="37">
        <v>510</v>
      </c>
      <c r="AN31" s="46" t="s">
        <v>71</v>
      </c>
      <c r="AO31" s="9">
        <v>423</v>
      </c>
      <c r="AP31" s="38">
        <v>495</v>
      </c>
      <c r="AQ31" s="46" t="s">
        <v>71</v>
      </c>
      <c r="AR31" s="8">
        <v>411</v>
      </c>
      <c r="AS31" s="37">
        <v>522</v>
      </c>
    </row>
    <row r="32" spans="1:45">
      <c r="A32" s="24">
        <v>28</v>
      </c>
      <c r="B32" s="19"/>
      <c r="C32" s="19"/>
      <c r="D32" s="11"/>
      <c r="E32" s="9"/>
      <c r="F32" s="9"/>
      <c r="G32" s="9"/>
      <c r="H32" s="9"/>
      <c r="J32" s="21">
        <v>28</v>
      </c>
      <c r="K32" s="39"/>
      <c r="L32" s="39"/>
      <c r="M32" s="39"/>
      <c r="N32" s="11"/>
      <c r="O32" s="9"/>
      <c r="P32" s="9"/>
      <c r="Q32" s="9"/>
      <c r="R32" s="9"/>
      <c r="T32" s="23">
        <v>28</v>
      </c>
      <c r="U32" s="40"/>
      <c r="V32" s="40"/>
      <c r="W32" s="40"/>
      <c r="X32" s="40"/>
      <c r="Y32" s="11"/>
      <c r="Z32" s="9"/>
      <c r="AA32" s="9"/>
      <c r="AB32" s="9"/>
      <c r="AC32" s="9"/>
      <c r="AE32" s="46"/>
      <c r="AF32" s="8"/>
      <c r="AG32" s="37"/>
      <c r="AH32" s="46"/>
      <c r="AI32" s="9"/>
      <c r="AJ32" s="38"/>
      <c r="AK32" s="46"/>
      <c r="AL32" s="8"/>
      <c r="AM32" s="37"/>
      <c r="AN32" s="46"/>
      <c r="AO32" s="9"/>
      <c r="AP32" s="38"/>
      <c r="AQ32" s="46"/>
      <c r="AR32" s="8"/>
      <c r="AS32" s="37"/>
    </row>
    <row r="33" spans="1:45">
      <c r="A33" s="24">
        <v>29</v>
      </c>
      <c r="B33" s="19"/>
      <c r="C33" s="19"/>
      <c r="D33" s="11"/>
      <c r="E33" s="9"/>
      <c r="F33" s="9"/>
      <c r="G33" s="9"/>
      <c r="H33" s="9"/>
      <c r="J33" s="21">
        <v>29</v>
      </c>
      <c r="K33" s="39"/>
      <c r="L33" s="39"/>
      <c r="M33" s="39"/>
      <c r="N33" s="11"/>
      <c r="O33" s="9"/>
      <c r="P33" s="9"/>
      <c r="Q33" s="9"/>
      <c r="R33" s="9"/>
      <c r="T33" s="23">
        <v>29</v>
      </c>
      <c r="U33" s="40"/>
      <c r="V33" s="40"/>
      <c r="W33" s="40"/>
      <c r="X33" s="40"/>
      <c r="Y33" s="11"/>
      <c r="Z33" s="9"/>
      <c r="AA33" s="9"/>
      <c r="AB33" s="9"/>
      <c r="AC33" s="9"/>
      <c r="AE33" s="41"/>
      <c r="AF33" s="8"/>
      <c r="AG33" s="6"/>
      <c r="AH33" s="42"/>
      <c r="AI33" s="9"/>
      <c r="AJ33" s="16"/>
      <c r="AK33" s="41"/>
      <c r="AL33" s="8"/>
      <c r="AM33" s="6"/>
      <c r="AN33" s="42"/>
      <c r="AO33" s="9"/>
      <c r="AP33" s="16"/>
      <c r="AQ33" s="41"/>
      <c r="AR33" s="8"/>
      <c r="AS33" s="6"/>
    </row>
    <row r="34" spans="1:45">
      <c r="A34" s="24">
        <v>30</v>
      </c>
      <c r="B34" s="19"/>
      <c r="C34" s="19"/>
      <c r="D34" s="11"/>
      <c r="E34" s="9"/>
      <c r="F34" s="9"/>
      <c r="G34" s="9"/>
      <c r="H34" s="9"/>
      <c r="J34" s="21">
        <v>30</v>
      </c>
      <c r="K34" s="39"/>
      <c r="L34" s="39"/>
      <c r="M34" s="39"/>
      <c r="N34" s="11"/>
      <c r="O34" s="9"/>
      <c r="P34" s="9"/>
      <c r="Q34" s="9"/>
      <c r="R34" s="9"/>
      <c r="T34" s="23">
        <v>30</v>
      </c>
      <c r="U34" s="40"/>
      <c r="V34" s="40"/>
      <c r="W34" s="40"/>
      <c r="X34" s="40"/>
      <c r="Y34" s="11"/>
      <c r="Z34" s="9"/>
      <c r="AA34" s="9"/>
      <c r="AB34" s="9"/>
      <c r="AC34" s="9"/>
      <c r="AE34" s="41"/>
      <c r="AF34" s="8"/>
      <c r="AG34" s="6"/>
      <c r="AH34" s="42"/>
      <c r="AI34" s="9"/>
      <c r="AJ34" s="16"/>
      <c r="AK34" s="41"/>
      <c r="AL34" s="8"/>
      <c r="AM34" s="6"/>
      <c r="AN34" s="42"/>
      <c r="AO34" s="9"/>
      <c r="AP34" s="16"/>
      <c r="AQ34" s="41"/>
      <c r="AR34" s="8"/>
      <c r="AS34" s="6"/>
    </row>
    <row r="35" spans="1:45">
      <c r="A35" s="25"/>
      <c r="B35" s="15"/>
      <c r="C35" s="15"/>
      <c r="D35" s="14"/>
      <c r="E35" s="14"/>
    </row>
    <row r="36" spans="1:45" ht="15.75" customHeight="1">
      <c r="A36" s="79" t="s">
        <v>64</v>
      </c>
      <c r="B36" s="79"/>
      <c r="C36" s="79"/>
      <c r="D36" s="79"/>
      <c r="E36" s="79"/>
      <c r="F36" s="79"/>
      <c r="G36" s="79"/>
      <c r="H36" s="79"/>
      <c r="I36" s="20"/>
      <c r="J36" s="79" t="s">
        <v>64</v>
      </c>
      <c r="K36" s="80"/>
      <c r="L36" s="80"/>
      <c r="M36" s="80"/>
      <c r="N36" s="80"/>
      <c r="O36" s="80"/>
      <c r="P36" s="80"/>
      <c r="Q36" s="80"/>
      <c r="R36" s="80"/>
      <c r="T36" s="79" t="s">
        <v>64</v>
      </c>
      <c r="U36" s="80"/>
      <c r="V36" s="80"/>
      <c r="W36" s="80"/>
      <c r="X36" s="80"/>
      <c r="Y36" s="80"/>
      <c r="Z36" s="80"/>
      <c r="AA36" s="80"/>
      <c r="AB36" s="80"/>
      <c r="AC36" s="80"/>
      <c r="AE36" s="80" t="s">
        <v>63</v>
      </c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</row>
    <row r="37" spans="1:45" ht="15.75" customHeight="1">
      <c r="A37" s="79"/>
      <c r="B37" s="79"/>
      <c r="C37" s="79"/>
      <c r="D37" s="79"/>
      <c r="E37" s="79"/>
      <c r="F37" s="79"/>
      <c r="G37" s="79"/>
      <c r="H37" s="79"/>
      <c r="I37" s="20"/>
      <c r="J37" s="80"/>
      <c r="K37" s="80"/>
      <c r="L37" s="80"/>
      <c r="M37" s="80"/>
      <c r="N37" s="80"/>
      <c r="O37" s="80"/>
      <c r="P37" s="80"/>
      <c r="Q37" s="80"/>
      <c r="R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</row>
    <row r="38" spans="1:45">
      <c r="A38" s="79"/>
      <c r="B38" s="79"/>
      <c r="C38" s="79"/>
      <c r="D38" s="79"/>
      <c r="E38" s="79"/>
      <c r="F38" s="79"/>
      <c r="G38" s="79"/>
      <c r="H38" s="79"/>
      <c r="J38" s="80"/>
      <c r="K38" s="80"/>
      <c r="L38" s="80"/>
      <c r="M38" s="80"/>
      <c r="N38" s="80"/>
      <c r="O38" s="80"/>
      <c r="P38" s="80"/>
      <c r="Q38" s="80"/>
      <c r="R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</row>
    <row r="39" spans="1:45">
      <c r="A39" s="25"/>
      <c r="B39" s="15"/>
      <c r="C39" s="15"/>
      <c r="D39" s="14"/>
      <c r="E39" s="14"/>
    </row>
    <row r="40" spans="1:45">
      <c r="A40" s="25"/>
      <c r="B40" s="15"/>
      <c r="C40" s="15"/>
      <c r="D40" s="14"/>
      <c r="E40" s="14"/>
    </row>
    <row r="41" spans="1:45">
      <c r="A41" s="25"/>
      <c r="B41" s="15"/>
      <c r="C41" s="15"/>
      <c r="D41" s="14"/>
      <c r="E41" s="14"/>
    </row>
    <row r="42" spans="1:45">
      <c r="A42" s="25"/>
      <c r="B42" s="15"/>
      <c r="C42" s="15"/>
      <c r="D42" s="14"/>
      <c r="E42" s="14"/>
    </row>
    <row r="43" spans="1:45">
      <c r="A43" s="25"/>
      <c r="B43" s="15"/>
      <c r="C43" s="15"/>
      <c r="D43" s="14"/>
      <c r="E43" s="14"/>
    </row>
    <row r="44" spans="1:45">
      <c r="A44" s="25"/>
      <c r="B44" s="15"/>
      <c r="C44" s="15"/>
      <c r="D44" s="14"/>
      <c r="E44" s="14"/>
    </row>
    <row r="45" spans="1:45">
      <c r="A45" s="25"/>
      <c r="B45" s="15"/>
      <c r="C45" s="15"/>
      <c r="D45" s="14"/>
      <c r="E45" s="14"/>
    </row>
    <row r="46" spans="1:45">
      <c r="A46" s="25"/>
      <c r="B46" s="15"/>
      <c r="C46" s="15"/>
      <c r="D46" s="14"/>
      <c r="E46" s="14"/>
    </row>
    <row r="47" spans="1:45">
      <c r="A47" s="25"/>
      <c r="B47" s="15"/>
      <c r="C47" s="15"/>
      <c r="D47" s="14"/>
      <c r="E47" s="14"/>
    </row>
    <row r="48" spans="1:45">
      <c r="A48" s="25"/>
      <c r="B48" s="15"/>
      <c r="C48" s="15"/>
      <c r="D48" s="14"/>
      <c r="E48" s="14"/>
    </row>
    <row r="49" spans="1:5">
      <c r="A49" s="25"/>
      <c r="B49" s="15"/>
      <c r="C49" s="15"/>
      <c r="D49" s="14"/>
      <c r="E49" s="14"/>
    </row>
    <row r="50" spans="1:5">
      <c r="A50" s="25"/>
      <c r="B50" s="15"/>
      <c r="C50" s="15"/>
      <c r="D50" s="14"/>
      <c r="E50" s="14"/>
    </row>
    <row r="51" spans="1:5">
      <c r="A51" s="25"/>
      <c r="B51" s="15"/>
      <c r="C51" s="15"/>
      <c r="D51" s="14"/>
      <c r="E51" s="14"/>
    </row>
    <row r="52" spans="1:5">
      <c r="A52" s="25"/>
      <c r="B52" s="15"/>
      <c r="C52" s="15"/>
      <c r="D52" s="14"/>
      <c r="E52" s="14"/>
    </row>
  </sheetData>
  <mergeCells count="27">
    <mergeCell ref="AK2:AM2"/>
    <mergeCell ref="A1:H1"/>
    <mergeCell ref="J1:R1"/>
    <mergeCell ref="T1:AC1"/>
    <mergeCell ref="AE1:AS1"/>
    <mergeCell ref="A2:C4"/>
    <mergeCell ref="D2:F3"/>
    <mergeCell ref="G2:H3"/>
    <mergeCell ref="J2:M4"/>
    <mergeCell ref="N2:P3"/>
    <mergeCell ref="Q2:R3"/>
    <mergeCell ref="A36:H38"/>
    <mergeCell ref="J36:R38"/>
    <mergeCell ref="T36:AC38"/>
    <mergeCell ref="AE36:AS38"/>
    <mergeCell ref="AN2:AP2"/>
    <mergeCell ref="AQ2:AS2"/>
    <mergeCell ref="AF3:AG3"/>
    <mergeCell ref="AI3:AJ3"/>
    <mergeCell ref="AL3:AM3"/>
    <mergeCell ref="AO3:AP3"/>
    <mergeCell ref="AR3:AS3"/>
    <mergeCell ref="T2:X4"/>
    <mergeCell ref="Y2:AA3"/>
    <mergeCell ref="AB2:AC3"/>
    <mergeCell ref="AE2:AG2"/>
    <mergeCell ref="AH2:AJ2"/>
  </mergeCells>
  <phoneticPr fontId="1" type="noConversion"/>
  <conditionalFormatting sqref="Y1:AC1 Y4:AC35 Y2 Y39:AC1048576">
    <cfRule type="cellIs" dxfId="2" priority="1" operator="lessThan">
      <formula>0</formula>
    </cfRule>
  </conditionalFormatting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工作表31"/>
  <dimension ref="A1:AS52"/>
  <sheetViews>
    <sheetView topLeftCell="K1" zoomScale="85" zoomScaleNormal="85" workbookViewId="0">
      <selection activeCell="AI3" sqref="AI3:AJ3"/>
    </sheetView>
  </sheetViews>
  <sheetFormatPr defaultColWidth="9" defaultRowHeight="15.5"/>
  <cols>
    <col min="1" max="1" width="3.58203125" style="22" customWidth="1"/>
    <col min="2" max="3" width="3.58203125" style="4" customWidth="1"/>
    <col min="4" max="8" width="10.58203125" style="10" customWidth="1"/>
    <col min="9" max="9" width="2.08203125" style="1" customWidth="1"/>
    <col min="10" max="10" width="3.58203125" style="22" customWidth="1"/>
    <col min="11" max="12" width="3.58203125" style="4" customWidth="1"/>
    <col min="13" max="13" width="3.08203125" style="4" bestFit="1" customWidth="1"/>
    <col min="14" max="18" width="10.58203125" style="10" customWidth="1"/>
    <col min="19" max="19" width="2.08203125" style="1" customWidth="1"/>
    <col min="20" max="20" width="3.58203125" style="22" customWidth="1"/>
    <col min="21" max="23" width="3.58203125" style="4" customWidth="1"/>
    <col min="24" max="24" width="3.08203125" style="4" bestFit="1" customWidth="1"/>
    <col min="25" max="29" width="10.58203125" style="10" customWidth="1"/>
    <col min="30" max="30" width="2.08203125" style="1" customWidth="1"/>
    <col min="31" max="31" width="7.58203125" style="4" customWidth="1"/>
    <col min="32" max="32" width="10.58203125" style="10" customWidth="1"/>
    <col min="33" max="33" width="10.58203125" style="1" customWidth="1"/>
    <col min="34" max="34" width="7.58203125" style="4" customWidth="1"/>
    <col min="35" max="35" width="10.58203125" style="10" customWidth="1"/>
    <col min="36" max="36" width="10.58203125" style="1" customWidth="1"/>
    <col min="37" max="37" width="7.58203125" style="4" customWidth="1"/>
    <col min="38" max="38" width="10.58203125" style="10" customWidth="1"/>
    <col min="39" max="39" width="10.58203125" style="1" customWidth="1"/>
    <col min="40" max="40" width="7.58203125" style="4" customWidth="1"/>
    <col min="41" max="41" width="10.58203125" style="10" customWidth="1"/>
    <col min="42" max="42" width="10.58203125" style="1" customWidth="1"/>
    <col min="43" max="16384" width="9" style="1"/>
  </cols>
  <sheetData>
    <row r="1" spans="1:45" ht="24" customHeight="1">
      <c r="A1" s="57" t="s">
        <v>58</v>
      </c>
      <c r="B1" s="57"/>
      <c r="C1" s="57"/>
      <c r="D1" s="57"/>
      <c r="E1" s="57"/>
      <c r="F1" s="57"/>
      <c r="G1" s="57"/>
      <c r="H1" s="58"/>
      <c r="J1" s="59" t="s">
        <v>60</v>
      </c>
      <c r="K1" s="59"/>
      <c r="L1" s="59"/>
      <c r="M1" s="59"/>
      <c r="N1" s="59"/>
      <c r="O1" s="59"/>
      <c r="P1" s="59"/>
      <c r="Q1" s="59"/>
      <c r="R1" s="59"/>
      <c r="T1" s="60" t="s">
        <v>59</v>
      </c>
      <c r="U1" s="60"/>
      <c r="V1" s="60"/>
      <c r="W1" s="60"/>
      <c r="X1" s="60"/>
      <c r="Y1" s="60"/>
      <c r="Z1" s="60"/>
      <c r="AA1" s="60"/>
      <c r="AB1" s="60"/>
      <c r="AC1" s="60"/>
      <c r="AE1" s="61" t="s">
        <v>180</v>
      </c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</row>
    <row r="2" spans="1:45" s="2" customFormat="1" ht="19.5" customHeight="1">
      <c r="A2" s="63" t="s">
        <v>55</v>
      </c>
      <c r="B2" s="63"/>
      <c r="C2" s="63"/>
      <c r="D2" s="65"/>
      <c r="E2" s="66"/>
      <c r="F2" s="67"/>
      <c r="G2" s="65"/>
      <c r="H2" s="67"/>
      <c r="J2" s="71" t="s">
        <v>56</v>
      </c>
      <c r="K2" s="71"/>
      <c r="L2" s="71"/>
      <c r="M2" s="71"/>
      <c r="N2" s="73"/>
      <c r="O2" s="74"/>
      <c r="P2" s="75"/>
      <c r="Q2" s="73"/>
      <c r="R2" s="75"/>
      <c r="T2" s="90" t="s">
        <v>57</v>
      </c>
      <c r="U2" s="90"/>
      <c r="V2" s="90"/>
      <c r="W2" s="90"/>
      <c r="X2" s="90"/>
      <c r="Y2" s="92"/>
      <c r="Z2" s="93"/>
      <c r="AA2" s="94"/>
      <c r="AB2" s="92"/>
      <c r="AC2" s="94"/>
      <c r="AE2" s="54" t="s">
        <v>150</v>
      </c>
      <c r="AF2" s="55"/>
      <c r="AG2" s="56"/>
      <c r="AH2" s="81" t="s">
        <v>151</v>
      </c>
      <c r="AI2" s="82"/>
      <c r="AJ2" s="83"/>
      <c r="AK2" s="54" t="s">
        <v>152</v>
      </c>
      <c r="AL2" s="55"/>
      <c r="AM2" s="56"/>
      <c r="AN2" s="81" t="s">
        <v>153</v>
      </c>
      <c r="AO2" s="82"/>
      <c r="AP2" s="83"/>
      <c r="AQ2" s="54" t="s">
        <v>170</v>
      </c>
      <c r="AR2" s="55"/>
      <c r="AS2" s="56"/>
    </row>
    <row r="3" spans="1:45" ht="16.5" customHeight="1">
      <c r="A3" s="63"/>
      <c r="B3" s="63"/>
      <c r="C3" s="63"/>
      <c r="D3" s="68"/>
      <c r="E3" s="69"/>
      <c r="F3" s="70"/>
      <c r="G3" s="68"/>
      <c r="H3" s="70"/>
      <c r="J3" s="71"/>
      <c r="K3" s="71"/>
      <c r="L3" s="71"/>
      <c r="M3" s="71"/>
      <c r="N3" s="76"/>
      <c r="O3" s="77"/>
      <c r="P3" s="78"/>
      <c r="Q3" s="76"/>
      <c r="R3" s="78"/>
      <c r="T3" s="90"/>
      <c r="U3" s="90"/>
      <c r="V3" s="90"/>
      <c r="W3" s="90"/>
      <c r="X3" s="90"/>
      <c r="Y3" s="95"/>
      <c r="Z3" s="96"/>
      <c r="AA3" s="97"/>
      <c r="AB3" s="95"/>
      <c r="AC3" s="97"/>
      <c r="AE3" s="52" t="s">
        <v>178</v>
      </c>
      <c r="AF3" s="85" t="s">
        <v>177</v>
      </c>
      <c r="AG3" s="85"/>
      <c r="AH3" s="52" t="s">
        <v>178</v>
      </c>
      <c r="AI3" s="85" t="s">
        <v>177</v>
      </c>
      <c r="AJ3" s="85"/>
      <c r="AK3" s="52" t="s">
        <v>178</v>
      </c>
      <c r="AL3" s="85" t="s">
        <v>177</v>
      </c>
      <c r="AM3" s="85"/>
      <c r="AN3" s="52" t="s">
        <v>178</v>
      </c>
      <c r="AO3" s="85" t="s">
        <v>177</v>
      </c>
      <c r="AP3" s="85"/>
      <c r="AQ3" s="52" t="s">
        <v>178</v>
      </c>
      <c r="AR3" s="85" t="s">
        <v>177</v>
      </c>
      <c r="AS3" s="85"/>
    </row>
    <row r="4" spans="1:45" s="4" customFormat="1" ht="30.65" customHeight="1">
      <c r="A4" s="63"/>
      <c r="B4" s="64"/>
      <c r="C4" s="64"/>
      <c r="D4" s="19" t="s">
        <v>25</v>
      </c>
      <c r="E4" s="19" t="s">
        <v>26</v>
      </c>
      <c r="F4" s="19" t="s">
        <v>27</v>
      </c>
      <c r="G4" s="19" t="s">
        <v>28</v>
      </c>
      <c r="H4" s="19" t="s">
        <v>29</v>
      </c>
      <c r="J4" s="71"/>
      <c r="K4" s="72"/>
      <c r="L4" s="72"/>
      <c r="M4" s="72"/>
      <c r="N4" s="39" t="s">
        <v>25</v>
      </c>
      <c r="O4" s="39" t="s">
        <v>26</v>
      </c>
      <c r="P4" s="39" t="s">
        <v>27</v>
      </c>
      <c r="Q4" s="39" t="s">
        <v>28</v>
      </c>
      <c r="R4" s="39" t="s">
        <v>29</v>
      </c>
      <c r="T4" s="90"/>
      <c r="U4" s="91"/>
      <c r="V4" s="91"/>
      <c r="W4" s="91"/>
      <c r="X4" s="91"/>
      <c r="Y4" s="40" t="s">
        <v>25</v>
      </c>
      <c r="Z4" s="40" t="s">
        <v>26</v>
      </c>
      <c r="AA4" s="40" t="s">
        <v>27</v>
      </c>
      <c r="AB4" s="40" t="s">
        <v>28</v>
      </c>
      <c r="AC4" s="40" t="s">
        <v>29</v>
      </c>
      <c r="AE4" s="48"/>
      <c r="AF4" s="48" t="s">
        <v>0</v>
      </c>
      <c r="AG4" s="48" t="s">
        <v>1</v>
      </c>
      <c r="AH4" s="48"/>
      <c r="AI4" s="48" t="s">
        <v>0</v>
      </c>
      <c r="AJ4" s="48" t="s">
        <v>1</v>
      </c>
      <c r="AK4" s="48" t="s">
        <v>2</v>
      </c>
      <c r="AL4" s="48" t="s">
        <v>0</v>
      </c>
      <c r="AM4" s="48" t="s">
        <v>1</v>
      </c>
      <c r="AN4" s="49" t="s">
        <v>2</v>
      </c>
      <c r="AO4" s="49" t="s">
        <v>0</v>
      </c>
      <c r="AP4" s="49" t="s">
        <v>1</v>
      </c>
      <c r="AQ4" s="48" t="s">
        <v>2</v>
      </c>
      <c r="AR4" s="48" t="s">
        <v>0</v>
      </c>
      <c r="AS4" s="48" t="s">
        <v>1</v>
      </c>
    </row>
    <row r="5" spans="1:45">
      <c r="A5" s="24">
        <v>1</v>
      </c>
      <c r="B5" s="19" t="s">
        <v>30</v>
      </c>
      <c r="C5" s="19" t="s">
        <v>32</v>
      </c>
      <c r="D5" s="11">
        <v>317</v>
      </c>
      <c r="E5" s="9">
        <v>319</v>
      </c>
      <c r="F5" s="9">
        <v>284</v>
      </c>
      <c r="G5" s="9">
        <v>279</v>
      </c>
      <c r="H5" s="9">
        <v>304</v>
      </c>
      <c r="J5" s="21">
        <v>1</v>
      </c>
      <c r="K5" s="39" t="s">
        <v>30</v>
      </c>
      <c r="L5" s="39" t="s">
        <v>35</v>
      </c>
      <c r="M5" s="39" t="s">
        <v>38</v>
      </c>
      <c r="N5" s="9">
        <v>72.334813798420768</v>
      </c>
      <c r="O5" s="9">
        <v>65.458382053635702</v>
      </c>
      <c r="P5" s="9">
        <v>64.859417096483853</v>
      </c>
      <c r="Q5" s="9">
        <v>65.861284654524383</v>
      </c>
      <c r="R5" s="9">
        <v>60.079133974961138</v>
      </c>
      <c r="T5" s="23">
        <v>1</v>
      </c>
      <c r="U5" s="40" t="s">
        <v>30</v>
      </c>
      <c r="V5" s="40" t="s">
        <v>35</v>
      </c>
      <c r="W5" s="40" t="s">
        <v>32</v>
      </c>
      <c r="X5" s="40" t="s">
        <v>38</v>
      </c>
      <c r="Y5" s="11">
        <v>31700</v>
      </c>
      <c r="Z5" s="9">
        <v>38599</v>
      </c>
      <c r="AA5" s="9">
        <v>30388</v>
      </c>
      <c r="AB5" s="9">
        <v>30132</v>
      </c>
      <c r="AC5" s="9">
        <v>42864</v>
      </c>
      <c r="AE5" s="48" t="s">
        <v>3</v>
      </c>
      <c r="AF5" s="29">
        <v>600</v>
      </c>
      <c r="AG5" s="29">
        <v>442</v>
      </c>
      <c r="AH5" s="48" t="s">
        <v>3</v>
      </c>
      <c r="AI5" s="29">
        <v>600</v>
      </c>
      <c r="AJ5" s="29">
        <v>490</v>
      </c>
      <c r="AK5" s="48" t="s">
        <v>3</v>
      </c>
      <c r="AL5" s="29">
        <v>600</v>
      </c>
      <c r="AM5" s="29">
        <v>513</v>
      </c>
      <c r="AN5" s="48" t="s">
        <v>3</v>
      </c>
      <c r="AO5" s="29">
        <v>600</v>
      </c>
      <c r="AP5" s="29">
        <v>537</v>
      </c>
      <c r="AQ5" s="48" t="s">
        <v>3</v>
      </c>
      <c r="AR5" s="29">
        <v>600</v>
      </c>
      <c r="AS5" s="29">
        <v>552</v>
      </c>
    </row>
    <row r="6" spans="1:45">
      <c r="A6" s="24">
        <v>2</v>
      </c>
      <c r="B6" s="19" t="s">
        <v>30</v>
      </c>
      <c r="C6" s="19" t="s">
        <v>33</v>
      </c>
      <c r="D6" s="11">
        <v>481</v>
      </c>
      <c r="E6" s="9">
        <v>444</v>
      </c>
      <c r="F6" s="9">
        <v>398</v>
      </c>
      <c r="G6" s="9">
        <v>406</v>
      </c>
      <c r="H6" s="9">
        <v>396</v>
      </c>
      <c r="J6" s="21">
        <v>2</v>
      </c>
      <c r="K6" s="39" t="s">
        <v>30</v>
      </c>
      <c r="L6" s="39" t="s">
        <v>41</v>
      </c>
      <c r="M6" s="39" t="s">
        <v>34</v>
      </c>
      <c r="N6" s="9">
        <v>93.957284320535095</v>
      </c>
      <c r="O6" s="9">
        <v>92.710438483517137</v>
      </c>
      <c r="P6" s="9">
        <v>84.835053995271579</v>
      </c>
      <c r="Q6" s="9">
        <v>94.836625113009262</v>
      </c>
      <c r="R6" s="9">
        <v>82.67937262033108</v>
      </c>
      <c r="T6" s="23">
        <v>2</v>
      </c>
      <c r="U6" s="40" t="s">
        <v>30</v>
      </c>
      <c r="V6" s="40" t="s">
        <v>41</v>
      </c>
      <c r="W6" s="40" t="s">
        <v>34</v>
      </c>
      <c r="X6" s="40" t="s">
        <v>42</v>
      </c>
      <c r="Y6" s="11">
        <v>236160</v>
      </c>
      <c r="Z6" s="9">
        <v>208380</v>
      </c>
      <c r="AA6" s="9">
        <v>227447</v>
      </c>
      <c r="AB6" s="9">
        <v>189042</v>
      </c>
      <c r="AC6" s="9">
        <v>212892</v>
      </c>
      <c r="AE6" s="48" t="s">
        <v>4</v>
      </c>
      <c r="AF6" s="29">
        <v>500</v>
      </c>
      <c r="AG6" s="29">
        <v>756</v>
      </c>
      <c r="AH6" s="48" t="s">
        <v>4</v>
      </c>
      <c r="AI6" s="29">
        <v>479</v>
      </c>
      <c r="AJ6" s="29">
        <v>755</v>
      </c>
      <c r="AK6" s="48" t="s">
        <v>4</v>
      </c>
      <c r="AL6" s="29">
        <v>493</v>
      </c>
      <c r="AM6" s="29">
        <v>741</v>
      </c>
      <c r="AN6" s="48" t="s">
        <v>4</v>
      </c>
      <c r="AO6" s="29">
        <v>492</v>
      </c>
      <c r="AP6" s="29">
        <v>778</v>
      </c>
      <c r="AQ6" s="48" t="s">
        <v>4</v>
      </c>
      <c r="AR6" s="29">
        <v>459</v>
      </c>
      <c r="AS6" s="29">
        <v>797</v>
      </c>
    </row>
    <row r="7" spans="1:45">
      <c r="A7" s="24">
        <v>3</v>
      </c>
      <c r="B7" s="19" t="s">
        <v>30</v>
      </c>
      <c r="C7" s="19" t="s">
        <v>34</v>
      </c>
      <c r="D7" s="11">
        <v>738</v>
      </c>
      <c r="E7" s="9">
        <v>690</v>
      </c>
      <c r="F7" s="9">
        <v>667</v>
      </c>
      <c r="G7" s="9">
        <v>643</v>
      </c>
      <c r="H7" s="9">
        <v>628</v>
      </c>
      <c r="J7" s="21">
        <v>3</v>
      </c>
      <c r="K7" s="39" t="s">
        <v>30</v>
      </c>
      <c r="L7" s="39" t="s">
        <v>44</v>
      </c>
      <c r="M7" s="39" t="s">
        <v>32</v>
      </c>
      <c r="N7" s="9">
        <v>44.518981479506529</v>
      </c>
      <c r="O7" s="9">
        <v>45.106597585833107</v>
      </c>
      <c r="P7" s="9">
        <v>39.908378041502885</v>
      </c>
      <c r="Q7" s="9">
        <v>44.361626694897843</v>
      </c>
      <c r="R7" s="9">
        <v>40.075170366622864</v>
      </c>
      <c r="T7" s="23">
        <v>3</v>
      </c>
      <c r="U7" s="40" t="s">
        <v>41</v>
      </c>
      <c r="V7" s="40" t="s">
        <v>39</v>
      </c>
      <c r="W7" s="40" t="s">
        <v>34</v>
      </c>
      <c r="X7" s="40" t="s">
        <v>42</v>
      </c>
      <c r="Y7" s="11">
        <v>81450</v>
      </c>
      <c r="Z7" s="9">
        <v>70948</v>
      </c>
      <c r="AA7" s="9">
        <v>77258.5</v>
      </c>
      <c r="AB7" s="9">
        <v>96246</v>
      </c>
      <c r="AC7" s="9">
        <v>76676</v>
      </c>
      <c r="AE7" s="48" t="s">
        <v>5</v>
      </c>
      <c r="AF7" s="29">
        <v>600</v>
      </c>
      <c r="AG7" s="29">
        <v>759</v>
      </c>
      <c r="AH7" s="48" t="s">
        <v>5</v>
      </c>
      <c r="AI7" s="29">
        <v>600</v>
      </c>
      <c r="AJ7" s="29">
        <v>809</v>
      </c>
      <c r="AK7" s="48" t="s">
        <v>5</v>
      </c>
      <c r="AL7" s="29">
        <v>600</v>
      </c>
      <c r="AM7" s="29">
        <v>797</v>
      </c>
      <c r="AN7" s="48" t="s">
        <v>5</v>
      </c>
      <c r="AO7" s="29">
        <v>600</v>
      </c>
      <c r="AP7" s="29">
        <v>816</v>
      </c>
      <c r="AQ7" s="48" t="s">
        <v>5</v>
      </c>
      <c r="AR7" s="29">
        <v>600</v>
      </c>
      <c r="AS7" s="29">
        <v>856</v>
      </c>
    </row>
    <row r="8" spans="1:45" ht="15.75" customHeight="1">
      <c r="A8" s="24">
        <v>4</v>
      </c>
      <c r="B8" s="19" t="s">
        <v>35</v>
      </c>
      <c r="C8" s="19" t="s">
        <v>38</v>
      </c>
      <c r="D8" s="11">
        <v>200</v>
      </c>
      <c r="E8" s="9">
        <v>242</v>
      </c>
      <c r="F8" s="9">
        <v>214</v>
      </c>
      <c r="G8" s="9">
        <v>216</v>
      </c>
      <c r="H8" s="9">
        <v>282</v>
      </c>
      <c r="J8" s="21">
        <v>4</v>
      </c>
      <c r="K8" s="39" t="s">
        <v>35</v>
      </c>
      <c r="L8" s="39" t="s">
        <v>32</v>
      </c>
      <c r="M8" s="39" t="s">
        <v>38</v>
      </c>
      <c r="N8" s="9">
        <v>176.56328399668939</v>
      </c>
      <c r="O8" s="9">
        <v>131.89940294078966</v>
      </c>
      <c r="P8" s="9">
        <v>124.74807426531555</v>
      </c>
      <c r="Q8" s="9">
        <v>141.23096864128433</v>
      </c>
      <c r="R8" s="9">
        <v>134.58725831938816</v>
      </c>
      <c r="T8" s="23">
        <v>4</v>
      </c>
      <c r="U8" s="40" t="s">
        <v>46</v>
      </c>
      <c r="V8" s="40" t="s">
        <v>43</v>
      </c>
      <c r="W8" s="40" t="s">
        <v>33</v>
      </c>
      <c r="X8" s="40" t="s">
        <v>47</v>
      </c>
      <c r="Y8" s="11">
        <v>394630.5</v>
      </c>
      <c r="Z8" s="9">
        <v>432750</v>
      </c>
      <c r="AA8" s="9">
        <v>440189</v>
      </c>
      <c r="AB8" s="9">
        <v>376013</v>
      </c>
      <c r="AC8" s="9">
        <v>372114.5</v>
      </c>
      <c r="AE8" s="48" t="s">
        <v>6</v>
      </c>
      <c r="AF8" s="29">
        <f>AF7+(AF7-AF6)</f>
        <v>700</v>
      </c>
      <c r="AG8" s="29">
        <f>AG6</f>
        <v>756</v>
      </c>
      <c r="AH8" s="48" t="s">
        <v>6</v>
      </c>
      <c r="AI8" s="29">
        <f>AI7+(AI7-AI6)</f>
        <v>721</v>
      </c>
      <c r="AJ8" s="29">
        <f>AJ6</f>
        <v>755</v>
      </c>
      <c r="AK8" s="48" t="s">
        <v>6</v>
      </c>
      <c r="AL8" s="29">
        <f t="shared" ref="AL8" si="0">AL7+(AL7-AL6)</f>
        <v>707</v>
      </c>
      <c r="AM8" s="29">
        <f t="shared" ref="AM8" si="1">AM6</f>
        <v>741</v>
      </c>
      <c r="AN8" s="48" t="s">
        <v>6</v>
      </c>
      <c r="AO8" s="29">
        <f t="shared" ref="AO8" si="2">AO7+(AO7-AO6)</f>
        <v>708</v>
      </c>
      <c r="AP8" s="29">
        <f t="shared" ref="AP8" si="3">AP6</f>
        <v>778</v>
      </c>
      <c r="AQ8" s="48" t="s">
        <v>6</v>
      </c>
      <c r="AR8" s="29">
        <f t="shared" ref="AR8" si="4">AR7+(AR7-AR6)</f>
        <v>741</v>
      </c>
      <c r="AS8" s="29">
        <f t="shared" ref="AS8" si="5">AS6</f>
        <v>797</v>
      </c>
    </row>
    <row r="9" spans="1:45" ht="15.75" customHeight="1">
      <c r="A9" s="24">
        <v>5</v>
      </c>
      <c r="B9" s="19" t="s">
        <v>32</v>
      </c>
      <c r="C9" s="19" t="s">
        <v>33</v>
      </c>
      <c r="D9" s="11">
        <v>164</v>
      </c>
      <c r="E9" s="9">
        <v>125</v>
      </c>
      <c r="F9" s="9">
        <v>114</v>
      </c>
      <c r="G9" s="9">
        <v>127</v>
      </c>
      <c r="H9" s="9">
        <v>92</v>
      </c>
      <c r="J9" s="21">
        <v>5</v>
      </c>
      <c r="K9" s="39" t="s">
        <v>39</v>
      </c>
      <c r="L9" s="39" t="s">
        <v>34</v>
      </c>
      <c r="M9" s="39" t="s">
        <v>40</v>
      </c>
      <c r="N9" s="9">
        <v>137.38843276434247</v>
      </c>
      <c r="O9" s="9">
        <v>150.46160293941671</v>
      </c>
      <c r="P9" s="9">
        <v>149.58392161872933</v>
      </c>
      <c r="Q9" s="9">
        <v>136.07887195980706</v>
      </c>
      <c r="R9" s="9">
        <v>143.70884268103717</v>
      </c>
      <c r="T9" s="23">
        <v>5</v>
      </c>
      <c r="U9" s="40" t="s">
        <v>48</v>
      </c>
      <c r="V9" s="40" t="s">
        <v>43</v>
      </c>
      <c r="W9" s="40" t="s">
        <v>34</v>
      </c>
      <c r="X9" s="40" t="s">
        <v>44</v>
      </c>
      <c r="Y9" s="11">
        <v>398562</v>
      </c>
      <c r="Z9" s="9">
        <v>402224</v>
      </c>
      <c r="AA9" s="9">
        <v>428352</v>
      </c>
      <c r="AB9" s="9">
        <v>365552</v>
      </c>
      <c r="AC9" s="9">
        <v>467103</v>
      </c>
      <c r="AE9" s="48" t="s">
        <v>77</v>
      </c>
      <c r="AF9" s="29">
        <v>600</v>
      </c>
      <c r="AG9" s="29">
        <v>923</v>
      </c>
      <c r="AH9" s="48" t="s">
        <v>77</v>
      </c>
      <c r="AI9" s="29">
        <v>600</v>
      </c>
      <c r="AJ9" s="29">
        <v>934</v>
      </c>
      <c r="AK9" s="48" t="s">
        <v>77</v>
      </c>
      <c r="AL9" s="29">
        <v>600</v>
      </c>
      <c r="AM9" s="29">
        <v>911</v>
      </c>
      <c r="AN9" s="48" t="s">
        <v>77</v>
      </c>
      <c r="AO9" s="29">
        <v>600</v>
      </c>
      <c r="AP9" s="29">
        <v>943</v>
      </c>
      <c r="AQ9" s="48" t="s">
        <v>77</v>
      </c>
      <c r="AR9" s="29">
        <v>600</v>
      </c>
      <c r="AS9" s="29">
        <v>948</v>
      </c>
    </row>
    <row r="10" spans="1:45">
      <c r="A10" s="24">
        <v>6</v>
      </c>
      <c r="B10" s="19" t="s">
        <v>32</v>
      </c>
      <c r="C10" s="19" t="s">
        <v>34</v>
      </c>
      <c r="D10" s="11">
        <v>421</v>
      </c>
      <c r="E10" s="9">
        <v>371</v>
      </c>
      <c r="F10" s="9">
        <v>383</v>
      </c>
      <c r="G10" s="9">
        <v>364</v>
      </c>
      <c r="H10" s="9">
        <v>324</v>
      </c>
      <c r="J10" s="21">
        <v>6</v>
      </c>
      <c r="K10" s="39" t="s">
        <v>40</v>
      </c>
      <c r="L10" s="39" t="s">
        <v>34</v>
      </c>
      <c r="M10" s="39" t="s">
        <v>62</v>
      </c>
      <c r="N10" s="9">
        <v>21.30578361782873</v>
      </c>
      <c r="O10" s="9">
        <v>14.769198530291638</v>
      </c>
      <c r="P10" s="9">
        <v>15.208039190635326</v>
      </c>
      <c r="Q10" s="9">
        <v>21.960564020096474</v>
      </c>
      <c r="R10" s="9">
        <v>18.145578659481398</v>
      </c>
      <c r="T10" s="23">
        <v>6</v>
      </c>
      <c r="U10" s="40" t="s">
        <v>52</v>
      </c>
      <c r="V10" s="40" t="s">
        <v>51</v>
      </c>
      <c r="W10" s="40" t="s">
        <v>54</v>
      </c>
      <c r="X10" s="40" t="s">
        <v>50</v>
      </c>
      <c r="Y10" s="11">
        <v>3657.5</v>
      </c>
      <c r="Z10" s="9">
        <v>3631.5</v>
      </c>
      <c r="AA10" s="9">
        <v>5577.5</v>
      </c>
      <c r="AB10" s="9">
        <v>3774.5</v>
      </c>
      <c r="AC10" s="9">
        <v>4069.5</v>
      </c>
      <c r="AE10" s="48" t="s">
        <v>8</v>
      </c>
      <c r="AF10" s="29">
        <v>500</v>
      </c>
      <c r="AG10" s="29">
        <v>1141</v>
      </c>
      <c r="AH10" s="48" t="s">
        <v>8</v>
      </c>
      <c r="AI10" s="29">
        <v>490</v>
      </c>
      <c r="AJ10" s="29">
        <v>1151</v>
      </c>
      <c r="AK10" s="48" t="s">
        <v>8</v>
      </c>
      <c r="AL10" s="29">
        <v>497</v>
      </c>
      <c r="AM10" s="29">
        <v>1152</v>
      </c>
      <c r="AN10" s="48" t="s">
        <v>8</v>
      </c>
      <c r="AO10" s="29">
        <v>476</v>
      </c>
      <c r="AP10" s="29">
        <v>1130</v>
      </c>
      <c r="AQ10" s="48" t="s">
        <v>8</v>
      </c>
      <c r="AR10" s="29">
        <v>481</v>
      </c>
      <c r="AS10" s="29">
        <v>1141</v>
      </c>
    </row>
    <row r="11" spans="1:45">
      <c r="A11" s="24">
        <v>7</v>
      </c>
      <c r="B11" s="19" t="s">
        <v>39</v>
      </c>
      <c r="C11" s="19" t="s">
        <v>40</v>
      </c>
      <c r="D11" s="11">
        <v>200</v>
      </c>
      <c r="E11" s="9">
        <v>220</v>
      </c>
      <c r="F11" s="9">
        <v>206</v>
      </c>
      <c r="G11" s="9">
        <v>248</v>
      </c>
      <c r="H11" s="9">
        <v>238</v>
      </c>
      <c r="J11" s="21">
        <v>7</v>
      </c>
      <c r="K11" s="39" t="s">
        <v>41</v>
      </c>
      <c r="L11" s="39" t="s">
        <v>34</v>
      </c>
      <c r="M11" s="39" t="s">
        <v>62</v>
      </c>
      <c r="N11" s="9">
        <v>143.47542682878509</v>
      </c>
      <c r="O11" s="9">
        <v>145.05894334549535</v>
      </c>
      <c r="P11" s="9">
        <v>148.49573328079583</v>
      </c>
      <c r="Q11" s="9">
        <v>135.29382193465071</v>
      </c>
      <c r="R11" s="9">
        <v>148.3453717736617</v>
      </c>
      <c r="T11" s="23">
        <v>7</v>
      </c>
      <c r="U11" s="40" t="s">
        <v>76</v>
      </c>
      <c r="V11" s="40" t="s">
        <v>73</v>
      </c>
      <c r="W11" s="40" t="s">
        <v>75</v>
      </c>
      <c r="X11" s="40" t="s">
        <v>74</v>
      </c>
      <c r="Y11" s="11">
        <v>3638.5</v>
      </c>
      <c r="Z11" s="9">
        <v>3963.5</v>
      </c>
      <c r="AA11" s="9">
        <v>4503</v>
      </c>
      <c r="AB11" s="9">
        <v>5221</v>
      </c>
      <c r="AC11" s="9">
        <v>6545</v>
      </c>
      <c r="AE11" s="48" t="s">
        <v>9</v>
      </c>
      <c r="AF11" s="29">
        <v>600</v>
      </c>
      <c r="AG11" s="29">
        <v>1180</v>
      </c>
      <c r="AH11" s="48" t="s">
        <v>9</v>
      </c>
      <c r="AI11" s="29">
        <v>600</v>
      </c>
      <c r="AJ11" s="29">
        <v>1180</v>
      </c>
      <c r="AK11" s="48" t="s">
        <v>9</v>
      </c>
      <c r="AL11" s="29">
        <v>600</v>
      </c>
      <c r="AM11" s="29">
        <v>1180</v>
      </c>
      <c r="AN11" s="48" t="s">
        <v>9</v>
      </c>
      <c r="AO11" s="29">
        <v>600</v>
      </c>
      <c r="AP11" s="29">
        <v>1180</v>
      </c>
      <c r="AQ11" s="48" t="s">
        <v>9</v>
      </c>
      <c r="AR11" s="29">
        <v>600</v>
      </c>
      <c r="AS11" s="29">
        <v>1180</v>
      </c>
    </row>
    <row r="12" spans="1:45">
      <c r="A12" s="24">
        <v>8</v>
      </c>
      <c r="B12" s="19" t="s">
        <v>41</v>
      </c>
      <c r="C12" s="19" t="s">
        <v>42</v>
      </c>
      <c r="D12" s="11">
        <v>640</v>
      </c>
      <c r="E12" s="9">
        <v>604</v>
      </c>
      <c r="F12" s="9">
        <v>682</v>
      </c>
      <c r="G12" s="9">
        <v>588</v>
      </c>
      <c r="H12" s="9">
        <v>678</v>
      </c>
      <c r="J12" s="21">
        <v>8</v>
      </c>
      <c r="K12" s="39" t="s">
        <v>42</v>
      </c>
      <c r="L12" s="39" t="s">
        <v>34</v>
      </c>
      <c r="M12" s="39" t="s">
        <v>62</v>
      </c>
      <c r="N12" s="9">
        <v>36.524573171214882</v>
      </c>
      <c r="O12" s="9">
        <v>34.941056654504663</v>
      </c>
      <c r="P12" s="9">
        <v>31.504266719204185</v>
      </c>
      <c r="Q12" s="9">
        <v>44.706178065349292</v>
      </c>
      <c r="R12" s="9">
        <v>31.654628226338264</v>
      </c>
      <c r="T12" s="23">
        <v>8</v>
      </c>
      <c r="U12" s="40"/>
      <c r="V12" s="40"/>
      <c r="W12" s="40"/>
      <c r="X12" s="40"/>
      <c r="Y12" s="11"/>
      <c r="Z12" s="9"/>
      <c r="AA12" s="9"/>
      <c r="AB12" s="9"/>
      <c r="AC12" s="9"/>
      <c r="AE12" s="48" t="s">
        <v>10</v>
      </c>
      <c r="AF12" s="29">
        <f>AF11+(AF11-AF10)</f>
        <v>700</v>
      </c>
      <c r="AG12" s="29">
        <f>AG10</f>
        <v>1141</v>
      </c>
      <c r="AH12" s="48" t="s">
        <v>10</v>
      </c>
      <c r="AI12" s="29">
        <f>AI11+(AI11-AI10)</f>
        <v>710</v>
      </c>
      <c r="AJ12" s="29">
        <f>AJ10</f>
        <v>1151</v>
      </c>
      <c r="AK12" s="48" t="s">
        <v>10</v>
      </c>
      <c r="AL12" s="29">
        <f t="shared" ref="AL12" si="6">AL11+(AL11-AL10)</f>
        <v>703</v>
      </c>
      <c r="AM12" s="29">
        <f t="shared" ref="AM12" si="7">AM10</f>
        <v>1152</v>
      </c>
      <c r="AN12" s="48" t="s">
        <v>10</v>
      </c>
      <c r="AO12" s="29">
        <f t="shared" ref="AO12" si="8">AO11+(AO11-AO10)</f>
        <v>724</v>
      </c>
      <c r="AP12" s="29">
        <f t="shared" ref="AP12" si="9">AP10</f>
        <v>1130</v>
      </c>
      <c r="AQ12" s="48" t="s">
        <v>10</v>
      </c>
      <c r="AR12" s="29">
        <f t="shared" ref="AR12" si="10">AR11+(AR11-AR10)</f>
        <v>719</v>
      </c>
      <c r="AS12" s="29">
        <f t="shared" ref="AS12" si="11">AS10</f>
        <v>1141</v>
      </c>
    </row>
    <row r="13" spans="1:45">
      <c r="A13" s="24">
        <v>9</v>
      </c>
      <c r="B13" s="19" t="s">
        <v>43</v>
      </c>
      <c r="C13" s="19" t="s">
        <v>44</v>
      </c>
      <c r="D13" s="11">
        <v>734.53386579517212</v>
      </c>
      <c r="E13" s="9">
        <v>736</v>
      </c>
      <c r="F13" s="9">
        <v>776</v>
      </c>
      <c r="G13" s="9">
        <v>682</v>
      </c>
      <c r="H13" s="9">
        <v>826</v>
      </c>
      <c r="J13" s="21">
        <v>9</v>
      </c>
      <c r="K13" s="39" t="s">
        <v>43</v>
      </c>
      <c r="L13" s="39" t="s">
        <v>41</v>
      </c>
      <c r="M13" s="39" t="s">
        <v>34</v>
      </c>
      <c r="N13" s="9">
        <v>138.53077424530704</v>
      </c>
      <c r="O13" s="9">
        <v>140.56529123569152</v>
      </c>
      <c r="P13" s="9">
        <v>131.06646525752481</v>
      </c>
      <c r="Q13" s="9">
        <v>146.06319005179199</v>
      </c>
      <c r="R13" s="9">
        <v>135.12230628620915</v>
      </c>
      <c r="T13" s="23">
        <v>9</v>
      </c>
      <c r="U13" s="40"/>
      <c r="V13" s="40"/>
      <c r="W13" s="40"/>
      <c r="X13" s="40"/>
      <c r="Y13" s="11"/>
      <c r="Z13" s="9"/>
      <c r="AA13" s="9"/>
      <c r="AB13" s="9"/>
      <c r="AC13" s="9"/>
      <c r="AE13" s="48" t="s">
        <v>11</v>
      </c>
      <c r="AF13" s="29">
        <v>280</v>
      </c>
      <c r="AG13" s="29">
        <v>943</v>
      </c>
      <c r="AH13" s="48" t="s">
        <v>11</v>
      </c>
      <c r="AI13" s="29">
        <v>298</v>
      </c>
      <c r="AJ13" s="29">
        <v>969</v>
      </c>
      <c r="AK13" s="48" t="s">
        <v>11</v>
      </c>
      <c r="AL13" s="29">
        <v>259</v>
      </c>
      <c r="AM13" s="29">
        <v>971</v>
      </c>
      <c r="AN13" s="48" t="s">
        <v>11</v>
      </c>
      <c r="AO13" s="29">
        <v>306</v>
      </c>
      <c r="AP13" s="29">
        <v>889</v>
      </c>
      <c r="AQ13" s="48" t="s">
        <v>11</v>
      </c>
      <c r="AR13" s="29">
        <v>261</v>
      </c>
      <c r="AS13" s="29">
        <v>971</v>
      </c>
    </row>
    <row r="14" spans="1:45">
      <c r="A14" s="24">
        <v>10</v>
      </c>
      <c r="B14" s="19" t="s">
        <v>45</v>
      </c>
      <c r="C14" s="19" t="s">
        <v>43</v>
      </c>
      <c r="D14" s="11">
        <v>76.419892698171196</v>
      </c>
      <c r="E14" s="9">
        <v>69.028979421689272</v>
      </c>
      <c r="F14" s="9">
        <v>98.843310345212544</v>
      </c>
      <c r="G14" s="9">
        <v>77.781745930520231</v>
      </c>
      <c r="H14" s="9">
        <v>56.648036153074187</v>
      </c>
      <c r="J14" s="21">
        <v>10</v>
      </c>
      <c r="K14" s="39" t="s">
        <v>44</v>
      </c>
      <c r="L14" s="39" t="s">
        <v>32</v>
      </c>
      <c r="M14" s="39" t="s">
        <v>62</v>
      </c>
      <c r="N14" s="9">
        <v>46.01807456160892</v>
      </c>
      <c r="O14" s="9">
        <v>44.273998726883306</v>
      </c>
      <c r="P14" s="9">
        <v>48.581173894703568</v>
      </c>
      <c r="Q14" s="9">
        <v>57.385720698714941</v>
      </c>
      <c r="R14" s="9">
        <v>54.349653027835259</v>
      </c>
      <c r="T14" s="23">
        <v>10</v>
      </c>
      <c r="U14" s="40"/>
      <c r="V14" s="40"/>
      <c r="W14" s="40"/>
      <c r="X14" s="40"/>
      <c r="Y14" s="11"/>
      <c r="Z14" s="9"/>
      <c r="AA14" s="9"/>
      <c r="AB14" s="9"/>
      <c r="AC14" s="9"/>
      <c r="AE14" s="48" t="s">
        <v>12</v>
      </c>
      <c r="AF14" s="29">
        <f>600+(600-AF13)</f>
        <v>920</v>
      </c>
      <c r="AG14" s="29">
        <f>AG13</f>
        <v>943</v>
      </c>
      <c r="AH14" s="48" t="s">
        <v>12</v>
      </c>
      <c r="AI14" s="29">
        <f>600+(600-AI13)</f>
        <v>902</v>
      </c>
      <c r="AJ14" s="29">
        <f>AJ13</f>
        <v>969</v>
      </c>
      <c r="AK14" s="48" t="s">
        <v>12</v>
      </c>
      <c r="AL14" s="29">
        <f t="shared" ref="AL14" si="12">600+(600-AL13)</f>
        <v>941</v>
      </c>
      <c r="AM14" s="29">
        <f t="shared" ref="AM14" si="13">AM13</f>
        <v>971</v>
      </c>
      <c r="AN14" s="48" t="s">
        <v>12</v>
      </c>
      <c r="AO14" s="29">
        <f t="shared" ref="AO14" si="14">600+(600-AO13)</f>
        <v>894</v>
      </c>
      <c r="AP14" s="29">
        <f t="shared" ref="AP14" si="15">AP13</f>
        <v>889</v>
      </c>
      <c r="AQ14" s="48" t="s">
        <v>12</v>
      </c>
      <c r="AR14" s="29">
        <f t="shared" ref="AR14" si="16">600+(600-AR13)</f>
        <v>939</v>
      </c>
      <c r="AS14" s="29">
        <f t="shared" ref="AS14" si="17">AS13</f>
        <v>971</v>
      </c>
    </row>
    <row r="15" spans="1:45">
      <c r="A15" s="24">
        <v>11</v>
      </c>
      <c r="B15" s="19" t="s">
        <v>46</v>
      </c>
      <c r="C15" s="19" t="s">
        <v>47</v>
      </c>
      <c r="D15" s="11">
        <v>704</v>
      </c>
      <c r="E15" s="9">
        <v>760</v>
      </c>
      <c r="F15" s="9">
        <v>724</v>
      </c>
      <c r="G15" s="9">
        <v>638</v>
      </c>
      <c r="H15" s="9">
        <v>580</v>
      </c>
      <c r="J15" s="21">
        <v>11</v>
      </c>
      <c r="K15" s="39" t="s">
        <v>44</v>
      </c>
      <c r="L15" s="39" t="s">
        <v>33</v>
      </c>
      <c r="M15" s="39" t="s">
        <v>62</v>
      </c>
      <c r="N15" s="9">
        <v>55.861561476295535</v>
      </c>
      <c r="O15" s="9">
        <v>51.626817968640843</v>
      </c>
      <c r="P15" s="9">
        <v>54.323361353239235</v>
      </c>
      <c r="Q15" s="9">
        <v>62.409533526653355</v>
      </c>
      <c r="R15" s="9">
        <v>56.503776385231546</v>
      </c>
      <c r="T15" s="23">
        <v>11</v>
      </c>
      <c r="U15" s="40"/>
      <c r="V15" s="40"/>
      <c r="W15" s="40"/>
      <c r="X15" s="40"/>
      <c r="Y15" s="11"/>
      <c r="Z15" s="9"/>
      <c r="AA15" s="9"/>
      <c r="AB15" s="9"/>
      <c r="AC15" s="9"/>
      <c r="AE15" s="48" t="s">
        <v>13</v>
      </c>
      <c r="AF15" s="29">
        <v>233</v>
      </c>
      <c r="AG15" s="29">
        <v>722</v>
      </c>
      <c r="AH15" s="48" t="s">
        <v>13</v>
      </c>
      <c r="AI15" s="29">
        <v>232</v>
      </c>
      <c r="AJ15" s="29">
        <v>733</v>
      </c>
      <c r="AK15" s="48" t="s">
        <v>13</v>
      </c>
      <c r="AL15" s="29">
        <v>212</v>
      </c>
      <c r="AM15" s="29">
        <v>692</v>
      </c>
      <c r="AN15" s="48" t="s">
        <v>13</v>
      </c>
      <c r="AO15" s="29">
        <v>259</v>
      </c>
      <c r="AP15" s="29">
        <v>655</v>
      </c>
      <c r="AQ15" s="48" t="s">
        <v>13</v>
      </c>
      <c r="AR15" s="29">
        <v>187</v>
      </c>
      <c r="AS15" s="29">
        <v>662</v>
      </c>
    </row>
    <row r="16" spans="1:45" ht="15.75" customHeight="1">
      <c r="A16" s="24">
        <v>12</v>
      </c>
      <c r="B16" s="19" t="s">
        <v>48</v>
      </c>
      <c r="C16" s="19" t="s">
        <v>30</v>
      </c>
      <c r="D16" s="11">
        <v>348</v>
      </c>
      <c r="E16" s="9">
        <v>403</v>
      </c>
      <c r="F16" s="9">
        <v>437</v>
      </c>
      <c r="G16" s="9">
        <v>429</v>
      </c>
      <c r="H16" s="9">
        <v>503</v>
      </c>
      <c r="J16" s="21">
        <v>12</v>
      </c>
      <c r="K16" s="39" t="s">
        <v>47</v>
      </c>
      <c r="L16" s="39" t="s">
        <v>30</v>
      </c>
      <c r="M16" s="39" t="s">
        <v>62</v>
      </c>
      <c r="N16" s="9">
        <v>94.287341490387035</v>
      </c>
      <c r="O16" s="9">
        <v>95.767666289568723</v>
      </c>
      <c r="P16" s="9">
        <v>101.09034716914779</v>
      </c>
      <c r="Q16" s="9">
        <v>102.97370119213832</v>
      </c>
      <c r="R16" s="9">
        <v>103.70658551525305</v>
      </c>
      <c r="T16" s="23">
        <v>12</v>
      </c>
      <c r="U16" s="40"/>
      <c r="V16" s="40"/>
      <c r="W16" s="40"/>
      <c r="X16" s="40"/>
      <c r="Y16" s="11"/>
      <c r="Z16" s="9"/>
      <c r="AA16" s="9"/>
      <c r="AB16" s="9"/>
      <c r="AC16" s="9"/>
      <c r="AE16" s="48" t="s">
        <v>14</v>
      </c>
      <c r="AF16" s="29">
        <f>600+(600-AF15)</f>
        <v>967</v>
      </c>
      <c r="AG16" s="29">
        <v>694</v>
      </c>
      <c r="AH16" s="48" t="s">
        <v>14</v>
      </c>
      <c r="AI16" s="29">
        <f>600+(600-AI15)</f>
        <v>968</v>
      </c>
      <c r="AJ16" s="29">
        <f>AJ15</f>
        <v>733</v>
      </c>
      <c r="AK16" s="48" t="s">
        <v>14</v>
      </c>
      <c r="AL16" s="29">
        <f t="shared" ref="AL16" si="18">600+(600-AL15)</f>
        <v>988</v>
      </c>
      <c r="AM16" s="29">
        <f t="shared" ref="AM16" si="19">AM15</f>
        <v>692</v>
      </c>
      <c r="AN16" s="48" t="s">
        <v>14</v>
      </c>
      <c r="AO16" s="29">
        <f t="shared" ref="AO16" si="20">600+(600-AO15)</f>
        <v>941</v>
      </c>
      <c r="AP16" s="29">
        <f t="shared" ref="AP16" si="21">AP15</f>
        <v>655</v>
      </c>
      <c r="AQ16" s="48" t="s">
        <v>14</v>
      </c>
      <c r="AR16" s="29">
        <f t="shared" ref="AR16" si="22">600+(600-AR15)</f>
        <v>1013</v>
      </c>
      <c r="AS16" s="29">
        <f t="shared" ref="AS16" si="23">AS15</f>
        <v>662</v>
      </c>
    </row>
    <row r="17" spans="1:45" ht="15.75" customHeight="1">
      <c r="A17" s="24">
        <v>13</v>
      </c>
      <c r="B17" s="19" t="s">
        <v>48</v>
      </c>
      <c r="C17" s="19" t="s">
        <v>32</v>
      </c>
      <c r="D17" s="11">
        <v>665</v>
      </c>
      <c r="E17" s="9">
        <v>722</v>
      </c>
      <c r="F17" s="9">
        <v>721</v>
      </c>
      <c r="G17" s="9">
        <v>708</v>
      </c>
      <c r="H17" s="9">
        <v>807</v>
      </c>
      <c r="J17" s="21">
        <v>13</v>
      </c>
      <c r="K17" s="39" t="s">
        <v>47</v>
      </c>
      <c r="L17" s="39" t="s">
        <v>48</v>
      </c>
      <c r="M17" s="39" t="s">
        <v>62</v>
      </c>
      <c r="N17" s="9">
        <v>57.670259905409097</v>
      </c>
      <c r="O17" s="9">
        <v>60.238622119204202</v>
      </c>
      <c r="P17" s="9">
        <v>66.707167189051191</v>
      </c>
      <c r="Q17" s="9">
        <v>66.422582598566706</v>
      </c>
      <c r="R17" s="9">
        <v>50.028974508817889</v>
      </c>
      <c r="T17" s="23">
        <v>13</v>
      </c>
      <c r="U17" s="40"/>
      <c r="V17" s="40"/>
      <c r="W17" s="40"/>
      <c r="X17" s="40"/>
      <c r="Y17" s="11"/>
      <c r="Z17" s="9"/>
      <c r="AA17" s="9"/>
      <c r="AB17" s="9"/>
      <c r="AC17" s="9"/>
      <c r="AE17" s="48" t="s">
        <v>15</v>
      </c>
      <c r="AF17" s="29">
        <v>157</v>
      </c>
      <c r="AG17" s="29">
        <v>714</v>
      </c>
      <c r="AH17" s="48" t="s">
        <v>15</v>
      </c>
      <c r="AI17" s="29">
        <v>163</v>
      </c>
      <c r="AJ17" s="29">
        <v>731</v>
      </c>
      <c r="AK17" s="48" t="s">
        <v>15</v>
      </c>
      <c r="AL17" s="29">
        <v>115</v>
      </c>
      <c r="AM17" s="29">
        <v>711</v>
      </c>
      <c r="AN17" s="48" t="s">
        <v>15</v>
      </c>
      <c r="AO17" s="29">
        <v>182</v>
      </c>
      <c r="AP17" s="29">
        <v>644</v>
      </c>
      <c r="AQ17" s="48" t="s">
        <v>15</v>
      </c>
      <c r="AR17" s="29">
        <v>134</v>
      </c>
      <c r="AS17" s="29">
        <v>642</v>
      </c>
    </row>
    <row r="18" spans="1:45">
      <c r="A18" s="24">
        <v>14</v>
      </c>
      <c r="B18" s="19" t="s">
        <v>48</v>
      </c>
      <c r="C18" s="19" t="s">
        <v>33</v>
      </c>
      <c r="D18" s="11">
        <v>829</v>
      </c>
      <c r="E18" s="9">
        <v>847</v>
      </c>
      <c r="F18" s="9">
        <v>835</v>
      </c>
      <c r="G18" s="9">
        <v>835</v>
      </c>
      <c r="H18" s="9">
        <v>899</v>
      </c>
      <c r="J18" s="21">
        <v>14</v>
      </c>
      <c r="K18" s="44" t="s">
        <v>48</v>
      </c>
      <c r="L18" s="44" t="s">
        <v>78</v>
      </c>
      <c r="M18" s="44" t="s">
        <v>79</v>
      </c>
      <c r="N18" s="11">
        <v>48.973351680974652</v>
      </c>
      <c r="O18" s="9">
        <v>54.161572835973615</v>
      </c>
      <c r="P18" s="9">
        <v>62.0185718489344</v>
      </c>
      <c r="Q18" s="9">
        <v>52.531734766858669</v>
      </c>
      <c r="R18" s="9">
        <v>51.150796984818555</v>
      </c>
      <c r="T18" s="23">
        <v>14</v>
      </c>
      <c r="U18" s="40"/>
      <c r="V18" s="40"/>
      <c r="W18" s="40"/>
      <c r="X18" s="40"/>
      <c r="Y18" s="11"/>
      <c r="Z18" s="9"/>
      <c r="AA18" s="9"/>
      <c r="AB18" s="9"/>
      <c r="AC18" s="9"/>
      <c r="AE18" s="48" t="s">
        <v>16</v>
      </c>
      <c r="AF18" s="29">
        <f>600+(600-AF17)</f>
        <v>1043</v>
      </c>
      <c r="AG18" s="29">
        <f>AG17</f>
        <v>714</v>
      </c>
      <c r="AH18" s="48" t="s">
        <v>16</v>
      </c>
      <c r="AI18" s="29">
        <f>600+(600-AI17)</f>
        <v>1037</v>
      </c>
      <c r="AJ18" s="29">
        <f>AJ17</f>
        <v>731</v>
      </c>
      <c r="AK18" s="48" t="s">
        <v>16</v>
      </c>
      <c r="AL18" s="29">
        <f t="shared" ref="AL18" si="24">600+(600-AL17)</f>
        <v>1085</v>
      </c>
      <c r="AM18" s="29">
        <f t="shared" ref="AM18" si="25">AM17</f>
        <v>711</v>
      </c>
      <c r="AN18" s="48" t="s">
        <v>16</v>
      </c>
      <c r="AO18" s="29">
        <f t="shared" ref="AO18" si="26">600+(600-AO17)</f>
        <v>1018</v>
      </c>
      <c r="AP18" s="29">
        <f t="shared" ref="AP18" si="27">AP17</f>
        <v>644</v>
      </c>
      <c r="AQ18" s="48" t="s">
        <v>16</v>
      </c>
      <c r="AR18" s="29">
        <f t="shared" ref="AR18" si="28">600+(600-AR17)</f>
        <v>1066</v>
      </c>
      <c r="AS18" s="29">
        <f t="shared" ref="AS18" si="29">AS17</f>
        <v>642</v>
      </c>
    </row>
    <row r="19" spans="1:45">
      <c r="A19" s="24">
        <v>15</v>
      </c>
      <c r="B19" s="19" t="s">
        <v>48</v>
      </c>
      <c r="C19" s="19" t="s">
        <v>34</v>
      </c>
      <c r="D19" s="11">
        <v>1086</v>
      </c>
      <c r="E19" s="9">
        <v>1093</v>
      </c>
      <c r="F19" s="9">
        <v>1104</v>
      </c>
      <c r="G19" s="9">
        <v>1072</v>
      </c>
      <c r="H19" s="9">
        <v>1131</v>
      </c>
      <c r="J19" s="21">
        <v>15</v>
      </c>
      <c r="K19" s="44" t="s">
        <v>80</v>
      </c>
      <c r="L19" s="44" t="s">
        <v>78</v>
      </c>
      <c r="M19" s="44" t="s">
        <v>79</v>
      </c>
      <c r="N19" s="11">
        <v>17.336296595995783</v>
      </c>
      <c r="O19" s="9">
        <v>19.31340716290611</v>
      </c>
      <c r="P19" s="9">
        <v>17.82622895947155</v>
      </c>
      <c r="Q19" s="9">
        <v>22.6184309044027</v>
      </c>
      <c r="R19" s="9">
        <v>16.252396203685919</v>
      </c>
      <c r="T19" s="23">
        <v>15</v>
      </c>
      <c r="U19" s="40"/>
      <c r="V19" s="40"/>
      <c r="W19" s="40"/>
      <c r="X19" s="40"/>
      <c r="Y19" s="11"/>
      <c r="Z19" s="9"/>
      <c r="AA19" s="9"/>
      <c r="AB19" s="9"/>
      <c r="AC19" s="9"/>
      <c r="AE19" s="48" t="s">
        <v>17</v>
      </c>
      <c r="AF19" s="29">
        <v>248</v>
      </c>
      <c r="AG19" s="29">
        <v>120</v>
      </c>
      <c r="AH19" s="48" t="s">
        <v>17</v>
      </c>
      <c r="AI19" s="29">
        <v>220</v>
      </c>
      <c r="AJ19" s="29">
        <v>99</v>
      </c>
      <c r="AK19" s="48" t="s">
        <v>17</v>
      </c>
      <c r="AL19" s="29">
        <v>238</v>
      </c>
      <c r="AM19" s="29">
        <v>48</v>
      </c>
      <c r="AN19" s="48" t="s">
        <v>17</v>
      </c>
      <c r="AO19" s="29">
        <v>281</v>
      </c>
      <c r="AP19" s="29">
        <v>81</v>
      </c>
      <c r="AQ19" s="48" t="s">
        <v>17</v>
      </c>
      <c r="AR19" s="29">
        <v>310</v>
      </c>
      <c r="AS19" s="29">
        <v>115</v>
      </c>
    </row>
    <row r="20" spans="1:45">
      <c r="A20" s="24">
        <v>16</v>
      </c>
      <c r="B20" s="19" t="s">
        <v>50</v>
      </c>
      <c r="C20" s="19" t="s">
        <v>51</v>
      </c>
      <c r="D20" s="11">
        <v>55.901699437494742</v>
      </c>
      <c r="E20" s="9">
        <v>47.169905660283021</v>
      </c>
      <c r="F20" s="9">
        <v>65.192024052026483</v>
      </c>
      <c r="G20" s="9">
        <v>51.156622249714651</v>
      </c>
      <c r="H20" s="9">
        <v>50.089919145472777</v>
      </c>
      <c r="I20" s="3"/>
      <c r="J20" s="21">
        <v>16</v>
      </c>
      <c r="K20" s="44" t="s">
        <v>48</v>
      </c>
      <c r="L20" s="44" t="s">
        <v>81</v>
      </c>
      <c r="M20" s="44" t="s">
        <v>79</v>
      </c>
      <c r="N20" s="11">
        <v>109.53358736035327</v>
      </c>
      <c r="O20" s="9">
        <v>101.76865428784895</v>
      </c>
      <c r="P20" s="9">
        <v>104.48425663427109</v>
      </c>
      <c r="Q20" s="9">
        <v>106.54711217960539</v>
      </c>
      <c r="R20" s="9">
        <v>95.228603691596561</v>
      </c>
      <c r="T20" s="23">
        <v>16</v>
      </c>
      <c r="U20" s="40"/>
      <c r="V20" s="40"/>
      <c r="W20" s="40"/>
      <c r="X20" s="40"/>
      <c r="Y20" s="11"/>
      <c r="Z20" s="9"/>
      <c r="AA20" s="9"/>
      <c r="AB20" s="9"/>
      <c r="AC20" s="9"/>
      <c r="AE20" s="48" t="s">
        <v>18</v>
      </c>
      <c r="AF20" s="29">
        <v>600</v>
      </c>
      <c r="AG20" s="29">
        <v>94</v>
      </c>
      <c r="AH20" s="48" t="s">
        <v>18</v>
      </c>
      <c r="AI20" s="29">
        <v>600</v>
      </c>
      <c r="AJ20" s="29">
        <v>87</v>
      </c>
      <c r="AK20" s="48" t="s">
        <v>18</v>
      </c>
      <c r="AL20" s="29">
        <v>600</v>
      </c>
      <c r="AM20" s="29">
        <v>76</v>
      </c>
      <c r="AN20" s="48" t="s">
        <v>18</v>
      </c>
      <c r="AO20" s="29">
        <v>600</v>
      </c>
      <c r="AP20" s="29">
        <v>108</v>
      </c>
      <c r="AQ20" s="48" t="s">
        <v>18</v>
      </c>
      <c r="AR20" s="29">
        <v>600</v>
      </c>
      <c r="AS20" s="29">
        <v>49</v>
      </c>
    </row>
    <row r="21" spans="1:45">
      <c r="A21" s="24">
        <v>17</v>
      </c>
      <c r="B21" s="19" t="s">
        <v>65</v>
      </c>
      <c r="C21" s="19" t="s">
        <v>66</v>
      </c>
      <c r="D21" s="11">
        <v>257</v>
      </c>
      <c r="E21" s="9">
        <v>246</v>
      </c>
      <c r="F21" s="9">
        <v>269</v>
      </c>
      <c r="G21" s="9">
        <v>237</v>
      </c>
      <c r="H21" s="9">
        <v>232</v>
      </c>
      <c r="I21" s="3"/>
      <c r="J21" s="21">
        <v>17</v>
      </c>
      <c r="K21" s="44" t="s">
        <v>80</v>
      </c>
      <c r="L21" s="44" t="s">
        <v>81</v>
      </c>
      <c r="M21" s="44" t="s">
        <v>79</v>
      </c>
      <c r="N21" s="11">
        <v>26.148387624721153</v>
      </c>
      <c r="O21" s="9">
        <v>20.531251053438794</v>
      </c>
      <c r="P21" s="9">
        <v>20.556045219583478</v>
      </c>
      <c r="Q21" s="9">
        <v>24.573182365719219</v>
      </c>
      <c r="R21" s="9">
        <v>24.412846205173299</v>
      </c>
      <c r="T21" s="23">
        <v>17</v>
      </c>
      <c r="U21" s="40"/>
      <c r="V21" s="40"/>
      <c r="W21" s="40"/>
      <c r="X21" s="40"/>
      <c r="Y21" s="11"/>
      <c r="Z21" s="9"/>
      <c r="AA21" s="9"/>
      <c r="AB21" s="9"/>
      <c r="AC21" s="9"/>
      <c r="AE21" s="48" t="s">
        <v>19</v>
      </c>
      <c r="AF21" s="29">
        <f>600+(600-AF19)</f>
        <v>952</v>
      </c>
      <c r="AG21" s="29">
        <f>AG19</f>
        <v>120</v>
      </c>
      <c r="AH21" s="48" t="s">
        <v>19</v>
      </c>
      <c r="AI21" s="29">
        <f>600+(600-AI19)</f>
        <v>980</v>
      </c>
      <c r="AJ21" s="29">
        <f>AJ19</f>
        <v>99</v>
      </c>
      <c r="AK21" s="48" t="s">
        <v>19</v>
      </c>
      <c r="AL21" s="29">
        <f t="shared" ref="AL21" si="30">600+(600-AL19)</f>
        <v>962</v>
      </c>
      <c r="AM21" s="29">
        <f t="shared" ref="AM21" si="31">AM19</f>
        <v>48</v>
      </c>
      <c r="AN21" s="48" t="s">
        <v>19</v>
      </c>
      <c r="AO21" s="29">
        <f t="shared" ref="AO21" si="32">600+(600-AO19)</f>
        <v>919</v>
      </c>
      <c r="AP21" s="29">
        <f t="shared" ref="AP21" si="33">AP19</f>
        <v>81</v>
      </c>
      <c r="AQ21" s="48" t="s">
        <v>19</v>
      </c>
      <c r="AR21" s="29">
        <f t="shared" ref="AR21" si="34">600+(600-AR19)</f>
        <v>890</v>
      </c>
      <c r="AS21" s="29">
        <f t="shared" ref="AS21" si="35">AS19</f>
        <v>115</v>
      </c>
    </row>
    <row r="22" spans="1:45">
      <c r="A22" s="24">
        <v>18</v>
      </c>
      <c r="B22" s="19" t="s">
        <v>76</v>
      </c>
      <c r="C22" s="19" t="s">
        <v>75</v>
      </c>
      <c r="D22" s="11">
        <v>38.639358172723313</v>
      </c>
      <c r="E22" s="9">
        <v>38.118237105091836</v>
      </c>
      <c r="F22" s="9">
        <v>39.11521443121589</v>
      </c>
      <c r="G22" s="9">
        <v>48.703182647543684</v>
      </c>
      <c r="H22" s="9">
        <v>49.010203019371382</v>
      </c>
      <c r="I22" s="3"/>
      <c r="J22" s="21">
        <v>18</v>
      </c>
      <c r="K22" s="39"/>
      <c r="L22" s="39"/>
      <c r="M22" s="39"/>
      <c r="N22" s="11"/>
      <c r="O22" s="9"/>
      <c r="P22" s="9"/>
      <c r="Q22" s="9"/>
      <c r="R22" s="9"/>
      <c r="T22" s="23">
        <v>18</v>
      </c>
      <c r="U22" s="40"/>
      <c r="V22" s="40"/>
      <c r="W22" s="40"/>
      <c r="X22" s="40"/>
      <c r="Y22" s="11"/>
      <c r="Z22" s="9"/>
      <c r="AA22" s="9"/>
      <c r="AB22" s="9"/>
      <c r="AC22" s="9"/>
      <c r="AE22" s="48" t="s">
        <v>20</v>
      </c>
      <c r="AF22" s="29">
        <v>372</v>
      </c>
      <c r="AG22" s="29">
        <v>533</v>
      </c>
      <c r="AH22" s="48" t="s">
        <v>20</v>
      </c>
      <c r="AI22" s="29">
        <v>340</v>
      </c>
      <c r="AJ22" s="29">
        <v>580</v>
      </c>
      <c r="AK22" s="48" t="s">
        <v>20</v>
      </c>
      <c r="AL22" s="29">
        <v>346</v>
      </c>
      <c r="AM22" s="29">
        <v>593</v>
      </c>
      <c r="AN22" s="49" t="s">
        <v>20</v>
      </c>
      <c r="AO22" s="30">
        <v>362</v>
      </c>
      <c r="AP22" s="30">
        <v>603</v>
      </c>
      <c r="AQ22" s="48" t="s">
        <v>20</v>
      </c>
      <c r="AR22" s="29">
        <v>324</v>
      </c>
      <c r="AS22" s="29">
        <v>610</v>
      </c>
    </row>
    <row r="23" spans="1:45">
      <c r="A23" s="24">
        <v>19</v>
      </c>
      <c r="B23" s="19" t="s">
        <v>73</v>
      </c>
      <c r="C23" s="19" t="s">
        <v>74</v>
      </c>
      <c r="D23" s="11">
        <v>195.92345444075858</v>
      </c>
      <c r="E23" s="9">
        <v>209.05980005730419</v>
      </c>
      <c r="F23" s="9">
        <v>231.00216449202375</v>
      </c>
      <c r="G23" s="9">
        <v>220.20445045457188</v>
      </c>
      <c r="H23" s="9">
        <v>267.09174453734056</v>
      </c>
      <c r="I23" s="3"/>
      <c r="J23" s="21">
        <v>19</v>
      </c>
      <c r="K23" s="39"/>
      <c r="L23" s="39"/>
      <c r="M23" s="39"/>
      <c r="N23" s="11"/>
      <c r="O23" s="9"/>
      <c r="P23" s="9"/>
      <c r="Q23" s="9"/>
      <c r="R23" s="9"/>
      <c r="T23" s="23">
        <v>19</v>
      </c>
      <c r="U23" s="40"/>
      <c r="V23" s="40"/>
      <c r="W23" s="40"/>
      <c r="X23" s="40"/>
      <c r="Y23" s="11"/>
      <c r="Z23" s="9"/>
      <c r="AA23" s="9"/>
      <c r="AB23" s="9"/>
      <c r="AC23" s="9"/>
      <c r="AE23" s="48" t="s">
        <v>21</v>
      </c>
      <c r="AF23" s="29">
        <v>435</v>
      </c>
      <c r="AG23" s="29">
        <v>544</v>
      </c>
      <c r="AH23" s="49" t="s">
        <v>21</v>
      </c>
      <c r="AI23" s="30">
        <v>424</v>
      </c>
      <c r="AJ23" s="30">
        <v>587</v>
      </c>
      <c r="AK23" s="48" t="s">
        <v>21</v>
      </c>
      <c r="AL23" s="29">
        <v>439</v>
      </c>
      <c r="AM23" s="29">
        <v>596</v>
      </c>
      <c r="AN23" s="49" t="s">
        <v>21</v>
      </c>
      <c r="AO23" s="30">
        <v>437</v>
      </c>
      <c r="AP23" s="30">
        <v>604</v>
      </c>
      <c r="AQ23" s="48" t="s">
        <v>21</v>
      </c>
      <c r="AR23" s="29">
        <v>409</v>
      </c>
      <c r="AS23" s="29">
        <v>630</v>
      </c>
    </row>
    <row r="24" spans="1:45">
      <c r="A24" s="24">
        <v>20</v>
      </c>
      <c r="B24" s="19"/>
      <c r="C24" s="19"/>
      <c r="D24" s="9"/>
      <c r="E24" s="9"/>
      <c r="F24" s="9"/>
      <c r="G24" s="9"/>
      <c r="H24" s="9"/>
      <c r="I24" s="3"/>
      <c r="J24" s="21">
        <v>20</v>
      </c>
      <c r="K24" s="39"/>
      <c r="L24" s="39"/>
      <c r="M24" s="39"/>
      <c r="N24" s="11"/>
      <c r="O24" s="9"/>
      <c r="P24" s="9"/>
      <c r="Q24" s="9"/>
      <c r="R24" s="9"/>
      <c r="T24" s="23">
        <v>20</v>
      </c>
      <c r="U24" s="40"/>
      <c r="V24" s="40"/>
      <c r="W24" s="40"/>
      <c r="X24" s="40"/>
      <c r="Y24" s="11"/>
      <c r="Z24" s="9"/>
      <c r="AA24" s="9"/>
      <c r="AB24" s="9"/>
      <c r="AC24" s="9"/>
      <c r="AE24" s="48" t="s">
        <v>22</v>
      </c>
      <c r="AF24" s="29">
        <v>505</v>
      </c>
      <c r="AG24" s="29">
        <v>533</v>
      </c>
      <c r="AH24" s="49" t="s">
        <v>22</v>
      </c>
      <c r="AI24" s="30">
        <v>493</v>
      </c>
      <c r="AJ24" s="30">
        <v>562</v>
      </c>
      <c r="AK24" s="48" t="s">
        <v>22</v>
      </c>
      <c r="AL24" s="29">
        <v>516</v>
      </c>
      <c r="AM24" s="29">
        <v>572</v>
      </c>
      <c r="AN24" s="49" t="s">
        <v>22</v>
      </c>
      <c r="AO24" s="30">
        <v>509</v>
      </c>
      <c r="AP24" s="30">
        <v>590</v>
      </c>
      <c r="AQ24" s="48" t="s">
        <v>22</v>
      </c>
      <c r="AR24" s="29">
        <v>486</v>
      </c>
      <c r="AS24" s="29">
        <v>623</v>
      </c>
    </row>
    <row r="25" spans="1:45" ht="15.75" customHeight="1">
      <c r="A25" s="24">
        <v>21</v>
      </c>
      <c r="B25" s="19"/>
      <c r="C25" s="19"/>
      <c r="D25" s="9"/>
      <c r="E25" s="9"/>
      <c r="F25" s="9"/>
      <c r="G25" s="9"/>
      <c r="H25" s="9"/>
      <c r="I25" s="3"/>
      <c r="J25" s="21">
        <v>21</v>
      </c>
      <c r="K25" s="39"/>
      <c r="L25" s="39"/>
      <c r="M25" s="39"/>
      <c r="N25" s="11"/>
      <c r="O25" s="9"/>
      <c r="P25" s="9"/>
      <c r="Q25" s="9"/>
      <c r="R25" s="9"/>
      <c r="T25" s="23">
        <v>21</v>
      </c>
      <c r="U25" s="40"/>
      <c r="V25" s="40"/>
      <c r="W25" s="40"/>
      <c r="X25" s="40"/>
      <c r="Y25" s="11"/>
      <c r="Z25" s="9"/>
      <c r="AA25" s="9"/>
      <c r="AB25" s="9"/>
      <c r="AC25" s="9"/>
      <c r="AE25" s="48" t="s">
        <v>23</v>
      </c>
      <c r="AF25" s="29">
        <v>425</v>
      </c>
      <c r="AG25" s="29">
        <v>489</v>
      </c>
      <c r="AH25" s="49" t="s">
        <v>23</v>
      </c>
      <c r="AI25" s="30">
        <v>420</v>
      </c>
      <c r="AJ25" s="30">
        <v>540</v>
      </c>
      <c r="AK25" s="48" t="s">
        <v>23</v>
      </c>
      <c r="AL25" s="29">
        <v>434</v>
      </c>
      <c r="AM25" s="29">
        <v>531</v>
      </c>
      <c r="AN25" s="49" t="s">
        <v>23</v>
      </c>
      <c r="AO25" s="30">
        <v>433</v>
      </c>
      <c r="AP25" s="30">
        <v>553</v>
      </c>
      <c r="AQ25" s="48" t="s">
        <v>23</v>
      </c>
      <c r="AR25" s="29">
        <v>412</v>
      </c>
      <c r="AS25" s="29">
        <v>580</v>
      </c>
    </row>
    <row r="26" spans="1:45" ht="16.5" customHeight="1">
      <c r="A26" s="24">
        <v>22</v>
      </c>
      <c r="B26" s="19"/>
      <c r="C26" s="19"/>
      <c r="D26" s="9"/>
      <c r="E26" s="9"/>
      <c r="F26" s="9"/>
      <c r="G26" s="9"/>
      <c r="H26" s="9"/>
      <c r="I26" s="3"/>
      <c r="J26" s="21">
        <v>22</v>
      </c>
      <c r="K26" s="39"/>
      <c r="L26" s="39"/>
      <c r="M26" s="39"/>
      <c r="N26" s="11"/>
      <c r="O26" s="9"/>
      <c r="P26" s="9"/>
      <c r="Q26" s="9"/>
      <c r="R26" s="9"/>
      <c r="T26" s="23">
        <v>22</v>
      </c>
      <c r="U26" s="40"/>
      <c r="V26" s="40"/>
      <c r="W26" s="40"/>
      <c r="X26" s="40"/>
      <c r="Y26" s="11"/>
      <c r="Z26" s="9"/>
      <c r="AA26" s="9"/>
      <c r="AB26" s="9"/>
      <c r="AC26" s="9"/>
      <c r="AE26" s="48" t="s">
        <v>24</v>
      </c>
      <c r="AF26" s="31">
        <v>1180</v>
      </c>
      <c r="AG26" s="31">
        <v>1180</v>
      </c>
      <c r="AH26" s="49" t="s">
        <v>24</v>
      </c>
      <c r="AI26" s="30">
        <v>1180</v>
      </c>
      <c r="AJ26" s="30">
        <v>1180</v>
      </c>
      <c r="AK26" s="48" t="s">
        <v>24</v>
      </c>
      <c r="AL26" s="31">
        <v>1180</v>
      </c>
      <c r="AM26" s="31">
        <v>1180</v>
      </c>
      <c r="AN26" s="49" t="s">
        <v>24</v>
      </c>
      <c r="AO26" s="30">
        <v>1180</v>
      </c>
      <c r="AP26" s="30">
        <v>1180</v>
      </c>
      <c r="AQ26" s="32" t="s">
        <v>24</v>
      </c>
      <c r="AR26" s="31">
        <v>1180</v>
      </c>
      <c r="AS26" s="31">
        <v>1180</v>
      </c>
    </row>
    <row r="27" spans="1:45">
      <c r="A27" s="24">
        <v>23</v>
      </c>
      <c r="B27" s="19"/>
      <c r="C27" s="19"/>
      <c r="D27" s="9"/>
      <c r="E27" s="9"/>
      <c r="F27" s="9"/>
      <c r="G27" s="9"/>
      <c r="H27" s="9"/>
      <c r="J27" s="21">
        <v>23</v>
      </c>
      <c r="K27" s="39"/>
      <c r="L27" s="39"/>
      <c r="M27" s="39"/>
      <c r="N27" s="11"/>
      <c r="O27" s="9"/>
      <c r="P27" s="9"/>
      <c r="Q27" s="9"/>
      <c r="R27" s="9"/>
      <c r="T27" s="23">
        <v>23</v>
      </c>
      <c r="U27" s="40"/>
      <c r="V27" s="40"/>
      <c r="W27" s="40"/>
      <c r="X27" s="40"/>
      <c r="Y27" s="11"/>
      <c r="Z27" s="9"/>
      <c r="AA27" s="9"/>
      <c r="AB27" s="9"/>
      <c r="AC27" s="9"/>
      <c r="AE27" s="46" t="s">
        <v>67</v>
      </c>
      <c r="AF27" s="8">
        <v>600</v>
      </c>
      <c r="AG27" s="37">
        <v>0</v>
      </c>
      <c r="AH27" s="46" t="s">
        <v>67</v>
      </c>
      <c r="AI27" s="9">
        <v>600</v>
      </c>
      <c r="AJ27" s="38">
        <v>0</v>
      </c>
      <c r="AK27" s="46" t="s">
        <v>67</v>
      </c>
      <c r="AL27" s="8">
        <v>600</v>
      </c>
      <c r="AM27" s="37">
        <v>0</v>
      </c>
      <c r="AN27" s="46" t="s">
        <v>67</v>
      </c>
      <c r="AO27" s="9">
        <v>600</v>
      </c>
      <c r="AP27" s="38">
        <v>0</v>
      </c>
      <c r="AQ27" s="46" t="s">
        <v>67</v>
      </c>
      <c r="AR27" s="8">
        <v>600</v>
      </c>
      <c r="AS27" s="37">
        <v>0</v>
      </c>
    </row>
    <row r="28" spans="1:45" s="7" customFormat="1">
      <c r="A28" s="24">
        <v>24</v>
      </c>
      <c r="B28" s="19"/>
      <c r="C28" s="19"/>
      <c r="D28" s="17"/>
      <c r="E28" s="12"/>
      <c r="F28" s="12"/>
      <c r="G28" s="12"/>
      <c r="H28" s="12"/>
      <c r="J28" s="21">
        <v>24</v>
      </c>
      <c r="K28" s="39"/>
      <c r="L28" s="39"/>
      <c r="M28" s="39"/>
      <c r="N28" s="17"/>
      <c r="O28" s="12"/>
      <c r="P28" s="12"/>
      <c r="Q28" s="12"/>
      <c r="R28" s="12"/>
      <c r="T28" s="23">
        <v>24</v>
      </c>
      <c r="U28" s="40"/>
      <c r="V28" s="40"/>
      <c r="W28" s="40"/>
      <c r="X28" s="40"/>
      <c r="Y28" s="17"/>
      <c r="Z28" s="12"/>
      <c r="AA28" s="12"/>
      <c r="AB28" s="12"/>
      <c r="AC28" s="12"/>
      <c r="AE28" s="46" t="s">
        <v>68</v>
      </c>
      <c r="AF28" s="8">
        <v>439</v>
      </c>
      <c r="AG28" s="37">
        <v>424</v>
      </c>
      <c r="AH28" s="46" t="s">
        <v>68</v>
      </c>
      <c r="AI28" s="9">
        <v>419</v>
      </c>
      <c r="AJ28" s="38">
        <v>470</v>
      </c>
      <c r="AK28" s="46" t="s">
        <v>68</v>
      </c>
      <c r="AL28" s="8">
        <v>431</v>
      </c>
      <c r="AM28" s="37">
        <v>485</v>
      </c>
      <c r="AN28" s="46" t="s">
        <v>68</v>
      </c>
      <c r="AO28" s="9">
        <v>427</v>
      </c>
      <c r="AP28" s="38">
        <v>488</v>
      </c>
      <c r="AQ28" s="46" t="s">
        <v>68</v>
      </c>
      <c r="AR28" s="8">
        <v>414</v>
      </c>
      <c r="AS28" s="37">
        <v>504</v>
      </c>
    </row>
    <row r="29" spans="1:45">
      <c r="A29" s="24">
        <v>25</v>
      </c>
      <c r="B29" s="19"/>
      <c r="C29" s="19"/>
      <c r="D29" s="18"/>
      <c r="E29" s="13"/>
      <c r="F29" s="9"/>
      <c r="G29" s="9"/>
      <c r="H29" s="9"/>
      <c r="J29" s="21">
        <v>25</v>
      </c>
      <c r="K29" s="39"/>
      <c r="L29" s="39"/>
      <c r="M29" s="39"/>
      <c r="N29" s="11"/>
      <c r="O29" s="9"/>
      <c r="P29" s="9"/>
      <c r="Q29" s="9"/>
      <c r="R29" s="9"/>
      <c r="T29" s="23">
        <v>25</v>
      </c>
      <c r="U29" s="40"/>
      <c r="V29" s="40"/>
      <c r="W29" s="40"/>
      <c r="X29" s="40"/>
      <c r="Y29" s="11"/>
      <c r="Z29" s="9"/>
      <c r="AA29" s="9"/>
      <c r="AB29" s="9"/>
      <c r="AC29" s="9"/>
      <c r="AE29" s="46" t="s">
        <v>69</v>
      </c>
      <c r="AF29" s="8">
        <v>323</v>
      </c>
      <c r="AG29" s="37">
        <v>471</v>
      </c>
      <c r="AH29" s="46" t="s">
        <v>69</v>
      </c>
      <c r="AI29" s="9">
        <v>312</v>
      </c>
      <c r="AJ29" s="38">
        <v>511</v>
      </c>
      <c r="AK29" s="46" t="s">
        <v>69</v>
      </c>
      <c r="AL29" s="8">
        <v>308</v>
      </c>
      <c r="AM29" s="37">
        <v>511</v>
      </c>
      <c r="AN29" s="46" t="s">
        <v>69</v>
      </c>
      <c r="AO29" s="9">
        <v>318</v>
      </c>
      <c r="AP29" s="38">
        <v>544</v>
      </c>
      <c r="AQ29" s="46" t="s">
        <v>69</v>
      </c>
      <c r="AR29" s="8">
        <v>251</v>
      </c>
      <c r="AS29" s="37">
        <v>567</v>
      </c>
    </row>
    <row r="30" spans="1:45">
      <c r="A30" s="24">
        <v>26</v>
      </c>
      <c r="B30" s="19"/>
      <c r="C30" s="19"/>
      <c r="D30" s="11"/>
      <c r="E30" s="9"/>
      <c r="F30" s="9"/>
      <c r="G30" s="9"/>
      <c r="H30" s="9"/>
      <c r="J30" s="21">
        <v>26</v>
      </c>
      <c r="K30" s="39"/>
      <c r="L30" s="39"/>
      <c r="M30" s="39"/>
      <c r="N30" s="11"/>
      <c r="O30" s="9"/>
      <c r="P30" s="9"/>
      <c r="Q30" s="9"/>
      <c r="R30" s="9"/>
      <c r="T30" s="23">
        <v>26</v>
      </c>
      <c r="U30" s="40"/>
      <c r="V30" s="40"/>
      <c r="W30" s="40"/>
      <c r="X30" s="40"/>
      <c r="Y30" s="11"/>
      <c r="Z30" s="9"/>
      <c r="AA30" s="9"/>
      <c r="AB30" s="9"/>
      <c r="AC30" s="9"/>
      <c r="AE30" s="46" t="s">
        <v>70</v>
      </c>
      <c r="AF30" s="8">
        <v>518</v>
      </c>
      <c r="AG30" s="37">
        <v>452</v>
      </c>
      <c r="AH30" s="46" t="s">
        <v>70</v>
      </c>
      <c r="AI30" s="9">
        <v>521</v>
      </c>
      <c r="AJ30" s="38">
        <v>506</v>
      </c>
      <c r="AK30" s="46" t="s">
        <v>70</v>
      </c>
      <c r="AL30" s="8">
        <v>539</v>
      </c>
      <c r="AM30" s="37">
        <v>512</v>
      </c>
      <c r="AN30" s="46" t="s">
        <v>70</v>
      </c>
      <c r="AO30" s="9">
        <v>537</v>
      </c>
      <c r="AP30" s="38">
        <v>521</v>
      </c>
      <c r="AQ30" s="46" t="s">
        <v>70</v>
      </c>
      <c r="AR30" s="8">
        <v>518</v>
      </c>
      <c r="AS30" s="37">
        <v>560</v>
      </c>
    </row>
    <row r="31" spans="1:45">
      <c r="A31" s="24">
        <v>27</v>
      </c>
      <c r="B31" s="19"/>
      <c r="C31" s="19"/>
      <c r="D31" s="11"/>
      <c r="E31" s="9"/>
      <c r="F31" s="9"/>
      <c r="G31" s="9"/>
      <c r="H31" s="9"/>
      <c r="J31" s="21">
        <v>27</v>
      </c>
      <c r="K31" s="39"/>
      <c r="L31" s="39"/>
      <c r="M31" s="39"/>
      <c r="N31" s="11"/>
      <c r="O31" s="9"/>
      <c r="P31" s="9"/>
      <c r="Q31" s="9"/>
      <c r="R31" s="9"/>
      <c r="T31" s="23">
        <v>27</v>
      </c>
      <c r="U31" s="40"/>
      <c r="V31" s="40"/>
      <c r="W31" s="40"/>
      <c r="X31" s="40"/>
      <c r="Y31" s="11"/>
      <c r="Z31" s="9"/>
      <c r="AA31" s="9"/>
      <c r="AB31" s="9"/>
      <c r="AC31" s="9"/>
      <c r="AE31" s="46" t="s">
        <v>71</v>
      </c>
      <c r="AF31" s="8">
        <v>432</v>
      </c>
      <c r="AG31" s="37">
        <v>462</v>
      </c>
      <c r="AH31" s="46" t="s">
        <v>71</v>
      </c>
      <c r="AI31" s="9">
        <v>416</v>
      </c>
      <c r="AJ31" s="38">
        <v>508</v>
      </c>
      <c r="AK31" s="46" t="s">
        <v>71</v>
      </c>
      <c r="AL31" s="8">
        <v>434</v>
      </c>
      <c r="AM31" s="37">
        <v>524</v>
      </c>
      <c r="AN31" s="46" t="s">
        <v>71</v>
      </c>
      <c r="AO31" s="9">
        <v>443</v>
      </c>
      <c r="AP31" s="38">
        <v>534</v>
      </c>
      <c r="AQ31" s="46" t="s">
        <v>71</v>
      </c>
      <c r="AR31" s="8">
        <v>415</v>
      </c>
      <c r="AS31" s="37">
        <v>553</v>
      </c>
    </row>
    <row r="32" spans="1:45">
      <c r="A32" s="24">
        <v>28</v>
      </c>
      <c r="B32" s="19"/>
      <c r="C32" s="19"/>
      <c r="D32" s="11"/>
      <c r="E32" s="9"/>
      <c r="F32" s="9"/>
      <c r="G32" s="9"/>
      <c r="H32" s="9"/>
      <c r="J32" s="21">
        <v>28</v>
      </c>
      <c r="K32" s="39"/>
      <c r="L32" s="39"/>
      <c r="M32" s="39"/>
      <c r="N32" s="11"/>
      <c r="O32" s="9"/>
      <c r="P32" s="9"/>
      <c r="Q32" s="9"/>
      <c r="R32" s="9"/>
      <c r="T32" s="23">
        <v>28</v>
      </c>
      <c r="U32" s="40"/>
      <c r="V32" s="40"/>
      <c r="W32" s="40"/>
      <c r="X32" s="40"/>
      <c r="Y32" s="11"/>
      <c r="Z32" s="9"/>
      <c r="AA32" s="9"/>
      <c r="AB32" s="9"/>
      <c r="AC32" s="9"/>
      <c r="AE32" s="46"/>
      <c r="AF32" s="8"/>
      <c r="AG32" s="37"/>
      <c r="AH32" s="46"/>
      <c r="AI32" s="9"/>
      <c r="AJ32" s="38"/>
      <c r="AK32" s="46"/>
      <c r="AL32" s="8"/>
      <c r="AM32" s="37"/>
      <c r="AN32" s="46"/>
      <c r="AO32" s="9"/>
      <c r="AP32" s="38"/>
      <c r="AQ32" s="46"/>
      <c r="AR32" s="8"/>
      <c r="AS32" s="37"/>
    </row>
    <row r="33" spans="1:45">
      <c r="A33" s="24">
        <v>29</v>
      </c>
      <c r="B33" s="19"/>
      <c r="C33" s="19"/>
      <c r="D33" s="11"/>
      <c r="E33" s="9"/>
      <c r="F33" s="9"/>
      <c r="G33" s="9"/>
      <c r="H33" s="9"/>
      <c r="J33" s="21">
        <v>29</v>
      </c>
      <c r="K33" s="39"/>
      <c r="L33" s="39"/>
      <c r="M33" s="39"/>
      <c r="N33" s="11"/>
      <c r="O33" s="9"/>
      <c r="P33" s="9"/>
      <c r="Q33" s="9"/>
      <c r="R33" s="9"/>
      <c r="T33" s="23">
        <v>29</v>
      </c>
      <c r="U33" s="40"/>
      <c r="V33" s="40"/>
      <c r="W33" s="40"/>
      <c r="X33" s="40"/>
      <c r="Y33" s="11"/>
      <c r="Z33" s="9"/>
      <c r="AA33" s="9"/>
      <c r="AB33" s="9"/>
      <c r="AC33" s="9"/>
      <c r="AE33" s="41"/>
      <c r="AF33" s="8"/>
      <c r="AG33" s="6"/>
      <c r="AH33" s="42"/>
      <c r="AI33" s="9"/>
      <c r="AJ33" s="16"/>
      <c r="AK33" s="41"/>
      <c r="AL33" s="8"/>
      <c r="AM33" s="6"/>
      <c r="AN33" s="42"/>
      <c r="AO33" s="9"/>
      <c r="AP33" s="16"/>
      <c r="AQ33" s="41"/>
      <c r="AR33" s="8"/>
      <c r="AS33" s="6"/>
    </row>
    <row r="34" spans="1:45">
      <c r="A34" s="24">
        <v>30</v>
      </c>
      <c r="B34" s="19"/>
      <c r="C34" s="19"/>
      <c r="D34" s="11"/>
      <c r="E34" s="9"/>
      <c r="F34" s="9"/>
      <c r="G34" s="9"/>
      <c r="H34" s="9"/>
      <c r="J34" s="21">
        <v>30</v>
      </c>
      <c r="K34" s="39"/>
      <c r="L34" s="39"/>
      <c r="M34" s="39"/>
      <c r="N34" s="11"/>
      <c r="O34" s="9"/>
      <c r="P34" s="9"/>
      <c r="Q34" s="9"/>
      <c r="R34" s="9"/>
      <c r="T34" s="23">
        <v>30</v>
      </c>
      <c r="U34" s="40"/>
      <c r="V34" s="40"/>
      <c r="W34" s="40"/>
      <c r="X34" s="40"/>
      <c r="Y34" s="11"/>
      <c r="Z34" s="9"/>
      <c r="AA34" s="9"/>
      <c r="AB34" s="9"/>
      <c r="AC34" s="9"/>
      <c r="AE34" s="41"/>
      <c r="AF34" s="8"/>
      <c r="AG34" s="6"/>
      <c r="AH34" s="42"/>
      <c r="AI34" s="9"/>
      <c r="AJ34" s="16"/>
      <c r="AK34" s="41"/>
      <c r="AL34" s="8"/>
      <c r="AM34" s="6"/>
      <c r="AN34" s="42"/>
      <c r="AO34" s="9"/>
      <c r="AP34" s="16"/>
      <c r="AQ34" s="41"/>
      <c r="AR34" s="8"/>
      <c r="AS34" s="6"/>
    </row>
    <row r="35" spans="1:45">
      <c r="A35" s="25"/>
      <c r="B35" s="15"/>
      <c r="C35" s="15"/>
      <c r="D35" s="14"/>
      <c r="E35" s="14"/>
    </row>
    <row r="36" spans="1:45" ht="15.75" customHeight="1">
      <c r="A36" s="79" t="s">
        <v>64</v>
      </c>
      <c r="B36" s="79"/>
      <c r="C36" s="79"/>
      <c r="D36" s="79"/>
      <c r="E36" s="79"/>
      <c r="F36" s="79"/>
      <c r="G36" s="79"/>
      <c r="H36" s="79"/>
      <c r="I36" s="20"/>
      <c r="J36" s="79" t="s">
        <v>64</v>
      </c>
      <c r="K36" s="80"/>
      <c r="L36" s="80"/>
      <c r="M36" s="80"/>
      <c r="N36" s="80"/>
      <c r="O36" s="80"/>
      <c r="P36" s="80"/>
      <c r="Q36" s="80"/>
      <c r="R36" s="80"/>
      <c r="T36" s="79" t="s">
        <v>64</v>
      </c>
      <c r="U36" s="80"/>
      <c r="V36" s="80"/>
      <c r="W36" s="80"/>
      <c r="X36" s="80"/>
      <c r="Y36" s="80"/>
      <c r="Z36" s="80"/>
      <c r="AA36" s="80"/>
      <c r="AB36" s="80"/>
      <c r="AC36" s="80"/>
      <c r="AE36" s="80" t="s">
        <v>63</v>
      </c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</row>
    <row r="37" spans="1:45" ht="15.75" customHeight="1">
      <c r="A37" s="79"/>
      <c r="B37" s="79"/>
      <c r="C37" s="79"/>
      <c r="D37" s="79"/>
      <c r="E37" s="79"/>
      <c r="F37" s="79"/>
      <c r="G37" s="79"/>
      <c r="H37" s="79"/>
      <c r="I37" s="20"/>
      <c r="J37" s="80"/>
      <c r="K37" s="80"/>
      <c r="L37" s="80"/>
      <c r="M37" s="80"/>
      <c r="N37" s="80"/>
      <c r="O37" s="80"/>
      <c r="P37" s="80"/>
      <c r="Q37" s="80"/>
      <c r="R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</row>
    <row r="38" spans="1:45">
      <c r="A38" s="79"/>
      <c r="B38" s="79"/>
      <c r="C38" s="79"/>
      <c r="D38" s="79"/>
      <c r="E38" s="79"/>
      <c r="F38" s="79"/>
      <c r="G38" s="79"/>
      <c r="H38" s="79"/>
      <c r="J38" s="80"/>
      <c r="K38" s="80"/>
      <c r="L38" s="80"/>
      <c r="M38" s="80"/>
      <c r="N38" s="80"/>
      <c r="O38" s="80"/>
      <c r="P38" s="80"/>
      <c r="Q38" s="80"/>
      <c r="R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</row>
    <row r="39" spans="1:45">
      <c r="A39" s="25"/>
      <c r="B39" s="15"/>
      <c r="C39" s="15"/>
      <c r="D39" s="14"/>
      <c r="E39" s="14"/>
    </row>
    <row r="40" spans="1:45">
      <c r="A40" s="25"/>
      <c r="B40" s="15"/>
      <c r="C40" s="15"/>
      <c r="D40" s="14"/>
      <c r="E40" s="14"/>
    </row>
    <row r="41" spans="1:45">
      <c r="A41" s="25"/>
      <c r="B41" s="15"/>
      <c r="C41" s="15"/>
      <c r="D41" s="14"/>
      <c r="E41" s="14"/>
    </row>
    <row r="42" spans="1:45">
      <c r="A42" s="25"/>
      <c r="B42" s="15"/>
      <c r="C42" s="15"/>
      <c r="D42" s="14"/>
      <c r="E42" s="14"/>
    </row>
    <row r="43" spans="1:45">
      <c r="A43" s="25"/>
      <c r="B43" s="15"/>
      <c r="C43" s="15"/>
      <c r="D43" s="14"/>
      <c r="E43" s="14"/>
    </row>
    <row r="44" spans="1:45">
      <c r="A44" s="25"/>
      <c r="B44" s="15"/>
      <c r="C44" s="15"/>
      <c r="D44" s="14"/>
      <c r="E44" s="14"/>
    </row>
    <row r="45" spans="1:45">
      <c r="A45" s="25"/>
      <c r="B45" s="15"/>
      <c r="C45" s="15"/>
      <c r="D45" s="14"/>
      <c r="E45" s="14"/>
    </row>
    <row r="46" spans="1:45">
      <c r="A46" s="25"/>
      <c r="B46" s="15"/>
      <c r="C46" s="15"/>
      <c r="D46" s="14"/>
      <c r="E46" s="14"/>
    </row>
    <row r="47" spans="1:45">
      <c r="A47" s="25"/>
      <c r="B47" s="15"/>
      <c r="C47" s="15"/>
      <c r="D47" s="14"/>
      <c r="E47" s="14"/>
    </row>
    <row r="48" spans="1:45">
      <c r="A48" s="25"/>
      <c r="B48" s="15"/>
      <c r="C48" s="15"/>
      <c r="D48" s="14"/>
      <c r="E48" s="14"/>
    </row>
    <row r="49" spans="1:5">
      <c r="A49" s="25"/>
      <c r="B49" s="15"/>
      <c r="C49" s="15"/>
      <c r="D49" s="14"/>
      <c r="E49" s="14"/>
    </row>
    <row r="50" spans="1:5">
      <c r="A50" s="25"/>
      <c r="B50" s="15"/>
      <c r="C50" s="15"/>
      <c r="D50" s="14"/>
      <c r="E50" s="14"/>
    </row>
    <row r="51" spans="1:5">
      <c r="A51" s="25"/>
      <c r="B51" s="15"/>
      <c r="C51" s="15"/>
      <c r="D51" s="14"/>
      <c r="E51" s="14"/>
    </row>
    <row r="52" spans="1:5">
      <c r="A52" s="25"/>
      <c r="B52" s="15"/>
      <c r="C52" s="15"/>
      <c r="D52" s="14"/>
      <c r="E52" s="14"/>
    </row>
  </sheetData>
  <mergeCells count="27">
    <mergeCell ref="AK2:AM2"/>
    <mergeCell ref="A1:H1"/>
    <mergeCell ref="J1:R1"/>
    <mergeCell ref="T1:AC1"/>
    <mergeCell ref="AE1:AS1"/>
    <mergeCell ref="A2:C4"/>
    <mergeCell ref="D2:F3"/>
    <mergeCell ref="G2:H3"/>
    <mergeCell ref="J2:M4"/>
    <mergeCell ref="N2:P3"/>
    <mergeCell ref="Q2:R3"/>
    <mergeCell ref="A36:H38"/>
    <mergeCell ref="J36:R38"/>
    <mergeCell ref="T36:AC38"/>
    <mergeCell ref="AE36:AS38"/>
    <mergeCell ref="AN2:AP2"/>
    <mergeCell ref="AQ2:AS2"/>
    <mergeCell ref="AF3:AG3"/>
    <mergeCell ref="AI3:AJ3"/>
    <mergeCell ref="AL3:AM3"/>
    <mergeCell ref="AO3:AP3"/>
    <mergeCell ref="AR3:AS3"/>
    <mergeCell ref="T2:X4"/>
    <mergeCell ref="Y2:AA3"/>
    <mergeCell ref="AB2:AC3"/>
    <mergeCell ref="AE2:AG2"/>
    <mergeCell ref="AH2:AJ2"/>
  </mergeCells>
  <phoneticPr fontId="1" type="noConversion"/>
  <conditionalFormatting sqref="Y1:AC1 Y4:AC35 Y2 Y39:AC1048576">
    <cfRule type="cellIs" dxfId="1" priority="1" operator="lessThan">
      <formula>0</formula>
    </cfRule>
  </conditionalFormatting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工作表32"/>
  <dimension ref="A1:AS52"/>
  <sheetViews>
    <sheetView zoomScale="70" zoomScaleNormal="70" workbookViewId="0">
      <selection activeCell="AI3" sqref="AI3:AJ3"/>
    </sheetView>
  </sheetViews>
  <sheetFormatPr defaultColWidth="9" defaultRowHeight="15.5"/>
  <cols>
    <col min="1" max="1" width="3.58203125" style="22" customWidth="1"/>
    <col min="2" max="3" width="3.58203125" style="4" customWidth="1"/>
    <col min="4" max="8" width="10.58203125" style="10" customWidth="1"/>
    <col min="9" max="9" width="2.08203125" style="1" customWidth="1"/>
    <col min="10" max="10" width="3.58203125" style="22" customWidth="1"/>
    <col min="11" max="12" width="3.58203125" style="4" customWidth="1"/>
    <col min="13" max="13" width="3.08203125" style="4" bestFit="1" customWidth="1"/>
    <col min="14" max="18" width="10.58203125" style="10" customWidth="1"/>
    <col min="19" max="19" width="2.08203125" style="1" customWidth="1"/>
    <col min="20" max="20" width="3.58203125" style="22" customWidth="1"/>
    <col min="21" max="23" width="3.58203125" style="4" customWidth="1"/>
    <col min="24" max="24" width="3.08203125" style="4" bestFit="1" customWidth="1"/>
    <col min="25" max="29" width="10.58203125" style="10" customWidth="1"/>
    <col min="30" max="30" width="2.08203125" style="1" customWidth="1"/>
    <col min="31" max="31" width="7.58203125" style="4" customWidth="1"/>
    <col min="32" max="32" width="10.58203125" style="10" customWidth="1"/>
    <col min="33" max="33" width="10.58203125" style="1" customWidth="1"/>
    <col min="34" max="34" width="7.58203125" style="4" customWidth="1"/>
    <col min="35" max="35" width="10.58203125" style="10" customWidth="1"/>
    <col min="36" max="36" width="10.58203125" style="1" customWidth="1"/>
    <col min="37" max="37" width="7.58203125" style="4" customWidth="1"/>
    <col min="38" max="38" width="10.58203125" style="10" customWidth="1"/>
    <col min="39" max="39" width="10.58203125" style="1" customWidth="1"/>
    <col min="40" max="40" width="7.58203125" style="4" customWidth="1"/>
    <col min="41" max="41" width="10.58203125" style="10" customWidth="1"/>
    <col min="42" max="42" width="10.58203125" style="1" customWidth="1"/>
    <col min="43" max="16384" width="9" style="1"/>
  </cols>
  <sheetData>
    <row r="1" spans="1:45" ht="24" customHeight="1">
      <c r="A1" s="57" t="s">
        <v>58</v>
      </c>
      <c r="B1" s="57"/>
      <c r="C1" s="57"/>
      <c r="D1" s="57"/>
      <c r="E1" s="57"/>
      <c r="F1" s="57"/>
      <c r="G1" s="57"/>
      <c r="H1" s="58"/>
      <c r="J1" s="59" t="s">
        <v>60</v>
      </c>
      <c r="K1" s="59"/>
      <c r="L1" s="59"/>
      <c r="M1" s="59"/>
      <c r="N1" s="59"/>
      <c r="O1" s="59"/>
      <c r="P1" s="59"/>
      <c r="Q1" s="59"/>
      <c r="R1" s="59"/>
      <c r="T1" s="60" t="s">
        <v>59</v>
      </c>
      <c r="U1" s="60"/>
      <c r="V1" s="60"/>
      <c r="W1" s="60"/>
      <c r="X1" s="60"/>
      <c r="Y1" s="60"/>
      <c r="Z1" s="60"/>
      <c r="AA1" s="60"/>
      <c r="AB1" s="60"/>
      <c r="AC1" s="60"/>
      <c r="AE1" s="61" t="s">
        <v>180</v>
      </c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</row>
    <row r="2" spans="1:45" s="2" customFormat="1" ht="19.5" customHeight="1">
      <c r="A2" s="63" t="s">
        <v>55</v>
      </c>
      <c r="B2" s="63"/>
      <c r="C2" s="63"/>
      <c r="D2" s="65"/>
      <c r="E2" s="66"/>
      <c r="F2" s="67"/>
      <c r="G2" s="65"/>
      <c r="H2" s="67"/>
      <c r="J2" s="71" t="s">
        <v>56</v>
      </c>
      <c r="K2" s="71"/>
      <c r="L2" s="71"/>
      <c r="M2" s="71"/>
      <c r="N2" s="73"/>
      <c r="O2" s="74"/>
      <c r="P2" s="75"/>
      <c r="Q2" s="73"/>
      <c r="R2" s="75"/>
      <c r="T2" s="90" t="s">
        <v>57</v>
      </c>
      <c r="U2" s="90"/>
      <c r="V2" s="90"/>
      <c r="W2" s="90"/>
      <c r="X2" s="90"/>
      <c r="Y2" s="92"/>
      <c r="Z2" s="93"/>
      <c r="AA2" s="94"/>
      <c r="AB2" s="92"/>
      <c r="AC2" s="94"/>
      <c r="AE2" s="54" t="s">
        <v>155</v>
      </c>
      <c r="AF2" s="55"/>
      <c r="AG2" s="56"/>
      <c r="AH2" s="81" t="s">
        <v>156</v>
      </c>
      <c r="AI2" s="82"/>
      <c r="AJ2" s="83"/>
      <c r="AK2" s="54" t="s">
        <v>157</v>
      </c>
      <c r="AL2" s="55"/>
      <c r="AM2" s="56"/>
      <c r="AN2" s="81" t="s">
        <v>158</v>
      </c>
      <c r="AO2" s="82"/>
      <c r="AP2" s="83"/>
      <c r="AQ2" s="54" t="s">
        <v>159</v>
      </c>
      <c r="AR2" s="55"/>
      <c r="AS2" s="56"/>
    </row>
    <row r="3" spans="1:45" ht="16.5" customHeight="1">
      <c r="A3" s="63"/>
      <c r="B3" s="63"/>
      <c r="C3" s="63"/>
      <c r="D3" s="68"/>
      <c r="E3" s="69"/>
      <c r="F3" s="70"/>
      <c r="G3" s="68"/>
      <c r="H3" s="70"/>
      <c r="J3" s="71"/>
      <c r="K3" s="71"/>
      <c r="L3" s="71"/>
      <c r="M3" s="71"/>
      <c r="N3" s="76"/>
      <c r="O3" s="77"/>
      <c r="P3" s="78"/>
      <c r="Q3" s="76"/>
      <c r="R3" s="78"/>
      <c r="T3" s="90"/>
      <c r="U3" s="90"/>
      <c r="V3" s="90"/>
      <c r="W3" s="90"/>
      <c r="X3" s="90"/>
      <c r="Y3" s="95"/>
      <c r="Z3" s="96"/>
      <c r="AA3" s="97"/>
      <c r="AB3" s="95"/>
      <c r="AC3" s="97"/>
      <c r="AE3" s="52" t="s">
        <v>178</v>
      </c>
      <c r="AF3" s="85" t="s">
        <v>177</v>
      </c>
      <c r="AG3" s="85"/>
      <c r="AH3" s="52" t="s">
        <v>178</v>
      </c>
      <c r="AI3" s="85" t="s">
        <v>177</v>
      </c>
      <c r="AJ3" s="85"/>
      <c r="AK3" s="52" t="s">
        <v>178</v>
      </c>
      <c r="AL3" s="85" t="s">
        <v>177</v>
      </c>
      <c r="AM3" s="85"/>
      <c r="AN3" s="52" t="s">
        <v>178</v>
      </c>
      <c r="AO3" s="85" t="s">
        <v>177</v>
      </c>
      <c r="AP3" s="85"/>
      <c r="AQ3" s="52" t="s">
        <v>178</v>
      </c>
      <c r="AR3" s="85" t="s">
        <v>177</v>
      </c>
      <c r="AS3" s="85"/>
    </row>
    <row r="4" spans="1:45" s="4" customFormat="1" ht="43.25" customHeight="1">
      <c r="A4" s="63"/>
      <c r="B4" s="64"/>
      <c r="C4" s="64"/>
      <c r="D4" s="19" t="s">
        <v>25</v>
      </c>
      <c r="E4" s="19" t="s">
        <v>26</v>
      </c>
      <c r="F4" s="19" t="s">
        <v>27</v>
      </c>
      <c r="G4" s="19" t="s">
        <v>28</v>
      </c>
      <c r="H4" s="19" t="s">
        <v>29</v>
      </c>
      <c r="J4" s="71"/>
      <c r="K4" s="72"/>
      <c r="L4" s="72"/>
      <c r="M4" s="72"/>
      <c r="N4" s="39" t="s">
        <v>25</v>
      </c>
      <c r="O4" s="39" t="s">
        <v>26</v>
      </c>
      <c r="P4" s="39" t="s">
        <v>27</v>
      </c>
      <c r="Q4" s="39" t="s">
        <v>28</v>
      </c>
      <c r="R4" s="39" t="s">
        <v>29</v>
      </c>
      <c r="T4" s="90"/>
      <c r="U4" s="91"/>
      <c r="V4" s="91"/>
      <c r="W4" s="91"/>
      <c r="X4" s="91"/>
      <c r="Y4" s="40" t="s">
        <v>25</v>
      </c>
      <c r="Z4" s="40" t="s">
        <v>26</v>
      </c>
      <c r="AA4" s="40" t="s">
        <v>27</v>
      </c>
      <c r="AB4" s="40" t="s">
        <v>28</v>
      </c>
      <c r="AC4" s="40" t="s">
        <v>29</v>
      </c>
      <c r="AE4" s="48"/>
      <c r="AF4" s="48" t="s">
        <v>0</v>
      </c>
      <c r="AG4" s="48" t="s">
        <v>1</v>
      </c>
      <c r="AH4" s="48"/>
      <c r="AI4" s="48" t="s">
        <v>0</v>
      </c>
      <c r="AJ4" s="48" t="s">
        <v>1</v>
      </c>
      <c r="AK4" s="48" t="s">
        <v>2</v>
      </c>
      <c r="AL4" s="48" t="s">
        <v>0</v>
      </c>
      <c r="AM4" s="48" t="s">
        <v>1</v>
      </c>
      <c r="AN4" s="49" t="s">
        <v>2</v>
      </c>
      <c r="AO4" s="49" t="s">
        <v>0</v>
      </c>
      <c r="AP4" s="49" t="s">
        <v>1</v>
      </c>
      <c r="AQ4" s="48" t="s">
        <v>2</v>
      </c>
      <c r="AR4" s="48" t="s">
        <v>0</v>
      </c>
      <c r="AS4" s="48" t="s">
        <v>1</v>
      </c>
    </row>
    <row r="5" spans="1:45">
      <c r="A5" s="24">
        <v>1</v>
      </c>
      <c r="B5" s="19" t="s">
        <v>30</v>
      </c>
      <c r="C5" s="19" t="s">
        <v>32</v>
      </c>
      <c r="D5" s="11">
        <v>301</v>
      </c>
      <c r="E5" s="9">
        <v>286</v>
      </c>
      <c r="F5" s="9">
        <v>294</v>
      </c>
      <c r="G5" s="9">
        <v>257</v>
      </c>
      <c r="H5" s="9">
        <v>257</v>
      </c>
      <c r="J5" s="21">
        <v>1</v>
      </c>
      <c r="K5" s="39" t="s">
        <v>30</v>
      </c>
      <c r="L5" s="39" t="s">
        <v>35</v>
      </c>
      <c r="M5" s="39" t="s">
        <v>38</v>
      </c>
      <c r="N5" s="9">
        <v>66.476790979540382</v>
      </c>
      <c r="O5" s="9">
        <v>67.915750458147798</v>
      </c>
      <c r="P5" s="9">
        <v>62.891877129198228</v>
      </c>
      <c r="Q5" s="9">
        <v>63.334076075887666</v>
      </c>
      <c r="R5" s="9">
        <v>63.54471071836749</v>
      </c>
      <c r="T5" s="23">
        <v>1</v>
      </c>
      <c r="U5" s="40" t="s">
        <v>30</v>
      </c>
      <c r="V5" s="40" t="s">
        <v>35</v>
      </c>
      <c r="W5" s="40" t="s">
        <v>32</v>
      </c>
      <c r="X5" s="40" t="s">
        <v>38</v>
      </c>
      <c r="Y5" s="11">
        <v>33411</v>
      </c>
      <c r="Z5" s="9">
        <v>28314</v>
      </c>
      <c r="AA5" s="9">
        <v>37926</v>
      </c>
      <c r="AB5" s="9">
        <v>29298</v>
      </c>
      <c r="AC5" s="9">
        <v>26728</v>
      </c>
      <c r="AE5" s="48" t="s">
        <v>3</v>
      </c>
      <c r="AF5" s="29">
        <v>600</v>
      </c>
      <c r="AG5" s="29">
        <v>505</v>
      </c>
      <c r="AH5" s="48" t="s">
        <v>3</v>
      </c>
      <c r="AI5" s="29">
        <v>600</v>
      </c>
      <c r="AJ5" s="29">
        <v>526</v>
      </c>
      <c r="AK5" s="48" t="s">
        <v>3</v>
      </c>
      <c r="AL5" s="29">
        <v>600</v>
      </c>
      <c r="AM5" s="29">
        <v>524</v>
      </c>
      <c r="AN5" s="48" t="s">
        <v>3</v>
      </c>
      <c r="AO5" s="29">
        <v>600</v>
      </c>
      <c r="AP5" s="29">
        <v>584</v>
      </c>
      <c r="AQ5" s="48" t="s">
        <v>3</v>
      </c>
      <c r="AR5" s="29">
        <v>600</v>
      </c>
      <c r="AS5" s="29">
        <v>517</v>
      </c>
    </row>
    <row r="6" spans="1:45">
      <c r="A6" s="24">
        <v>2</v>
      </c>
      <c r="B6" s="19" t="s">
        <v>30</v>
      </c>
      <c r="C6" s="19" t="s">
        <v>33</v>
      </c>
      <c r="D6" s="11">
        <v>408</v>
      </c>
      <c r="E6" s="9">
        <v>393</v>
      </c>
      <c r="F6" s="9">
        <v>413</v>
      </c>
      <c r="G6" s="9">
        <v>363</v>
      </c>
      <c r="H6" s="9">
        <v>380</v>
      </c>
      <c r="J6" s="21">
        <v>2</v>
      </c>
      <c r="K6" s="39" t="s">
        <v>30</v>
      </c>
      <c r="L6" s="39" t="s">
        <v>41</v>
      </c>
      <c r="M6" s="39" t="s">
        <v>34</v>
      </c>
      <c r="N6" s="9">
        <v>100.27328325762609</v>
      </c>
      <c r="O6" s="9">
        <v>96.192050434569452</v>
      </c>
      <c r="P6" s="9">
        <v>80.360877176789927</v>
      </c>
      <c r="Q6" s="9">
        <v>84.478792252364585</v>
      </c>
      <c r="R6" s="9">
        <v>93.493574830093806</v>
      </c>
      <c r="T6" s="23">
        <v>2</v>
      </c>
      <c r="U6" s="40" t="s">
        <v>30</v>
      </c>
      <c r="V6" s="40" t="s">
        <v>41</v>
      </c>
      <c r="W6" s="40" t="s">
        <v>34</v>
      </c>
      <c r="X6" s="40" t="s">
        <v>42</v>
      </c>
      <c r="Y6" s="11">
        <v>182925</v>
      </c>
      <c r="Z6" s="9">
        <v>190314</v>
      </c>
      <c r="AA6" s="9">
        <v>246656</v>
      </c>
      <c r="AB6" s="9">
        <v>185356</v>
      </c>
      <c r="AC6" s="9">
        <v>194922</v>
      </c>
      <c r="AE6" s="48" t="s">
        <v>4</v>
      </c>
      <c r="AF6" s="29">
        <v>489</v>
      </c>
      <c r="AG6" s="29">
        <v>760</v>
      </c>
      <c r="AH6" s="48" t="s">
        <v>4</v>
      </c>
      <c r="AI6" s="29">
        <v>501</v>
      </c>
      <c r="AJ6" s="29">
        <v>770</v>
      </c>
      <c r="AK6" s="48" t="s">
        <v>4</v>
      </c>
      <c r="AL6" s="29">
        <v>471</v>
      </c>
      <c r="AM6" s="29">
        <v>776</v>
      </c>
      <c r="AN6" s="48" t="s">
        <v>4</v>
      </c>
      <c r="AO6" s="29">
        <v>486</v>
      </c>
      <c r="AP6" s="29">
        <v>811</v>
      </c>
      <c r="AQ6" s="48" t="s">
        <v>4</v>
      </c>
      <c r="AR6" s="29">
        <v>496</v>
      </c>
      <c r="AS6" s="29">
        <v>726</v>
      </c>
    </row>
    <row r="7" spans="1:45">
      <c r="A7" s="24">
        <v>3</v>
      </c>
      <c r="B7" s="19" t="s">
        <v>30</v>
      </c>
      <c r="C7" s="19" t="s">
        <v>34</v>
      </c>
      <c r="D7" s="11">
        <v>675</v>
      </c>
      <c r="E7" s="9">
        <v>654</v>
      </c>
      <c r="F7" s="9">
        <v>656</v>
      </c>
      <c r="G7" s="9">
        <v>596</v>
      </c>
      <c r="H7" s="9">
        <v>663</v>
      </c>
      <c r="J7" s="21">
        <v>3</v>
      </c>
      <c r="K7" s="39" t="s">
        <v>30</v>
      </c>
      <c r="L7" s="39" t="s">
        <v>44</v>
      </c>
      <c r="M7" s="39" t="s">
        <v>32</v>
      </c>
      <c r="N7" s="9">
        <v>51.074045883052094</v>
      </c>
      <c r="O7" s="9">
        <v>44.891642459153985</v>
      </c>
      <c r="P7" s="9">
        <v>39.793544270545731</v>
      </c>
      <c r="Q7" s="9">
        <v>34.708045975087607</v>
      </c>
      <c r="R7" s="9">
        <v>39.532717907790406</v>
      </c>
      <c r="T7" s="23">
        <v>3</v>
      </c>
      <c r="U7" s="40" t="s">
        <v>41</v>
      </c>
      <c r="V7" s="40" t="s">
        <v>39</v>
      </c>
      <c r="W7" s="40" t="s">
        <v>34</v>
      </c>
      <c r="X7" s="40" t="s">
        <v>42</v>
      </c>
      <c r="Y7" s="11">
        <v>75182</v>
      </c>
      <c r="Z7" s="9">
        <v>93057.5</v>
      </c>
      <c r="AA7" s="9">
        <v>100896</v>
      </c>
      <c r="AB7" s="9">
        <v>69868</v>
      </c>
      <c r="AC7" s="9">
        <v>71792</v>
      </c>
      <c r="AE7" s="48" t="s">
        <v>5</v>
      </c>
      <c r="AF7" s="29">
        <v>600</v>
      </c>
      <c r="AG7" s="29">
        <v>806</v>
      </c>
      <c r="AH7" s="48" t="s">
        <v>5</v>
      </c>
      <c r="AI7" s="29">
        <v>600</v>
      </c>
      <c r="AJ7" s="29">
        <v>812</v>
      </c>
      <c r="AK7" s="48" t="s">
        <v>5</v>
      </c>
      <c r="AL7" s="29">
        <v>600</v>
      </c>
      <c r="AM7" s="29">
        <v>818</v>
      </c>
      <c r="AN7" s="48" t="s">
        <v>5</v>
      </c>
      <c r="AO7" s="29">
        <v>600</v>
      </c>
      <c r="AP7" s="29">
        <v>841</v>
      </c>
      <c r="AQ7" s="48" t="s">
        <v>5</v>
      </c>
      <c r="AR7" s="29">
        <v>600</v>
      </c>
      <c r="AS7" s="29">
        <v>774</v>
      </c>
    </row>
    <row r="8" spans="1:45" ht="15.75" customHeight="1">
      <c r="A8" s="24">
        <v>4</v>
      </c>
      <c r="B8" s="19" t="s">
        <v>35</v>
      </c>
      <c r="C8" s="19" t="s">
        <v>38</v>
      </c>
      <c r="D8" s="11">
        <v>222</v>
      </c>
      <c r="E8" s="9">
        <v>198</v>
      </c>
      <c r="F8" s="9">
        <v>258</v>
      </c>
      <c r="G8" s="9">
        <v>228</v>
      </c>
      <c r="H8" s="9">
        <v>208</v>
      </c>
      <c r="J8" s="21">
        <v>4</v>
      </c>
      <c r="K8" s="39" t="s">
        <v>35</v>
      </c>
      <c r="L8" s="39" t="s">
        <v>32</v>
      </c>
      <c r="M8" s="39" t="s">
        <v>38</v>
      </c>
      <c r="N8" s="9">
        <v>134.98035605422555</v>
      </c>
      <c r="O8" s="9">
        <v>134.02256639583874</v>
      </c>
      <c r="P8" s="9">
        <v>143.93142886574026</v>
      </c>
      <c r="Q8" s="9">
        <v>150.51287432705854</v>
      </c>
      <c r="R8" s="9">
        <v>130.44971886233617</v>
      </c>
      <c r="T8" s="23">
        <v>4</v>
      </c>
      <c r="U8" s="40" t="s">
        <v>46</v>
      </c>
      <c r="V8" s="40" t="s">
        <v>43</v>
      </c>
      <c r="W8" s="40" t="s">
        <v>33</v>
      </c>
      <c r="X8" s="40" t="s">
        <v>47</v>
      </c>
      <c r="Y8" s="11">
        <v>344114</v>
      </c>
      <c r="Z8" s="9">
        <v>335205</v>
      </c>
      <c r="AA8" s="9">
        <v>406379.5</v>
      </c>
      <c r="AB8" s="9">
        <v>431226.5</v>
      </c>
      <c r="AC8" s="9">
        <v>314208</v>
      </c>
      <c r="AE8" s="48" t="s">
        <v>6</v>
      </c>
      <c r="AF8" s="29">
        <f>AF7+(AF7-AF6)</f>
        <v>711</v>
      </c>
      <c r="AG8" s="29">
        <f>AG6</f>
        <v>760</v>
      </c>
      <c r="AH8" s="48" t="s">
        <v>6</v>
      </c>
      <c r="AI8" s="29">
        <f>AI7+(AI7-AI6)</f>
        <v>699</v>
      </c>
      <c r="AJ8" s="29">
        <f>AJ6</f>
        <v>770</v>
      </c>
      <c r="AK8" s="48" t="s">
        <v>6</v>
      </c>
      <c r="AL8" s="29">
        <f t="shared" ref="AL8" si="0">AL7+(AL7-AL6)</f>
        <v>729</v>
      </c>
      <c r="AM8" s="29">
        <f t="shared" ref="AM8" si="1">AM6</f>
        <v>776</v>
      </c>
      <c r="AN8" s="48" t="s">
        <v>6</v>
      </c>
      <c r="AO8" s="29">
        <f t="shared" ref="AO8" si="2">AO7+(AO7-AO6)</f>
        <v>714</v>
      </c>
      <c r="AP8" s="29">
        <f t="shared" ref="AP8" si="3">AP6</f>
        <v>811</v>
      </c>
      <c r="AQ8" s="48" t="s">
        <v>6</v>
      </c>
      <c r="AR8" s="29">
        <f t="shared" ref="AR8" si="4">AR7+(AR7-AR6)</f>
        <v>704</v>
      </c>
      <c r="AS8" s="29">
        <f t="shared" ref="AS8" si="5">AS6</f>
        <v>726</v>
      </c>
    </row>
    <row r="9" spans="1:45" ht="15.75" customHeight="1">
      <c r="A9" s="24">
        <v>5</v>
      </c>
      <c r="B9" s="19" t="s">
        <v>32</v>
      </c>
      <c r="C9" s="19" t="s">
        <v>33</v>
      </c>
      <c r="D9" s="11">
        <v>107</v>
      </c>
      <c r="E9" s="9">
        <v>107</v>
      </c>
      <c r="F9" s="9">
        <v>119</v>
      </c>
      <c r="G9" s="9">
        <v>106</v>
      </c>
      <c r="H9" s="9">
        <v>123</v>
      </c>
      <c r="J9" s="21">
        <v>5</v>
      </c>
      <c r="K9" s="39" t="s">
        <v>39</v>
      </c>
      <c r="L9" s="39" t="s">
        <v>34</v>
      </c>
      <c r="M9" s="39" t="s">
        <v>40</v>
      </c>
      <c r="N9" s="9">
        <v>133.33191744658049</v>
      </c>
      <c r="O9" s="9">
        <v>142.43457653278776</v>
      </c>
      <c r="P9" s="9">
        <v>154.86041638464258</v>
      </c>
      <c r="Q9" s="9">
        <v>153.13794225863663</v>
      </c>
      <c r="R9" s="9">
        <v>142.7686159853379</v>
      </c>
      <c r="T9" s="23">
        <v>5</v>
      </c>
      <c r="U9" s="40" t="s">
        <v>48</v>
      </c>
      <c r="V9" s="40" t="s">
        <v>43</v>
      </c>
      <c r="W9" s="40" t="s">
        <v>34</v>
      </c>
      <c r="X9" s="40" t="s">
        <v>44</v>
      </c>
      <c r="Y9" s="11">
        <v>331380</v>
      </c>
      <c r="Z9" s="9">
        <v>407934</v>
      </c>
      <c r="AA9" s="9">
        <v>455220</v>
      </c>
      <c r="AB9" s="9">
        <v>387984</v>
      </c>
      <c r="AC9" s="9">
        <v>396274</v>
      </c>
      <c r="AE9" s="48" t="s">
        <v>77</v>
      </c>
      <c r="AF9" s="29">
        <v>600</v>
      </c>
      <c r="AG9" s="29">
        <v>913</v>
      </c>
      <c r="AH9" s="48" t="s">
        <v>77</v>
      </c>
      <c r="AI9" s="29">
        <v>600</v>
      </c>
      <c r="AJ9" s="29">
        <v>919</v>
      </c>
      <c r="AK9" s="48" t="s">
        <v>77</v>
      </c>
      <c r="AL9" s="29">
        <v>600</v>
      </c>
      <c r="AM9" s="29">
        <v>937</v>
      </c>
      <c r="AN9" s="48" t="s">
        <v>77</v>
      </c>
      <c r="AO9" s="29">
        <v>600</v>
      </c>
      <c r="AP9" s="29">
        <v>947</v>
      </c>
      <c r="AQ9" s="48" t="s">
        <v>77</v>
      </c>
      <c r="AR9" s="29">
        <v>600</v>
      </c>
      <c r="AS9" s="29">
        <v>897</v>
      </c>
    </row>
    <row r="10" spans="1:45">
      <c r="A10" s="24">
        <v>6</v>
      </c>
      <c r="B10" s="19" t="s">
        <v>32</v>
      </c>
      <c r="C10" s="19" t="s">
        <v>34</v>
      </c>
      <c r="D10" s="11">
        <v>374</v>
      </c>
      <c r="E10" s="9">
        <v>368</v>
      </c>
      <c r="F10" s="9">
        <v>362</v>
      </c>
      <c r="G10" s="9">
        <v>339</v>
      </c>
      <c r="H10" s="9">
        <v>406</v>
      </c>
      <c r="J10" s="21">
        <v>6</v>
      </c>
      <c r="K10" s="39" t="s">
        <v>40</v>
      </c>
      <c r="L10" s="39" t="s">
        <v>34</v>
      </c>
      <c r="M10" s="39" t="s">
        <v>62</v>
      </c>
      <c r="N10" s="9">
        <v>23.33404127670973</v>
      </c>
      <c r="O10" s="9">
        <v>17.981429696964021</v>
      </c>
      <c r="P10" s="9">
        <v>12.569791807678753</v>
      </c>
      <c r="Q10" s="9">
        <v>13.431028870681651</v>
      </c>
      <c r="R10" s="9">
        <v>18.615692007331003</v>
      </c>
      <c r="T10" s="23">
        <v>6</v>
      </c>
      <c r="U10" s="40" t="s">
        <v>52</v>
      </c>
      <c r="V10" s="40" t="s">
        <v>51</v>
      </c>
      <c r="W10" s="40" t="s">
        <v>54</v>
      </c>
      <c r="X10" s="40" t="s">
        <v>50</v>
      </c>
      <c r="Y10" s="11">
        <v>4411</v>
      </c>
      <c r="Z10" s="9">
        <v>5563</v>
      </c>
      <c r="AA10" s="9">
        <v>5269</v>
      </c>
      <c r="AB10" s="9">
        <v>5132</v>
      </c>
      <c r="AC10" s="9">
        <v>4661</v>
      </c>
      <c r="AE10" s="48" t="s">
        <v>8</v>
      </c>
      <c r="AF10" s="29">
        <v>498</v>
      </c>
      <c r="AG10" s="29">
        <v>1136</v>
      </c>
      <c r="AH10" s="48" t="s">
        <v>8</v>
      </c>
      <c r="AI10" s="29">
        <v>496</v>
      </c>
      <c r="AJ10" s="29">
        <v>1143</v>
      </c>
      <c r="AK10" s="48" t="s">
        <v>8</v>
      </c>
      <c r="AL10" s="29">
        <v>452</v>
      </c>
      <c r="AM10" s="29">
        <v>1147</v>
      </c>
      <c r="AN10" s="48" t="s">
        <v>8</v>
      </c>
      <c r="AO10" s="29">
        <v>466</v>
      </c>
      <c r="AP10" s="29">
        <v>1148</v>
      </c>
      <c r="AQ10" s="48" t="s">
        <v>8</v>
      </c>
      <c r="AR10" s="29">
        <v>505</v>
      </c>
      <c r="AS10" s="29">
        <v>1148</v>
      </c>
    </row>
    <row r="11" spans="1:45">
      <c r="A11" s="24">
        <v>7</v>
      </c>
      <c r="B11" s="19" t="s">
        <v>39</v>
      </c>
      <c r="C11" s="19" t="s">
        <v>40</v>
      </c>
      <c r="D11" s="11">
        <v>204</v>
      </c>
      <c r="E11" s="9">
        <v>218</v>
      </c>
      <c r="F11" s="9">
        <v>296</v>
      </c>
      <c r="G11" s="9">
        <v>268</v>
      </c>
      <c r="H11" s="9">
        <v>190</v>
      </c>
      <c r="J11" s="21">
        <v>7</v>
      </c>
      <c r="K11" s="39" t="s">
        <v>41</v>
      </c>
      <c r="L11" s="39" t="s">
        <v>34</v>
      </c>
      <c r="M11" s="39" t="s">
        <v>62</v>
      </c>
      <c r="N11" s="9">
        <v>137.08057605015446</v>
      </c>
      <c r="O11" s="9">
        <v>135.39650425513312</v>
      </c>
      <c r="P11" s="9">
        <v>147.66705992500786</v>
      </c>
      <c r="Q11" s="9">
        <v>147.51688847081437</v>
      </c>
      <c r="R11" s="9">
        <v>142.69605172201656</v>
      </c>
      <c r="T11" s="23">
        <v>7</v>
      </c>
      <c r="U11" s="40" t="s">
        <v>76</v>
      </c>
      <c r="V11" s="40" t="s">
        <v>73</v>
      </c>
      <c r="W11" s="40" t="s">
        <v>75</v>
      </c>
      <c r="X11" s="40" t="s">
        <v>74</v>
      </c>
      <c r="Y11" s="11">
        <v>3556.5</v>
      </c>
      <c r="Z11" s="9">
        <v>2637</v>
      </c>
      <c r="AA11" s="9">
        <v>5371</v>
      </c>
      <c r="AB11" s="9">
        <v>3486.5</v>
      </c>
      <c r="AC11" s="9">
        <v>2704</v>
      </c>
      <c r="AE11" s="48" t="s">
        <v>9</v>
      </c>
      <c r="AF11" s="29">
        <v>600</v>
      </c>
      <c r="AG11" s="29">
        <v>1180</v>
      </c>
      <c r="AH11" s="48" t="s">
        <v>9</v>
      </c>
      <c r="AI11" s="29">
        <v>600</v>
      </c>
      <c r="AJ11" s="29">
        <v>1180</v>
      </c>
      <c r="AK11" s="48" t="s">
        <v>9</v>
      </c>
      <c r="AL11" s="29">
        <v>600</v>
      </c>
      <c r="AM11" s="29">
        <v>1180</v>
      </c>
      <c r="AN11" s="48" t="s">
        <v>9</v>
      </c>
      <c r="AO11" s="29">
        <v>600</v>
      </c>
      <c r="AP11" s="29">
        <v>1180</v>
      </c>
      <c r="AQ11" s="48" t="s">
        <v>9</v>
      </c>
      <c r="AR11" s="29">
        <v>600</v>
      </c>
      <c r="AS11" s="29">
        <v>1180</v>
      </c>
    </row>
    <row r="12" spans="1:45">
      <c r="A12" s="24">
        <v>8</v>
      </c>
      <c r="B12" s="19" t="s">
        <v>41</v>
      </c>
      <c r="C12" s="19" t="s">
        <v>42</v>
      </c>
      <c r="D12" s="11">
        <v>542</v>
      </c>
      <c r="E12" s="9">
        <v>582</v>
      </c>
      <c r="F12" s="9">
        <v>752</v>
      </c>
      <c r="G12" s="9">
        <v>622</v>
      </c>
      <c r="H12" s="9">
        <v>588</v>
      </c>
      <c r="J12" s="21">
        <v>8</v>
      </c>
      <c r="K12" s="39" t="s">
        <v>42</v>
      </c>
      <c r="L12" s="39" t="s">
        <v>34</v>
      </c>
      <c r="M12" s="39" t="s">
        <v>62</v>
      </c>
      <c r="N12" s="9">
        <v>42.919423949845552</v>
      </c>
      <c r="O12" s="9">
        <v>44.603495744866876</v>
      </c>
      <c r="P12" s="9">
        <v>32.332940074992145</v>
      </c>
      <c r="Q12" s="9">
        <v>32.483111529185614</v>
      </c>
      <c r="R12" s="9">
        <v>37.303948277983437</v>
      </c>
      <c r="T12" s="23">
        <v>8</v>
      </c>
      <c r="U12" s="40"/>
      <c r="V12" s="40"/>
      <c r="W12" s="40"/>
      <c r="X12" s="40"/>
      <c r="Y12" s="11"/>
      <c r="Z12" s="9"/>
      <c r="AA12" s="9"/>
      <c r="AB12" s="9"/>
      <c r="AC12" s="9"/>
      <c r="AE12" s="48" t="s">
        <v>10</v>
      </c>
      <c r="AF12" s="29">
        <f>AF11+(AF11-AF10)</f>
        <v>702</v>
      </c>
      <c r="AG12" s="29">
        <f>AG10</f>
        <v>1136</v>
      </c>
      <c r="AH12" s="48" t="s">
        <v>10</v>
      </c>
      <c r="AI12" s="29">
        <v>714</v>
      </c>
      <c r="AJ12" s="29">
        <f>AJ10</f>
        <v>1143</v>
      </c>
      <c r="AK12" s="48" t="s">
        <v>10</v>
      </c>
      <c r="AL12" s="29">
        <f t="shared" ref="AL12" si="6">AL11+(AL11-AL10)</f>
        <v>748</v>
      </c>
      <c r="AM12" s="29">
        <f t="shared" ref="AM12" si="7">AM10</f>
        <v>1147</v>
      </c>
      <c r="AN12" s="48" t="s">
        <v>10</v>
      </c>
      <c r="AO12" s="29">
        <f t="shared" ref="AO12" si="8">AO11+(AO11-AO10)</f>
        <v>734</v>
      </c>
      <c r="AP12" s="29">
        <f t="shared" ref="AP12" si="9">AP10</f>
        <v>1148</v>
      </c>
      <c r="AQ12" s="48" t="s">
        <v>10</v>
      </c>
      <c r="AR12" s="29">
        <f t="shared" ref="AR12" si="10">AR11+(AR11-AR10)</f>
        <v>695</v>
      </c>
      <c r="AS12" s="29">
        <f t="shared" ref="AS12" si="11">AS10</f>
        <v>1148</v>
      </c>
    </row>
    <row r="13" spans="1:45">
      <c r="A13" s="24">
        <v>9</v>
      </c>
      <c r="B13" s="19" t="s">
        <v>43</v>
      </c>
      <c r="C13" s="19" t="s">
        <v>44</v>
      </c>
      <c r="D13" s="11">
        <v>630</v>
      </c>
      <c r="E13" s="9">
        <v>692</v>
      </c>
      <c r="F13" s="9">
        <v>810</v>
      </c>
      <c r="G13" s="9">
        <v>822</v>
      </c>
      <c r="H13" s="9">
        <v>694</v>
      </c>
      <c r="J13" s="21">
        <v>9</v>
      </c>
      <c r="K13" s="39" t="s">
        <v>43</v>
      </c>
      <c r="L13" s="39" t="s">
        <v>41</v>
      </c>
      <c r="M13" s="39" t="s">
        <v>34</v>
      </c>
      <c r="N13" s="9">
        <v>142.04232015522402</v>
      </c>
      <c r="O13" s="9">
        <v>148.88912079146172</v>
      </c>
      <c r="P13" s="9">
        <v>129.00255991730447</v>
      </c>
      <c r="Q13" s="9">
        <v>142.20195573580654</v>
      </c>
      <c r="R13" s="9">
        <v>139.46231429862451</v>
      </c>
      <c r="T13" s="23">
        <v>9</v>
      </c>
      <c r="U13" s="40"/>
      <c r="V13" s="40"/>
      <c r="W13" s="40"/>
      <c r="X13" s="40"/>
      <c r="Y13" s="11"/>
      <c r="Z13" s="9"/>
      <c r="AA13" s="9"/>
      <c r="AB13" s="9"/>
      <c r="AC13" s="9"/>
      <c r="AE13" s="48" t="s">
        <v>11</v>
      </c>
      <c r="AF13" s="29">
        <v>329</v>
      </c>
      <c r="AG13" s="29">
        <v>928</v>
      </c>
      <c r="AH13" s="48" t="s">
        <v>11</v>
      </c>
      <c r="AI13" s="29">
        <v>309</v>
      </c>
      <c r="AJ13" s="29">
        <v>893</v>
      </c>
      <c r="AK13" s="48" t="s">
        <v>11</v>
      </c>
      <c r="AL13" s="29">
        <v>224</v>
      </c>
      <c r="AM13" s="29">
        <v>942</v>
      </c>
      <c r="AN13" s="48" t="s">
        <v>11</v>
      </c>
      <c r="AO13" s="29">
        <v>289</v>
      </c>
      <c r="AP13" s="29">
        <v>982</v>
      </c>
      <c r="AQ13" s="48" t="s">
        <v>11</v>
      </c>
      <c r="AR13" s="29">
        <v>306</v>
      </c>
      <c r="AS13" s="29">
        <v>956</v>
      </c>
    </row>
    <row r="14" spans="1:45">
      <c r="A14" s="24">
        <v>10</v>
      </c>
      <c r="B14" s="19" t="s">
        <v>45</v>
      </c>
      <c r="C14" s="19" t="s">
        <v>43</v>
      </c>
      <c r="D14" s="11">
        <v>56.435804238089851</v>
      </c>
      <c r="E14" s="9">
        <v>72.835430938520574</v>
      </c>
      <c r="F14" s="9">
        <v>98.005101908012932</v>
      </c>
      <c r="G14" s="9">
        <v>64.007812023221035</v>
      </c>
      <c r="H14" s="9">
        <v>52.810983706043572</v>
      </c>
      <c r="J14" s="21">
        <v>10</v>
      </c>
      <c r="K14" s="39" t="s">
        <v>44</v>
      </c>
      <c r="L14" s="39" t="s">
        <v>32</v>
      </c>
      <c r="M14" s="39" t="s">
        <v>62</v>
      </c>
      <c r="N14" s="9">
        <v>58.574192716215983</v>
      </c>
      <c r="O14" s="9">
        <v>53.708829734521117</v>
      </c>
      <c r="P14" s="9">
        <v>48.993016308057442</v>
      </c>
      <c r="Q14" s="9">
        <v>48.865871893455157</v>
      </c>
      <c r="R14" s="9">
        <v>45.442102806224085</v>
      </c>
      <c r="T14" s="23">
        <v>10</v>
      </c>
      <c r="U14" s="40"/>
      <c r="V14" s="40"/>
      <c r="W14" s="40"/>
      <c r="X14" s="40"/>
      <c r="Y14" s="11"/>
      <c r="Z14" s="9"/>
      <c r="AA14" s="9"/>
      <c r="AB14" s="9"/>
      <c r="AC14" s="9"/>
      <c r="AE14" s="48" t="s">
        <v>12</v>
      </c>
      <c r="AF14" s="29">
        <f>600+(600-AF13)</f>
        <v>871</v>
      </c>
      <c r="AG14" s="29">
        <f>AG13</f>
        <v>928</v>
      </c>
      <c r="AH14" s="48" t="s">
        <v>12</v>
      </c>
      <c r="AI14" s="29">
        <f>600+(600-AI13)</f>
        <v>891</v>
      </c>
      <c r="AJ14" s="29">
        <f>AJ13</f>
        <v>893</v>
      </c>
      <c r="AK14" s="48" t="s">
        <v>12</v>
      </c>
      <c r="AL14" s="29">
        <f t="shared" ref="AL14" si="12">600+(600-AL13)</f>
        <v>976</v>
      </c>
      <c r="AM14" s="29">
        <f t="shared" ref="AM14" si="13">AM13</f>
        <v>942</v>
      </c>
      <c r="AN14" s="48" t="s">
        <v>12</v>
      </c>
      <c r="AO14" s="29">
        <f t="shared" ref="AO14" si="14">600+(600-AO13)</f>
        <v>911</v>
      </c>
      <c r="AP14" s="29">
        <f t="shared" ref="AP14" si="15">AP13</f>
        <v>982</v>
      </c>
      <c r="AQ14" s="48" t="s">
        <v>12</v>
      </c>
      <c r="AR14" s="29">
        <f t="shared" ref="AR14" si="16">600+(600-AR13)</f>
        <v>894</v>
      </c>
      <c r="AS14" s="29">
        <f t="shared" ref="AS14" si="17">AS13</f>
        <v>956</v>
      </c>
    </row>
    <row r="15" spans="1:45">
      <c r="A15" s="24">
        <v>11</v>
      </c>
      <c r="B15" s="19" t="s">
        <v>46</v>
      </c>
      <c r="C15" s="19" t="s">
        <v>47</v>
      </c>
      <c r="D15" s="11">
        <v>604</v>
      </c>
      <c r="E15" s="9">
        <v>630</v>
      </c>
      <c r="F15" s="9">
        <v>646</v>
      </c>
      <c r="G15" s="9">
        <v>796</v>
      </c>
      <c r="H15" s="9">
        <v>572</v>
      </c>
      <c r="J15" s="21">
        <v>11</v>
      </c>
      <c r="K15" s="39" t="s">
        <v>44</v>
      </c>
      <c r="L15" s="39" t="s">
        <v>33</v>
      </c>
      <c r="M15" s="39" t="s">
        <v>62</v>
      </c>
      <c r="N15" s="9">
        <v>64.1465369620866</v>
      </c>
      <c r="O15" s="9">
        <v>59.197531998221329</v>
      </c>
      <c r="P15" s="9">
        <v>53.695759865639708</v>
      </c>
      <c r="Q15" s="9">
        <v>52.583020534304573</v>
      </c>
      <c r="R15" s="9">
        <v>54.329629445521334</v>
      </c>
      <c r="T15" s="23">
        <v>11</v>
      </c>
      <c r="U15" s="40"/>
      <c r="V15" s="40"/>
      <c r="W15" s="40"/>
      <c r="X15" s="40"/>
      <c r="Y15" s="11"/>
      <c r="Z15" s="9"/>
      <c r="AA15" s="9"/>
      <c r="AB15" s="9"/>
      <c r="AC15" s="9"/>
      <c r="AE15" s="48" t="s">
        <v>13</v>
      </c>
      <c r="AF15" s="29">
        <v>285</v>
      </c>
      <c r="AG15" s="29">
        <v>654</v>
      </c>
      <c r="AH15" s="48" t="s">
        <v>13</v>
      </c>
      <c r="AI15" s="29">
        <v>254</v>
      </c>
      <c r="AJ15" s="29">
        <v>677</v>
      </c>
      <c r="AK15" s="48" t="s">
        <v>13</v>
      </c>
      <c r="AL15" s="29">
        <v>195</v>
      </c>
      <c r="AM15" s="29">
        <v>694</v>
      </c>
      <c r="AN15" s="48" t="s">
        <v>13</v>
      </c>
      <c r="AO15" s="29">
        <v>189</v>
      </c>
      <c r="AP15" s="29">
        <v>703</v>
      </c>
      <c r="AQ15" s="48" t="s">
        <v>13</v>
      </c>
      <c r="AR15" s="29">
        <v>253</v>
      </c>
      <c r="AS15" s="29">
        <v>710</v>
      </c>
    </row>
    <row r="16" spans="1:45" ht="15.75" customHeight="1">
      <c r="A16" s="24">
        <v>12</v>
      </c>
      <c r="B16" s="19" t="s">
        <v>48</v>
      </c>
      <c r="C16" s="19" t="s">
        <v>30</v>
      </c>
      <c r="D16" s="11">
        <v>377</v>
      </c>
      <c r="E16" s="9">
        <v>525</v>
      </c>
      <c r="F16" s="9">
        <v>468</v>
      </c>
      <c r="G16" s="9">
        <v>348</v>
      </c>
      <c r="H16" s="9">
        <v>479</v>
      </c>
      <c r="J16" s="21">
        <v>12</v>
      </c>
      <c r="K16" s="39" t="s">
        <v>47</v>
      </c>
      <c r="L16" s="39" t="s">
        <v>30</v>
      </c>
      <c r="M16" s="39" t="s">
        <v>62</v>
      </c>
      <c r="N16" s="9">
        <v>103.99527755023018</v>
      </c>
      <c r="O16" s="9">
        <v>98.174714651880606</v>
      </c>
      <c r="P16" s="9">
        <v>101.92366377008513</v>
      </c>
      <c r="Q16" s="9">
        <v>93.125230853583957</v>
      </c>
      <c r="R16" s="9">
        <v>100.50950896102472</v>
      </c>
      <c r="T16" s="23">
        <v>12</v>
      </c>
      <c r="U16" s="40"/>
      <c r="V16" s="40"/>
      <c r="W16" s="40"/>
      <c r="X16" s="40"/>
      <c r="Y16" s="11"/>
      <c r="Z16" s="9"/>
      <c r="AA16" s="9"/>
      <c r="AB16" s="9"/>
      <c r="AC16" s="9"/>
      <c r="AE16" s="48" t="s">
        <v>14</v>
      </c>
      <c r="AF16" s="29">
        <f>600+(600-AF15)</f>
        <v>915</v>
      </c>
      <c r="AG16" s="29">
        <f>AG15</f>
        <v>654</v>
      </c>
      <c r="AH16" s="48" t="s">
        <v>14</v>
      </c>
      <c r="AI16" s="29">
        <f>600+(600-AI15)</f>
        <v>946</v>
      </c>
      <c r="AJ16" s="29">
        <f>AJ15</f>
        <v>677</v>
      </c>
      <c r="AK16" s="48" t="s">
        <v>14</v>
      </c>
      <c r="AL16" s="29">
        <f t="shared" ref="AL16" si="18">600+(600-AL15)</f>
        <v>1005</v>
      </c>
      <c r="AM16" s="29">
        <f t="shared" ref="AM16" si="19">AM15</f>
        <v>694</v>
      </c>
      <c r="AN16" s="48" t="s">
        <v>14</v>
      </c>
      <c r="AO16" s="29">
        <f t="shared" ref="AO16" si="20">600+(600-AO15)</f>
        <v>1011</v>
      </c>
      <c r="AP16" s="29">
        <f t="shared" ref="AP16" si="21">AP15</f>
        <v>703</v>
      </c>
      <c r="AQ16" s="48" t="s">
        <v>14</v>
      </c>
      <c r="AR16" s="29">
        <f t="shared" ref="AR16" si="22">600+(600-AR15)</f>
        <v>947</v>
      </c>
      <c r="AS16" s="29">
        <f t="shared" ref="AS16" si="23">AS15</f>
        <v>710</v>
      </c>
    </row>
    <row r="17" spans="1:45" ht="15.75" customHeight="1">
      <c r="A17" s="24">
        <v>13</v>
      </c>
      <c r="B17" s="19" t="s">
        <v>48</v>
      </c>
      <c r="C17" s="19" t="s">
        <v>32</v>
      </c>
      <c r="D17" s="11">
        <v>678</v>
      </c>
      <c r="E17" s="9">
        <v>811</v>
      </c>
      <c r="F17" s="9">
        <v>762</v>
      </c>
      <c r="G17" s="9">
        <v>605</v>
      </c>
      <c r="H17" s="9">
        <v>736</v>
      </c>
      <c r="J17" s="21">
        <v>13</v>
      </c>
      <c r="K17" s="39" t="s">
        <v>47</v>
      </c>
      <c r="L17" s="39" t="s">
        <v>48</v>
      </c>
      <c r="M17" s="39" t="s">
        <v>62</v>
      </c>
      <c r="N17" s="9">
        <v>70.346721236927465</v>
      </c>
      <c r="O17" s="9">
        <v>37.898966567139666</v>
      </c>
      <c r="P17" s="9">
        <v>56.872114273314303</v>
      </c>
      <c r="Q17" s="9">
        <v>70.350828178260926</v>
      </c>
      <c r="R17" s="9">
        <v>40.825830734006246</v>
      </c>
      <c r="T17" s="23">
        <v>13</v>
      </c>
      <c r="U17" s="40"/>
      <c r="V17" s="40"/>
      <c r="W17" s="40"/>
      <c r="X17" s="40"/>
      <c r="Y17" s="11"/>
      <c r="Z17" s="9"/>
      <c r="AA17" s="9"/>
      <c r="AB17" s="9"/>
      <c r="AC17" s="9"/>
      <c r="AE17" s="48" t="s">
        <v>15</v>
      </c>
      <c r="AF17" s="29">
        <v>229</v>
      </c>
      <c r="AG17" s="29">
        <v>661</v>
      </c>
      <c r="AH17" s="48" t="s">
        <v>15</v>
      </c>
      <c r="AI17" s="29">
        <v>182</v>
      </c>
      <c r="AJ17" s="29">
        <v>688</v>
      </c>
      <c r="AK17" s="48" t="s">
        <v>15</v>
      </c>
      <c r="AL17" s="29">
        <v>97</v>
      </c>
      <c r="AM17" s="29">
        <v>695</v>
      </c>
      <c r="AN17" s="48" t="s">
        <v>15</v>
      </c>
      <c r="AO17" s="29">
        <v>125</v>
      </c>
      <c r="AP17" s="29">
        <v>704</v>
      </c>
      <c r="AQ17" s="48" t="s">
        <v>15</v>
      </c>
      <c r="AR17" s="29">
        <v>203</v>
      </c>
      <c r="AS17" s="29">
        <v>693</v>
      </c>
    </row>
    <row r="18" spans="1:45">
      <c r="A18" s="24">
        <v>14</v>
      </c>
      <c r="B18" s="19" t="s">
        <v>48</v>
      </c>
      <c r="C18" s="19" t="s">
        <v>33</v>
      </c>
      <c r="D18" s="11">
        <v>785</v>
      </c>
      <c r="E18" s="9">
        <v>918</v>
      </c>
      <c r="F18" s="9">
        <v>881</v>
      </c>
      <c r="G18" s="9">
        <v>711</v>
      </c>
      <c r="H18" s="9">
        <v>859</v>
      </c>
      <c r="J18" s="21">
        <v>14</v>
      </c>
      <c r="K18" s="39" t="s">
        <v>48</v>
      </c>
      <c r="L18" s="39" t="s">
        <v>78</v>
      </c>
      <c r="M18" s="39" t="s">
        <v>79</v>
      </c>
      <c r="N18" s="11">
        <v>58.570667098068903</v>
      </c>
      <c r="O18" s="9">
        <v>60.207929267179928</v>
      </c>
      <c r="P18" s="9">
        <v>49.99980361879706</v>
      </c>
      <c r="Q18" s="9">
        <v>49.895426621172234</v>
      </c>
      <c r="R18" s="9">
        <v>54.442613542835325</v>
      </c>
      <c r="T18" s="23">
        <v>14</v>
      </c>
      <c r="U18" s="40"/>
      <c r="V18" s="40"/>
      <c r="W18" s="40"/>
      <c r="X18" s="40"/>
      <c r="Y18" s="11"/>
      <c r="Z18" s="9"/>
      <c r="AA18" s="9"/>
      <c r="AB18" s="9"/>
      <c r="AC18" s="9"/>
      <c r="AE18" s="48" t="s">
        <v>16</v>
      </c>
      <c r="AF18" s="29">
        <f>600+(600-AF17)</f>
        <v>971</v>
      </c>
      <c r="AG18" s="29">
        <f>AG17</f>
        <v>661</v>
      </c>
      <c r="AH18" s="48" t="s">
        <v>16</v>
      </c>
      <c r="AI18" s="29">
        <f>600+(600-AI17)</f>
        <v>1018</v>
      </c>
      <c r="AJ18" s="29">
        <f>AJ17</f>
        <v>688</v>
      </c>
      <c r="AK18" s="48" t="s">
        <v>16</v>
      </c>
      <c r="AL18" s="29">
        <v>695</v>
      </c>
      <c r="AM18" s="29">
        <f t="shared" ref="AM18" si="24">AM17</f>
        <v>695</v>
      </c>
      <c r="AN18" s="48" t="s">
        <v>16</v>
      </c>
      <c r="AO18" s="29">
        <f t="shared" ref="AO18" si="25">600+(600-AO17)</f>
        <v>1075</v>
      </c>
      <c r="AP18" s="29">
        <f t="shared" ref="AP18" si="26">AP17</f>
        <v>704</v>
      </c>
      <c r="AQ18" s="48" t="s">
        <v>16</v>
      </c>
      <c r="AR18" s="29">
        <f t="shared" ref="AR18" si="27">600+(600-AR17)</f>
        <v>997</v>
      </c>
      <c r="AS18" s="29">
        <f t="shared" ref="AS18" si="28">AS17</f>
        <v>693</v>
      </c>
    </row>
    <row r="19" spans="1:45">
      <c r="A19" s="24">
        <v>15</v>
      </c>
      <c r="B19" s="19" t="s">
        <v>48</v>
      </c>
      <c r="C19" s="19" t="s">
        <v>34</v>
      </c>
      <c r="D19" s="11">
        <v>1052</v>
      </c>
      <c r="E19" s="9">
        <v>1179</v>
      </c>
      <c r="F19" s="9">
        <v>1124</v>
      </c>
      <c r="G19" s="9">
        <v>944</v>
      </c>
      <c r="H19" s="9">
        <v>1142</v>
      </c>
      <c r="J19" s="21">
        <v>15</v>
      </c>
      <c r="K19" s="39" t="s">
        <v>80</v>
      </c>
      <c r="L19" s="39" t="s">
        <v>78</v>
      </c>
      <c r="M19" s="39" t="s">
        <v>79</v>
      </c>
      <c r="N19" s="11">
        <v>21.182931473351132</v>
      </c>
      <c r="O19" s="9">
        <v>20.3249619594995</v>
      </c>
      <c r="P19" s="9">
        <v>16.355973757378393</v>
      </c>
      <c r="Q19" s="9">
        <v>21.761698891222633</v>
      </c>
      <c r="R19" s="9">
        <v>12.993622367015709</v>
      </c>
      <c r="T19" s="23">
        <v>15</v>
      </c>
      <c r="U19" s="40"/>
      <c r="V19" s="40"/>
      <c r="W19" s="40"/>
      <c r="X19" s="40"/>
      <c r="Y19" s="11"/>
      <c r="Z19" s="9"/>
      <c r="AA19" s="9"/>
      <c r="AB19" s="9"/>
      <c r="AC19" s="9"/>
      <c r="AE19" s="48" t="s">
        <v>17</v>
      </c>
      <c r="AF19" s="29">
        <v>298</v>
      </c>
      <c r="AG19" s="29">
        <v>79</v>
      </c>
      <c r="AH19" s="48" t="s">
        <v>17</v>
      </c>
      <c r="AI19" s="29">
        <v>285</v>
      </c>
      <c r="AJ19" s="29">
        <v>154</v>
      </c>
      <c r="AK19" s="48" t="s">
        <v>17</v>
      </c>
      <c r="AL19" s="29">
        <v>277</v>
      </c>
      <c r="AM19" s="29">
        <v>89</v>
      </c>
      <c r="AN19" s="48" t="s">
        <v>17</v>
      </c>
      <c r="AO19" s="29">
        <v>202</v>
      </c>
      <c r="AP19" s="29">
        <v>152</v>
      </c>
      <c r="AQ19" s="48" t="s">
        <v>17</v>
      </c>
      <c r="AR19" s="29">
        <v>314</v>
      </c>
      <c r="AS19" s="29">
        <v>155</v>
      </c>
    </row>
    <row r="20" spans="1:45">
      <c r="A20" s="24">
        <v>16</v>
      </c>
      <c r="B20" s="19" t="s">
        <v>50</v>
      </c>
      <c r="C20" s="19" t="s">
        <v>51</v>
      </c>
      <c r="D20" s="11">
        <v>61.814237842102365</v>
      </c>
      <c r="E20" s="9">
        <v>71.063352017759485</v>
      </c>
      <c r="F20" s="9">
        <v>62.032249677083293</v>
      </c>
      <c r="G20" s="9">
        <v>64.498061986388393</v>
      </c>
      <c r="H20" s="9">
        <v>58.420886675914119</v>
      </c>
      <c r="I20" s="3"/>
      <c r="J20" s="21">
        <v>16</v>
      </c>
      <c r="K20" s="39" t="s">
        <v>48</v>
      </c>
      <c r="L20" s="39" t="s">
        <v>81</v>
      </c>
      <c r="M20" s="39" t="s">
        <v>79</v>
      </c>
      <c r="N20" s="11">
        <v>106.61144099085776</v>
      </c>
      <c r="O20" s="9">
        <v>100.93499354953809</v>
      </c>
      <c r="P20" s="9">
        <v>98.380661624907873</v>
      </c>
      <c r="Q20" s="9">
        <v>104.80593797800907</v>
      </c>
      <c r="R20" s="9">
        <v>109.69318095494954</v>
      </c>
      <c r="T20" s="23">
        <v>16</v>
      </c>
      <c r="U20" s="40"/>
      <c r="V20" s="40"/>
      <c r="W20" s="40"/>
      <c r="X20" s="40"/>
      <c r="Y20" s="11"/>
      <c r="Z20" s="9"/>
      <c r="AA20" s="9"/>
      <c r="AB20" s="9"/>
      <c r="AC20" s="9"/>
      <c r="AE20" s="48" t="s">
        <v>18</v>
      </c>
      <c r="AF20" s="29">
        <v>600</v>
      </c>
      <c r="AG20" s="29">
        <v>128</v>
      </c>
      <c r="AH20" s="48" t="s">
        <v>18</v>
      </c>
      <c r="AI20" s="29">
        <v>600</v>
      </c>
      <c r="AJ20" s="29">
        <v>1</v>
      </c>
      <c r="AK20" s="48" t="s">
        <v>18</v>
      </c>
      <c r="AL20" s="29">
        <v>600</v>
      </c>
      <c r="AM20" s="29">
        <v>56</v>
      </c>
      <c r="AN20" s="48" t="s">
        <v>18</v>
      </c>
      <c r="AO20" s="29">
        <v>600</v>
      </c>
      <c r="AP20" s="29">
        <v>236</v>
      </c>
      <c r="AQ20" s="48" t="s">
        <v>18</v>
      </c>
      <c r="AR20" s="29">
        <v>600</v>
      </c>
      <c r="AS20" s="29">
        <v>38</v>
      </c>
    </row>
    <row r="21" spans="1:45">
      <c r="A21" s="24">
        <v>17</v>
      </c>
      <c r="B21" s="19" t="s">
        <v>65</v>
      </c>
      <c r="C21" s="19" t="s">
        <v>66</v>
      </c>
      <c r="D21" s="11">
        <v>267</v>
      </c>
      <c r="E21" s="9">
        <v>261</v>
      </c>
      <c r="F21" s="9">
        <v>243</v>
      </c>
      <c r="G21" s="9">
        <v>233</v>
      </c>
      <c r="H21" s="9">
        <v>283</v>
      </c>
      <c r="I21" s="3"/>
      <c r="J21" s="21">
        <v>17</v>
      </c>
      <c r="K21" s="39" t="s">
        <v>80</v>
      </c>
      <c r="L21" s="39" t="s">
        <v>81</v>
      </c>
      <c r="M21" s="39" t="s">
        <v>79</v>
      </c>
      <c r="N21" s="11">
        <v>26.993754421146747</v>
      </c>
      <c r="O21" s="9">
        <v>21.64134493297172</v>
      </c>
      <c r="P21" s="9">
        <v>17.581037534261945</v>
      </c>
      <c r="Q21" s="9">
        <v>25.072162423967587</v>
      </c>
      <c r="R21" s="9">
        <v>16.602457729828455</v>
      </c>
      <c r="T21" s="23">
        <v>17</v>
      </c>
      <c r="U21" s="40"/>
      <c r="V21" s="40"/>
      <c r="W21" s="40"/>
      <c r="X21" s="40"/>
      <c r="Y21" s="11"/>
      <c r="Z21" s="9"/>
      <c r="AA21" s="9"/>
      <c r="AB21" s="9"/>
      <c r="AC21" s="9"/>
      <c r="AE21" s="48" t="s">
        <v>19</v>
      </c>
      <c r="AF21" s="29">
        <f>600+(600-AF19)</f>
        <v>902</v>
      </c>
      <c r="AG21" s="29">
        <f>AG19</f>
        <v>79</v>
      </c>
      <c r="AH21" s="48" t="s">
        <v>19</v>
      </c>
      <c r="AI21" s="29">
        <f>600+(600-AI19)</f>
        <v>915</v>
      </c>
      <c r="AJ21" s="29">
        <f>AJ19</f>
        <v>154</v>
      </c>
      <c r="AK21" s="48" t="s">
        <v>19</v>
      </c>
      <c r="AL21" s="29">
        <f t="shared" ref="AL21" si="29">600+(600-AL19)</f>
        <v>923</v>
      </c>
      <c r="AM21" s="29">
        <f t="shared" ref="AM21" si="30">AM19</f>
        <v>89</v>
      </c>
      <c r="AN21" s="48" t="s">
        <v>19</v>
      </c>
      <c r="AO21" s="29">
        <f t="shared" ref="AO21" si="31">600+(600-AO19)</f>
        <v>998</v>
      </c>
      <c r="AP21" s="29">
        <f t="shared" ref="AP21" si="32">AP19</f>
        <v>152</v>
      </c>
      <c r="AQ21" s="48" t="s">
        <v>19</v>
      </c>
      <c r="AR21" s="29">
        <f t="shared" ref="AR21" si="33">600+(600-AR19)</f>
        <v>886</v>
      </c>
      <c r="AS21" s="29">
        <f t="shared" ref="AS21" si="34">AS19</f>
        <v>155</v>
      </c>
    </row>
    <row r="22" spans="1:45">
      <c r="A22" s="24">
        <v>18</v>
      </c>
      <c r="B22" s="19" t="s">
        <v>76</v>
      </c>
      <c r="C22" s="19" t="s">
        <v>75</v>
      </c>
      <c r="D22" s="11">
        <v>39.11521443121589</v>
      </c>
      <c r="E22" s="9">
        <v>32.015621187164243</v>
      </c>
      <c r="F22" s="9">
        <v>41</v>
      </c>
      <c r="G22" s="9">
        <v>39.204591567825318</v>
      </c>
      <c r="H22" s="9">
        <v>27.459060435491963</v>
      </c>
      <c r="I22" s="3"/>
      <c r="J22" s="21">
        <v>18</v>
      </c>
      <c r="K22" s="39"/>
      <c r="L22" s="39"/>
      <c r="M22" s="39"/>
      <c r="N22" s="11"/>
      <c r="O22" s="9"/>
      <c r="P22" s="9"/>
      <c r="Q22" s="9"/>
      <c r="R22" s="9"/>
      <c r="T22" s="23">
        <v>18</v>
      </c>
      <c r="U22" s="40"/>
      <c r="V22" s="40"/>
      <c r="W22" s="40"/>
      <c r="X22" s="40"/>
      <c r="Y22" s="11"/>
      <c r="Z22" s="9"/>
      <c r="AA22" s="9"/>
      <c r="AB22" s="9"/>
      <c r="AC22" s="9"/>
      <c r="AE22" s="48" t="s">
        <v>20</v>
      </c>
      <c r="AF22" s="29">
        <v>361</v>
      </c>
      <c r="AG22" s="29">
        <v>578</v>
      </c>
      <c r="AH22" s="48" t="s">
        <v>20</v>
      </c>
      <c r="AI22" s="29">
        <v>360</v>
      </c>
      <c r="AJ22" s="29">
        <v>570</v>
      </c>
      <c r="AK22" s="48" t="s">
        <v>20</v>
      </c>
      <c r="AL22" s="29">
        <v>328</v>
      </c>
      <c r="AM22" s="29">
        <v>592</v>
      </c>
      <c r="AN22" s="49" t="s">
        <v>20</v>
      </c>
      <c r="AO22" s="30">
        <v>348</v>
      </c>
      <c r="AP22" s="30">
        <v>640</v>
      </c>
      <c r="AQ22" s="48" t="s">
        <v>20</v>
      </c>
      <c r="AR22" s="29">
        <v>351</v>
      </c>
      <c r="AS22" s="29">
        <v>563</v>
      </c>
    </row>
    <row r="23" spans="1:45">
      <c r="A23" s="24">
        <v>19</v>
      </c>
      <c r="B23" s="19" t="s">
        <v>73</v>
      </c>
      <c r="C23" s="19" t="s">
        <v>74</v>
      </c>
      <c r="D23" s="11">
        <v>182.06866836443879</v>
      </c>
      <c r="E23" s="9">
        <v>165.10905486980417</v>
      </c>
      <c r="F23" s="9">
        <v>263.19004540445673</v>
      </c>
      <c r="G23" s="9">
        <v>179.0111728356641</v>
      </c>
      <c r="H23" s="9">
        <v>204.97804760510331</v>
      </c>
      <c r="I23" s="3"/>
      <c r="J23" s="21">
        <v>19</v>
      </c>
      <c r="K23" s="39"/>
      <c r="L23" s="39"/>
      <c r="M23" s="39"/>
      <c r="N23" s="11"/>
      <c r="O23" s="9"/>
      <c r="P23" s="9"/>
      <c r="Q23" s="9"/>
      <c r="R23" s="9"/>
      <c r="T23" s="23">
        <v>19</v>
      </c>
      <c r="U23" s="40"/>
      <c r="V23" s="40"/>
      <c r="W23" s="40"/>
      <c r="X23" s="40"/>
      <c r="Y23" s="11"/>
      <c r="Z23" s="9"/>
      <c r="AA23" s="9"/>
      <c r="AB23" s="9"/>
      <c r="AC23" s="9"/>
      <c r="AE23" s="48" t="s">
        <v>21</v>
      </c>
      <c r="AF23" s="29">
        <v>439</v>
      </c>
      <c r="AG23" s="29">
        <v>587</v>
      </c>
      <c r="AH23" s="49" t="s">
        <v>21</v>
      </c>
      <c r="AI23" s="30">
        <v>429</v>
      </c>
      <c r="AJ23" s="30">
        <v>591</v>
      </c>
      <c r="AK23" s="48" t="s">
        <v>21</v>
      </c>
      <c r="AL23" s="29">
        <v>419</v>
      </c>
      <c r="AM23" s="29">
        <v>609</v>
      </c>
      <c r="AN23" s="49" t="s">
        <v>21</v>
      </c>
      <c r="AO23" s="30">
        <v>434</v>
      </c>
      <c r="AP23" s="30">
        <v>661</v>
      </c>
      <c r="AQ23" s="48" t="s">
        <v>21</v>
      </c>
      <c r="AR23" s="29">
        <v>439</v>
      </c>
      <c r="AS23" s="29">
        <v>576</v>
      </c>
    </row>
    <row r="24" spans="1:45">
      <c r="A24" s="24">
        <v>20</v>
      </c>
      <c r="B24" s="19"/>
      <c r="C24" s="19"/>
      <c r="D24" s="9"/>
      <c r="E24" s="9"/>
      <c r="F24" s="9"/>
      <c r="G24" s="9"/>
      <c r="H24" s="9"/>
      <c r="I24" s="3"/>
      <c r="J24" s="21">
        <v>20</v>
      </c>
      <c r="K24" s="39"/>
      <c r="L24" s="39"/>
      <c r="M24" s="39"/>
      <c r="N24" s="11"/>
      <c r="O24" s="9"/>
      <c r="P24" s="9"/>
      <c r="Q24" s="9"/>
      <c r="R24" s="9"/>
      <c r="T24" s="23">
        <v>20</v>
      </c>
      <c r="U24" s="40"/>
      <c r="V24" s="40"/>
      <c r="W24" s="40"/>
      <c r="X24" s="40"/>
      <c r="Y24" s="11"/>
      <c r="Z24" s="9"/>
      <c r="AA24" s="9"/>
      <c r="AB24" s="9"/>
      <c r="AC24" s="9"/>
      <c r="AE24" s="48" t="s">
        <v>22</v>
      </c>
      <c r="AF24" s="29">
        <v>503</v>
      </c>
      <c r="AG24" s="29">
        <v>562</v>
      </c>
      <c r="AH24" s="49" t="s">
        <v>22</v>
      </c>
      <c r="AI24" s="30">
        <v>517</v>
      </c>
      <c r="AJ24" s="30">
        <v>563</v>
      </c>
      <c r="AK24" s="48" t="s">
        <v>22</v>
      </c>
      <c r="AL24" s="29">
        <v>498</v>
      </c>
      <c r="AM24" s="29">
        <v>593</v>
      </c>
      <c r="AN24" s="49" t="s">
        <v>22</v>
      </c>
      <c r="AO24" s="30">
        <v>507</v>
      </c>
      <c r="AP24" s="30">
        <v>629</v>
      </c>
      <c r="AQ24" s="48" t="s">
        <v>22</v>
      </c>
      <c r="AR24" s="29">
        <v>511</v>
      </c>
      <c r="AS24" s="29">
        <v>557</v>
      </c>
    </row>
    <row r="25" spans="1:45" ht="15.75" customHeight="1">
      <c r="A25" s="24">
        <v>21</v>
      </c>
      <c r="B25" s="19"/>
      <c r="C25" s="19"/>
      <c r="D25" s="9"/>
      <c r="E25" s="9"/>
      <c r="F25" s="9"/>
      <c r="G25" s="9"/>
      <c r="H25" s="9"/>
      <c r="I25" s="3"/>
      <c r="J25" s="21">
        <v>21</v>
      </c>
      <c r="K25" s="39"/>
      <c r="L25" s="39"/>
      <c r="M25" s="39"/>
      <c r="N25" s="11"/>
      <c r="O25" s="9"/>
      <c r="P25" s="9"/>
      <c r="Q25" s="9"/>
      <c r="R25" s="9"/>
      <c r="T25" s="23">
        <v>21</v>
      </c>
      <c r="U25" s="40"/>
      <c r="V25" s="40"/>
      <c r="W25" s="40"/>
      <c r="X25" s="40"/>
      <c r="Y25" s="11"/>
      <c r="Z25" s="9"/>
      <c r="AA25" s="9"/>
      <c r="AB25" s="9"/>
      <c r="AC25" s="9"/>
      <c r="AE25" s="48" t="s">
        <v>23</v>
      </c>
      <c r="AF25" s="29">
        <v>429</v>
      </c>
      <c r="AG25" s="29">
        <v>526</v>
      </c>
      <c r="AH25" s="49" t="s">
        <v>23</v>
      </c>
      <c r="AI25" s="30">
        <v>432</v>
      </c>
      <c r="AJ25" s="30">
        <v>520</v>
      </c>
      <c r="AK25" s="48" t="s">
        <v>23</v>
      </c>
      <c r="AL25" s="29">
        <v>417</v>
      </c>
      <c r="AM25" s="29">
        <v>547</v>
      </c>
      <c r="AN25" s="49" t="s">
        <v>23</v>
      </c>
      <c r="AO25" s="30">
        <v>426</v>
      </c>
      <c r="AP25" s="30">
        <v>597</v>
      </c>
      <c r="AQ25" s="48" t="s">
        <v>23</v>
      </c>
      <c r="AR25" s="29">
        <v>432</v>
      </c>
      <c r="AS25" s="29">
        <v>518</v>
      </c>
    </row>
    <row r="26" spans="1:45" ht="16.5" customHeight="1">
      <c r="A26" s="24">
        <v>22</v>
      </c>
      <c r="B26" s="19"/>
      <c r="C26" s="19"/>
      <c r="D26" s="9"/>
      <c r="E26" s="9"/>
      <c r="F26" s="9"/>
      <c r="G26" s="9"/>
      <c r="H26" s="9"/>
      <c r="I26" s="3"/>
      <c r="J26" s="21">
        <v>22</v>
      </c>
      <c r="K26" s="39"/>
      <c r="L26" s="39"/>
      <c r="M26" s="39"/>
      <c r="N26" s="11"/>
      <c r="O26" s="9"/>
      <c r="P26" s="9"/>
      <c r="Q26" s="9"/>
      <c r="R26" s="9"/>
      <c r="T26" s="23">
        <v>22</v>
      </c>
      <c r="U26" s="40"/>
      <c r="V26" s="40"/>
      <c r="W26" s="40"/>
      <c r="X26" s="40"/>
      <c r="Y26" s="11"/>
      <c r="Z26" s="9"/>
      <c r="AA26" s="9"/>
      <c r="AB26" s="9"/>
      <c r="AC26" s="9"/>
      <c r="AE26" s="48" t="s">
        <v>24</v>
      </c>
      <c r="AF26" s="31">
        <v>1180</v>
      </c>
      <c r="AG26" s="31">
        <v>1180</v>
      </c>
      <c r="AH26" s="49" t="s">
        <v>24</v>
      </c>
      <c r="AI26" s="30">
        <v>1180</v>
      </c>
      <c r="AJ26" s="30">
        <v>1180</v>
      </c>
      <c r="AK26" s="48" t="s">
        <v>24</v>
      </c>
      <c r="AL26" s="31">
        <v>1180</v>
      </c>
      <c r="AM26" s="31">
        <v>1180</v>
      </c>
      <c r="AN26" s="49" t="s">
        <v>24</v>
      </c>
      <c r="AO26" s="30">
        <v>1180</v>
      </c>
      <c r="AP26" s="30">
        <v>1180</v>
      </c>
      <c r="AQ26" s="32" t="s">
        <v>24</v>
      </c>
      <c r="AR26" s="31">
        <v>1180</v>
      </c>
      <c r="AS26" s="31">
        <v>1180</v>
      </c>
    </row>
    <row r="27" spans="1:45">
      <c r="A27" s="24">
        <v>23</v>
      </c>
      <c r="B27" s="19"/>
      <c r="C27" s="19"/>
      <c r="D27" s="9"/>
      <c r="E27" s="9"/>
      <c r="F27" s="9"/>
      <c r="G27" s="9"/>
      <c r="H27" s="9"/>
      <c r="J27" s="21">
        <v>23</v>
      </c>
      <c r="K27" s="39"/>
      <c r="L27" s="39"/>
      <c r="M27" s="39"/>
      <c r="N27" s="11"/>
      <c r="O27" s="9"/>
      <c r="P27" s="9"/>
      <c r="Q27" s="9"/>
      <c r="R27" s="9"/>
      <c r="T27" s="23">
        <v>23</v>
      </c>
      <c r="U27" s="40"/>
      <c r="V27" s="40"/>
      <c r="W27" s="40"/>
      <c r="X27" s="40"/>
      <c r="Y27" s="11"/>
      <c r="Z27" s="9"/>
      <c r="AA27" s="9"/>
      <c r="AB27" s="9"/>
      <c r="AC27" s="9"/>
      <c r="AE27" s="46" t="s">
        <v>67</v>
      </c>
      <c r="AF27" s="8">
        <v>600</v>
      </c>
      <c r="AG27" s="37">
        <v>0</v>
      </c>
      <c r="AH27" s="46" t="s">
        <v>67</v>
      </c>
      <c r="AI27" s="9">
        <v>600</v>
      </c>
      <c r="AJ27" s="38">
        <v>0</v>
      </c>
      <c r="AK27" s="46" t="s">
        <v>67</v>
      </c>
      <c r="AL27" s="8">
        <v>600</v>
      </c>
      <c r="AM27" s="37">
        <v>0</v>
      </c>
      <c r="AN27" s="46" t="s">
        <v>67</v>
      </c>
      <c r="AO27" s="9">
        <v>600</v>
      </c>
      <c r="AP27" s="38">
        <v>0</v>
      </c>
      <c r="AQ27" s="46" t="s">
        <v>67</v>
      </c>
      <c r="AR27" s="8">
        <v>600</v>
      </c>
      <c r="AS27" s="37">
        <v>0</v>
      </c>
    </row>
    <row r="28" spans="1:45" s="7" customFormat="1">
      <c r="A28" s="24">
        <v>24</v>
      </c>
      <c r="B28" s="19"/>
      <c r="C28" s="19"/>
      <c r="D28" s="17"/>
      <c r="E28" s="12"/>
      <c r="F28" s="12"/>
      <c r="G28" s="12"/>
      <c r="H28" s="12"/>
      <c r="J28" s="21">
        <v>24</v>
      </c>
      <c r="K28" s="39"/>
      <c r="L28" s="39"/>
      <c r="M28" s="39"/>
      <c r="N28" s="17"/>
      <c r="O28" s="12"/>
      <c r="P28" s="12"/>
      <c r="Q28" s="12"/>
      <c r="R28" s="12"/>
      <c r="T28" s="23">
        <v>24</v>
      </c>
      <c r="U28" s="40"/>
      <c r="V28" s="40"/>
      <c r="W28" s="40"/>
      <c r="X28" s="40"/>
      <c r="Y28" s="17"/>
      <c r="Z28" s="12"/>
      <c r="AA28" s="12"/>
      <c r="AB28" s="12"/>
      <c r="AC28" s="12"/>
      <c r="AE28" s="46" t="s">
        <v>68</v>
      </c>
      <c r="AF28" s="8">
        <v>430</v>
      </c>
      <c r="AG28" s="37">
        <v>468</v>
      </c>
      <c r="AH28" s="46" t="s">
        <v>68</v>
      </c>
      <c r="AI28" s="9">
        <v>426</v>
      </c>
      <c r="AJ28" s="38">
        <v>485</v>
      </c>
      <c r="AK28" s="46" t="s">
        <v>68</v>
      </c>
      <c r="AL28" s="8">
        <v>421</v>
      </c>
      <c r="AM28" s="37">
        <v>497</v>
      </c>
      <c r="AN28" s="46" t="s">
        <v>68</v>
      </c>
      <c r="AO28" s="9">
        <v>421</v>
      </c>
      <c r="AP28" s="38">
        <v>543</v>
      </c>
      <c r="AQ28" s="46" t="s">
        <v>68</v>
      </c>
      <c r="AR28" s="8">
        <v>422</v>
      </c>
      <c r="AS28" s="37">
        <v>465</v>
      </c>
    </row>
    <row r="29" spans="1:45">
      <c r="A29" s="24">
        <v>25</v>
      </c>
      <c r="B29" s="19"/>
      <c r="C29" s="19"/>
      <c r="D29" s="18"/>
      <c r="E29" s="13"/>
      <c r="F29" s="9"/>
      <c r="G29" s="9"/>
      <c r="H29" s="9"/>
      <c r="J29" s="21">
        <v>25</v>
      </c>
      <c r="K29" s="39"/>
      <c r="L29" s="39"/>
      <c r="M29" s="39"/>
      <c r="N29" s="11"/>
      <c r="O29" s="9"/>
      <c r="P29" s="9"/>
      <c r="Q29" s="9"/>
      <c r="R29" s="9"/>
      <c r="T29" s="23">
        <v>25</v>
      </c>
      <c r="U29" s="40"/>
      <c r="V29" s="40"/>
      <c r="W29" s="40"/>
      <c r="X29" s="40"/>
      <c r="Y29" s="11"/>
      <c r="Z29" s="9"/>
      <c r="AA29" s="9"/>
      <c r="AB29" s="9"/>
      <c r="AC29" s="9"/>
      <c r="AE29" s="46" t="s">
        <v>69</v>
      </c>
      <c r="AF29" s="8">
        <v>326</v>
      </c>
      <c r="AG29" s="37">
        <v>498</v>
      </c>
      <c r="AH29" s="46" t="s">
        <v>69</v>
      </c>
      <c r="AI29" s="9">
        <v>342</v>
      </c>
      <c r="AJ29" s="38">
        <v>522</v>
      </c>
      <c r="AK29" s="46" t="s">
        <v>69</v>
      </c>
      <c r="AL29" s="8">
        <v>290</v>
      </c>
      <c r="AM29" s="37">
        <v>557</v>
      </c>
      <c r="AN29" s="46" t="s">
        <v>69</v>
      </c>
      <c r="AO29" s="9">
        <v>325</v>
      </c>
      <c r="AP29" s="38">
        <v>585</v>
      </c>
      <c r="AQ29" s="46" t="s">
        <v>69</v>
      </c>
      <c r="AR29" s="8">
        <v>308</v>
      </c>
      <c r="AS29" s="37">
        <v>498</v>
      </c>
    </row>
    <row r="30" spans="1:45">
      <c r="A30" s="24">
        <v>26</v>
      </c>
      <c r="B30" s="19"/>
      <c r="C30" s="19"/>
      <c r="D30" s="11"/>
      <c r="E30" s="9"/>
      <c r="F30" s="9"/>
      <c r="G30" s="9"/>
      <c r="H30" s="9"/>
      <c r="J30" s="21">
        <v>26</v>
      </c>
      <c r="K30" s="39"/>
      <c r="L30" s="39"/>
      <c r="M30" s="39"/>
      <c r="N30" s="11"/>
      <c r="O30" s="9"/>
      <c r="P30" s="9"/>
      <c r="Q30" s="9"/>
      <c r="R30" s="9"/>
      <c r="T30" s="23">
        <v>26</v>
      </c>
      <c r="U30" s="40"/>
      <c r="V30" s="40"/>
      <c r="W30" s="40"/>
      <c r="X30" s="40"/>
      <c r="Y30" s="11"/>
      <c r="Z30" s="9"/>
      <c r="AA30" s="9"/>
      <c r="AB30" s="9"/>
      <c r="AC30" s="9"/>
      <c r="AE30" s="46" t="s">
        <v>70</v>
      </c>
      <c r="AF30" s="8">
        <v>508</v>
      </c>
      <c r="AG30" s="37">
        <v>503</v>
      </c>
      <c r="AH30" s="46" t="s">
        <v>70</v>
      </c>
      <c r="AI30" s="9">
        <v>507</v>
      </c>
      <c r="AJ30" s="38">
        <v>516</v>
      </c>
      <c r="AK30" s="46" t="s">
        <v>70</v>
      </c>
      <c r="AL30" s="8">
        <v>552</v>
      </c>
      <c r="AM30" s="37">
        <v>532</v>
      </c>
      <c r="AN30" s="46" t="s">
        <v>70</v>
      </c>
      <c r="AO30" s="9">
        <v>504</v>
      </c>
      <c r="AP30" s="38">
        <v>583</v>
      </c>
      <c r="AQ30" s="46" t="s">
        <v>70</v>
      </c>
      <c r="AR30" s="8">
        <v>512</v>
      </c>
      <c r="AS30" s="37">
        <v>478</v>
      </c>
    </row>
    <row r="31" spans="1:45">
      <c r="A31" s="24">
        <v>27</v>
      </c>
      <c r="B31" s="19"/>
      <c r="C31" s="19"/>
      <c r="D31" s="11"/>
      <c r="E31" s="9"/>
      <c r="F31" s="9"/>
      <c r="G31" s="9"/>
      <c r="H31" s="9"/>
      <c r="J31" s="21">
        <v>27</v>
      </c>
      <c r="K31" s="39"/>
      <c r="L31" s="39"/>
      <c r="M31" s="39"/>
      <c r="N31" s="11"/>
      <c r="O31" s="9"/>
      <c r="P31" s="9"/>
      <c r="Q31" s="9"/>
      <c r="R31" s="9"/>
      <c r="T31" s="23">
        <v>27</v>
      </c>
      <c r="U31" s="40"/>
      <c r="V31" s="40"/>
      <c r="W31" s="40"/>
      <c r="X31" s="40"/>
      <c r="Y31" s="11"/>
      <c r="Z31" s="9"/>
      <c r="AA31" s="9"/>
      <c r="AB31" s="9"/>
      <c r="AC31" s="9"/>
      <c r="AE31" s="46" t="s">
        <v>71</v>
      </c>
      <c r="AF31" s="8">
        <v>427</v>
      </c>
      <c r="AG31" s="37">
        <v>507</v>
      </c>
      <c r="AH31" s="46" t="s">
        <v>71</v>
      </c>
      <c r="AI31" s="9">
        <v>425</v>
      </c>
      <c r="AJ31" s="38">
        <v>517</v>
      </c>
      <c r="AK31" s="46" t="s">
        <v>71</v>
      </c>
      <c r="AL31" s="8">
        <v>421</v>
      </c>
      <c r="AM31" s="37">
        <v>538</v>
      </c>
      <c r="AN31" s="46" t="s">
        <v>71</v>
      </c>
      <c r="AO31" s="9">
        <v>417</v>
      </c>
      <c r="AP31" s="38">
        <v>582</v>
      </c>
      <c r="AQ31" s="46" t="s">
        <v>71</v>
      </c>
      <c r="AR31" s="8">
        <v>417</v>
      </c>
      <c r="AS31" s="37">
        <v>492</v>
      </c>
    </row>
    <row r="32" spans="1:45">
      <c r="A32" s="24">
        <v>28</v>
      </c>
      <c r="B32" s="19"/>
      <c r="C32" s="19"/>
      <c r="D32" s="11"/>
      <c r="E32" s="9"/>
      <c r="F32" s="9"/>
      <c r="G32" s="9"/>
      <c r="H32" s="9"/>
      <c r="J32" s="21">
        <v>28</v>
      </c>
      <c r="K32" s="39"/>
      <c r="L32" s="39"/>
      <c r="M32" s="39"/>
      <c r="N32" s="11"/>
      <c r="O32" s="9"/>
      <c r="P32" s="9"/>
      <c r="Q32" s="9"/>
      <c r="R32" s="9"/>
      <c r="T32" s="23">
        <v>28</v>
      </c>
      <c r="U32" s="40"/>
      <c r="V32" s="40"/>
      <c r="W32" s="40"/>
      <c r="X32" s="40"/>
      <c r="Y32" s="11"/>
      <c r="Z32" s="9"/>
      <c r="AA32" s="9"/>
      <c r="AB32" s="9"/>
      <c r="AC32" s="9"/>
      <c r="AE32" s="46"/>
      <c r="AF32" s="8"/>
      <c r="AG32" s="37"/>
      <c r="AH32" s="46"/>
      <c r="AI32" s="9"/>
      <c r="AJ32" s="38"/>
      <c r="AK32" s="46"/>
      <c r="AL32" s="8"/>
      <c r="AM32" s="37"/>
      <c r="AN32" s="46"/>
      <c r="AO32" s="9"/>
      <c r="AP32" s="38"/>
      <c r="AQ32" s="46"/>
      <c r="AR32" s="8"/>
      <c r="AS32" s="37"/>
    </row>
    <row r="33" spans="1:45">
      <c r="A33" s="24">
        <v>29</v>
      </c>
      <c r="B33" s="19"/>
      <c r="C33" s="19"/>
      <c r="D33" s="11"/>
      <c r="E33" s="9"/>
      <c r="F33" s="9"/>
      <c r="G33" s="9"/>
      <c r="H33" s="9"/>
      <c r="J33" s="21">
        <v>29</v>
      </c>
      <c r="K33" s="39"/>
      <c r="L33" s="39"/>
      <c r="M33" s="39"/>
      <c r="N33" s="11"/>
      <c r="O33" s="9"/>
      <c r="P33" s="9"/>
      <c r="Q33" s="9"/>
      <c r="R33" s="9"/>
      <c r="T33" s="23">
        <v>29</v>
      </c>
      <c r="U33" s="40"/>
      <c r="V33" s="40"/>
      <c r="W33" s="40"/>
      <c r="X33" s="40"/>
      <c r="Y33" s="11"/>
      <c r="Z33" s="9"/>
      <c r="AA33" s="9"/>
      <c r="AB33" s="9"/>
      <c r="AC33" s="9"/>
      <c r="AE33" s="41"/>
      <c r="AF33" s="8"/>
      <c r="AG33" s="6"/>
      <c r="AH33" s="42"/>
      <c r="AI33" s="9"/>
      <c r="AJ33" s="16"/>
      <c r="AK33" s="41"/>
      <c r="AL33" s="8"/>
      <c r="AM33" s="6"/>
      <c r="AN33" s="42"/>
      <c r="AO33" s="9"/>
      <c r="AP33" s="16"/>
      <c r="AQ33" s="41"/>
      <c r="AR33" s="8"/>
      <c r="AS33" s="6"/>
    </row>
    <row r="34" spans="1:45">
      <c r="A34" s="24">
        <v>30</v>
      </c>
      <c r="B34" s="19"/>
      <c r="C34" s="19"/>
      <c r="D34" s="11"/>
      <c r="E34" s="9"/>
      <c r="F34" s="9"/>
      <c r="G34" s="9"/>
      <c r="H34" s="9"/>
      <c r="J34" s="21">
        <v>30</v>
      </c>
      <c r="K34" s="39"/>
      <c r="L34" s="39"/>
      <c r="M34" s="39"/>
      <c r="N34" s="11"/>
      <c r="O34" s="9"/>
      <c r="P34" s="9"/>
      <c r="Q34" s="9"/>
      <c r="R34" s="9"/>
      <c r="T34" s="23">
        <v>30</v>
      </c>
      <c r="U34" s="40"/>
      <c r="V34" s="40"/>
      <c r="W34" s="40"/>
      <c r="X34" s="40"/>
      <c r="Y34" s="11"/>
      <c r="Z34" s="9"/>
      <c r="AA34" s="9"/>
      <c r="AB34" s="9"/>
      <c r="AC34" s="9"/>
      <c r="AE34" s="41"/>
      <c r="AF34" s="8"/>
      <c r="AG34" s="6"/>
      <c r="AH34" s="42"/>
      <c r="AI34" s="9"/>
      <c r="AJ34" s="16"/>
      <c r="AK34" s="41"/>
      <c r="AL34" s="8"/>
      <c r="AM34" s="6"/>
      <c r="AN34" s="42"/>
      <c r="AO34" s="9"/>
      <c r="AP34" s="16"/>
      <c r="AQ34" s="41"/>
      <c r="AR34" s="8"/>
      <c r="AS34" s="6"/>
    </row>
    <row r="35" spans="1:45">
      <c r="A35" s="25"/>
      <c r="B35" s="15"/>
      <c r="C35" s="15"/>
      <c r="D35" s="14"/>
      <c r="E35" s="14"/>
    </row>
    <row r="36" spans="1:45" ht="15.75" customHeight="1">
      <c r="A36" s="79" t="s">
        <v>64</v>
      </c>
      <c r="B36" s="79"/>
      <c r="C36" s="79"/>
      <c r="D36" s="79"/>
      <c r="E36" s="79"/>
      <c r="F36" s="79"/>
      <c r="G36" s="79"/>
      <c r="H36" s="79"/>
      <c r="I36" s="20"/>
      <c r="J36" s="79" t="s">
        <v>64</v>
      </c>
      <c r="K36" s="80"/>
      <c r="L36" s="80"/>
      <c r="M36" s="80"/>
      <c r="N36" s="80"/>
      <c r="O36" s="80"/>
      <c r="P36" s="80"/>
      <c r="Q36" s="80"/>
      <c r="R36" s="80"/>
      <c r="T36" s="79" t="s">
        <v>64</v>
      </c>
      <c r="U36" s="80"/>
      <c r="V36" s="80"/>
      <c r="W36" s="80"/>
      <c r="X36" s="80"/>
      <c r="Y36" s="80"/>
      <c r="Z36" s="80"/>
      <c r="AA36" s="80"/>
      <c r="AB36" s="80"/>
      <c r="AC36" s="80"/>
      <c r="AE36" s="80" t="s">
        <v>63</v>
      </c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</row>
    <row r="37" spans="1:45" ht="15.75" customHeight="1">
      <c r="A37" s="79"/>
      <c r="B37" s="79"/>
      <c r="C37" s="79"/>
      <c r="D37" s="79"/>
      <c r="E37" s="79"/>
      <c r="F37" s="79"/>
      <c r="G37" s="79"/>
      <c r="H37" s="79"/>
      <c r="I37" s="20"/>
      <c r="J37" s="80"/>
      <c r="K37" s="80"/>
      <c r="L37" s="80"/>
      <c r="M37" s="80"/>
      <c r="N37" s="80"/>
      <c r="O37" s="80"/>
      <c r="P37" s="80"/>
      <c r="Q37" s="80"/>
      <c r="R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</row>
    <row r="38" spans="1:45">
      <c r="A38" s="79"/>
      <c r="B38" s="79"/>
      <c r="C38" s="79"/>
      <c r="D38" s="79"/>
      <c r="E38" s="79"/>
      <c r="F38" s="79"/>
      <c r="G38" s="79"/>
      <c r="H38" s="79"/>
      <c r="J38" s="80"/>
      <c r="K38" s="80"/>
      <c r="L38" s="80"/>
      <c r="M38" s="80"/>
      <c r="N38" s="80"/>
      <c r="O38" s="80"/>
      <c r="P38" s="80"/>
      <c r="Q38" s="80"/>
      <c r="R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</row>
    <row r="39" spans="1:45">
      <c r="A39" s="25"/>
      <c r="B39" s="15"/>
      <c r="C39" s="15"/>
      <c r="D39" s="14"/>
      <c r="E39" s="14"/>
    </row>
    <row r="40" spans="1:45">
      <c r="A40" s="25"/>
      <c r="B40" s="15"/>
      <c r="C40" s="15"/>
      <c r="D40" s="14"/>
      <c r="E40" s="14"/>
    </row>
    <row r="41" spans="1:45">
      <c r="A41" s="25"/>
      <c r="B41" s="15"/>
      <c r="C41" s="15"/>
      <c r="D41" s="14"/>
      <c r="E41" s="14"/>
    </row>
    <row r="42" spans="1:45">
      <c r="A42" s="25"/>
      <c r="B42" s="15"/>
      <c r="C42" s="15"/>
      <c r="D42" s="14"/>
      <c r="E42" s="14"/>
    </row>
    <row r="43" spans="1:45">
      <c r="A43" s="25"/>
      <c r="B43" s="15"/>
      <c r="C43" s="15"/>
      <c r="D43" s="14"/>
      <c r="E43" s="14"/>
    </row>
    <row r="44" spans="1:45">
      <c r="A44" s="25"/>
      <c r="B44" s="15"/>
      <c r="C44" s="15"/>
      <c r="D44" s="14"/>
      <c r="E44" s="14"/>
    </row>
    <row r="45" spans="1:45">
      <c r="A45" s="25"/>
      <c r="B45" s="15"/>
      <c r="C45" s="15"/>
      <c r="D45" s="14"/>
      <c r="E45" s="14"/>
    </row>
    <row r="46" spans="1:45">
      <c r="A46" s="25"/>
      <c r="B46" s="15"/>
      <c r="C46" s="15"/>
      <c r="D46" s="14"/>
      <c r="E46" s="14"/>
    </row>
    <row r="47" spans="1:45">
      <c r="A47" s="25"/>
      <c r="B47" s="15"/>
      <c r="C47" s="15"/>
      <c r="D47" s="14"/>
      <c r="E47" s="14"/>
    </row>
    <row r="48" spans="1:45">
      <c r="A48" s="25"/>
      <c r="B48" s="15"/>
      <c r="C48" s="15"/>
      <c r="D48" s="14"/>
      <c r="E48" s="14"/>
    </row>
    <row r="49" spans="1:5">
      <c r="A49" s="25"/>
      <c r="B49" s="15"/>
      <c r="C49" s="15"/>
      <c r="D49" s="14"/>
      <c r="E49" s="14"/>
    </row>
    <row r="50" spans="1:5">
      <c r="A50" s="25"/>
      <c r="B50" s="15"/>
      <c r="C50" s="15"/>
      <c r="D50" s="14"/>
      <c r="E50" s="14"/>
    </row>
    <row r="51" spans="1:5">
      <c r="A51" s="25"/>
      <c r="B51" s="15"/>
      <c r="C51" s="15"/>
      <c r="D51" s="14"/>
      <c r="E51" s="14"/>
    </row>
    <row r="52" spans="1:5">
      <c r="A52" s="25"/>
      <c r="B52" s="15"/>
      <c r="C52" s="15"/>
      <c r="D52" s="14"/>
      <c r="E52" s="14"/>
    </row>
  </sheetData>
  <mergeCells count="27">
    <mergeCell ref="AK2:AM2"/>
    <mergeCell ref="A1:H1"/>
    <mergeCell ref="J1:R1"/>
    <mergeCell ref="T1:AC1"/>
    <mergeCell ref="AE1:AS1"/>
    <mergeCell ref="A2:C4"/>
    <mergeCell ref="D2:F3"/>
    <mergeCell ref="G2:H3"/>
    <mergeCell ref="J2:M4"/>
    <mergeCell ref="N2:P3"/>
    <mergeCell ref="Q2:R3"/>
    <mergeCell ref="A36:H38"/>
    <mergeCell ref="J36:R38"/>
    <mergeCell ref="T36:AC38"/>
    <mergeCell ref="AE36:AS38"/>
    <mergeCell ref="AN2:AP2"/>
    <mergeCell ref="AQ2:AS2"/>
    <mergeCell ref="AF3:AG3"/>
    <mergeCell ref="AI3:AJ3"/>
    <mergeCell ref="AL3:AM3"/>
    <mergeCell ref="AO3:AP3"/>
    <mergeCell ref="AR3:AS3"/>
    <mergeCell ref="T2:X4"/>
    <mergeCell ref="Y2:AA3"/>
    <mergeCell ref="AB2:AC3"/>
    <mergeCell ref="AE2:AG2"/>
    <mergeCell ref="AH2:AJ2"/>
  </mergeCells>
  <phoneticPr fontId="1" type="noConversion"/>
  <conditionalFormatting sqref="Y1:AC1 Y4:AC35 Y2 Y39:AC1048576">
    <cfRule type="cellIs" dxfId="0" priority="1" operator="lessThan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工作表</vt:lpstr>
      </vt:variant>
      <vt:variant>
        <vt:i4>30</vt:i4>
      </vt:variant>
    </vt:vector>
  </HeadingPairs>
  <TitlesOfParts>
    <vt:vector size="30" baseType="lpstr">
      <vt:lpstr>jt1-5</vt:lpstr>
      <vt:lpstr>jt6-10</vt:lpstr>
      <vt:lpstr>jt11-15</vt:lpstr>
      <vt:lpstr>jt16-20</vt:lpstr>
      <vt:lpstr>jt21-25</vt:lpstr>
      <vt:lpstr>jt26-30</vt:lpstr>
      <vt:lpstr>jt31-35</vt:lpstr>
      <vt:lpstr>jt36-40</vt:lpstr>
      <vt:lpstr>jt41-45</vt:lpstr>
      <vt:lpstr>jt46-50</vt:lpstr>
      <vt:lpstr>jt51-55</vt:lpstr>
      <vt:lpstr>jt56-60</vt:lpstr>
      <vt:lpstr>jt61-65</vt:lpstr>
      <vt:lpstr>jt66-70</vt:lpstr>
      <vt:lpstr>jt71-75</vt:lpstr>
      <vt:lpstr>ut1-5</vt:lpstr>
      <vt:lpstr>ut6-10</vt:lpstr>
      <vt:lpstr>ut11-15</vt:lpstr>
      <vt:lpstr>ut16-20</vt:lpstr>
      <vt:lpstr>ut21-25</vt:lpstr>
      <vt:lpstr>ut26-30</vt:lpstr>
      <vt:lpstr>ut31-35</vt:lpstr>
      <vt:lpstr>ut36-40</vt:lpstr>
      <vt:lpstr>ut41-45</vt:lpstr>
      <vt:lpstr>ut46-50</vt:lpstr>
      <vt:lpstr>ut51-55</vt:lpstr>
      <vt:lpstr>ut56-60</vt:lpstr>
      <vt:lpstr>ut61-65</vt:lpstr>
      <vt:lpstr>ut66-70</vt:lpstr>
      <vt:lpstr>ut71-75</vt:lpstr>
    </vt:vector>
  </TitlesOfParts>
  <Manager/>
  <Company/>
  <LinksUpToDate>false</LinksUpToDate>
  <CharactersWithSpaces>0</CharactersWithSpaces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cp:keywords/>
  <dc:description/>
  <cp:lastModifiedBy>user</cp:lastModifiedBy>
  <cp:revision>1</cp:revision>
  <dcterms:created xsi:type="dcterms:W3CDTF">2017-03-12T12:15:38Z</dcterms:created>
  <dcterms:modified xsi:type="dcterms:W3CDTF">2020-11-10T07:59:59Z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2052-10.1.0.6207</vt:lpwstr>
  </property>
</Properties>
</file>